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el vs Werkelijkheid" sheetId="1" r:id="rId5"/>
    <sheet state="visible" name="Docenten" sheetId="2" r:id="rId6"/>
    <sheet state="visible" name="Locaties" sheetId="3" r:id="rId7"/>
    <sheet state="visible" name="Tarieven" sheetId="4" r:id="rId8"/>
    <sheet state="visible" name="Rooster" sheetId="5" r:id="rId9"/>
    <sheet state="visible" name="Kosten" sheetId="6" r:id="rId10"/>
    <sheet state="visible" name="Extra activiteiten" sheetId="7" r:id="rId11"/>
    <sheet state="visible" name="Inkomstenbelasting" sheetId="8" r:id="rId12"/>
    <sheet state="visible" name="Jaarbetalingen" sheetId="9" r:id="rId13"/>
    <sheet state="visible" name="Augustus" sheetId="10" r:id="rId14"/>
    <sheet state="visible" name="September" sheetId="11" r:id="rId15"/>
    <sheet state="visible" name="Oktober" sheetId="12" r:id="rId16"/>
    <sheet state="visible" name="November" sheetId="13" r:id="rId17"/>
    <sheet state="visible" name="December" sheetId="14" r:id="rId18"/>
    <sheet state="visible" name="Januari" sheetId="15" r:id="rId19"/>
    <sheet state="visible" name="Februari" sheetId="16" r:id="rId20"/>
    <sheet state="visible" name="Maart" sheetId="17" r:id="rId21"/>
    <sheet state="visible" name="April" sheetId="18" r:id="rId22"/>
    <sheet state="visible" name="Mei" sheetId="19" r:id="rId23"/>
    <sheet state="visible" name="Juni" sheetId="20" r:id="rId24"/>
    <sheet state="visible" name="Juli" sheetId="21" r:id="rId25"/>
    <sheet state="visible" name="Jaaroverzicht" sheetId="22" r:id="rId26"/>
  </sheets>
  <definedNames>
    <definedName name="TariefLocaties">Locaties!$G$2:$G$15</definedName>
    <definedName name="NaamTarieven">Tarieven!$A$2:$A$15</definedName>
    <definedName name="DocentenTarieven">Docenten!$G$2:$G$15</definedName>
    <definedName name="Locatienaam">Locaties!$A$2:$A$15</definedName>
    <definedName name="Naamdocent">Docenten!$A$2:$A$15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Halloween - Kerst - Sinterklaas
</t>
      </text>
    </comment>
    <comment authorId="0" ref="B17">
      <text>
        <t xml:space="preserve">aanschaf ipad</t>
      </text>
    </comment>
    <comment authorId="0" ref="F52">
      <text>
        <t xml:space="preserve">Kerstshow</t>
      </text>
    </comment>
    <comment authorId="0" ref="G52">
      <text>
        <t xml:space="preserve">Kerstshow
</t>
      </text>
    </comment>
    <comment authorId="0" ref="I52">
      <text>
        <t xml:space="preserve">Talentenjacht</t>
      </text>
    </comment>
    <comment authorId="0" ref="L52">
      <text>
        <t xml:space="preserve">Zomerafsluiting
</t>
      </text>
    </comment>
  </commentList>
</comments>
</file>

<file path=xl/sharedStrings.xml><?xml version="1.0" encoding="utf-8"?>
<sst xmlns="http://schemas.openxmlformats.org/spreadsheetml/2006/main" count="1360" uniqueCount="345">
  <si>
    <t>Naam docent</t>
  </si>
  <si>
    <t>Naam locatie</t>
  </si>
  <si>
    <t>§</t>
  </si>
  <si>
    <t>Aantal uren per week</t>
  </si>
  <si>
    <t>Uurloon</t>
  </si>
  <si>
    <t>Reiskosten per week</t>
  </si>
  <si>
    <t>Gewenst salaris</t>
  </si>
  <si>
    <t>Niveau docent</t>
  </si>
  <si>
    <t>Naam lidmaatschap</t>
  </si>
  <si>
    <t>Uurtarief</t>
  </si>
  <si>
    <t>Ledenaantal (werkelijk)</t>
  </si>
  <si>
    <t>leden aantal
(verwacht)</t>
  </si>
  <si>
    <t>Lesweken per jaar</t>
  </si>
  <si>
    <t>Datum indiensttreding</t>
  </si>
  <si>
    <t>Actieve leden (verwacht)</t>
  </si>
  <si>
    <t>Tarief per jaar</t>
  </si>
  <si>
    <t>Bijkomende jaarlijkse kosten</t>
  </si>
  <si>
    <t>Daadwerkelijk uurtarief</t>
  </si>
  <si>
    <t>Aantal keer per week</t>
  </si>
  <si>
    <t>Actieve leden</t>
  </si>
  <si>
    <t>Opmerkingen</t>
  </si>
  <si>
    <t>Betaal termijnen</t>
  </si>
  <si>
    <t>Daadwerkelijk Uurtarief</t>
  </si>
  <si>
    <t>Omzet (werkelijk)</t>
  </si>
  <si>
    <t>Leeftijd</t>
  </si>
  <si>
    <t>Eigenaar</t>
  </si>
  <si>
    <t>Uitgaven (werkelijk)</t>
  </si>
  <si>
    <t>BTW tarief %</t>
  </si>
  <si>
    <t>Santpoort Noord</t>
  </si>
  <si>
    <t>BTW Bedrag</t>
  </si>
  <si>
    <t>Percentage kosten</t>
  </si>
  <si>
    <t>Netto tarief</t>
  </si>
  <si>
    <t>13</t>
  </si>
  <si>
    <t>Status</t>
  </si>
  <si>
    <t>Per termijn (excl btw)</t>
  </si>
  <si>
    <t>Brutowinst (werkelijk)</t>
  </si>
  <si>
    <t>Tarief per les/per termijn (excl btw)</t>
  </si>
  <si>
    <t>Reserveren inkomstenbelasting</t>
  </si>
  <si>
    <t>Geen betaling</t>
  </si>
  <si>
    <t>Nettowinst</t>
  </si>
  <si>
    <t>Salaris</t>
  </si>
  <si>
    <t>Banksaldo na salaris</t>
  </si>
  <si>
    <t>Ervaren</t>
  </si>
  <si>
    <t>Belasting achterstand</t>
  </si>
  <si>
    <t>augustus</t>
  </si>
  <si>
    <t>Nova</t>
  </si>
  <si>
    <t>Aangepast tarief</t>
  </si>
  <si>
    <t>8</t>
  </si>
  <si>
    <t xml:space="preserve">1x per week </t>
  </si>
  <si>
    <t>Frederique</t>
  </si>
  <si>
    <t>5</t>
  </si>
  <si>
    <t>tot 18 jaar</t>
  </si>
  <si>
    <t>Starter</t>
  </si>
  <si>
    <t>september</t>
  </si>
  <si>
    <t>1x per week abbo</t>
  </si>
  <si>
    <t>Julia</t>
  </si>
  <si>
    <t>Lotte</t>
  </si>
  <si>
    <t xml:space="preserve">2x per week </t>
  </si>
  <si>
    <t>2</t>
  </si>
  <si>
    <t>Bianca</t>
  </si>
  <si>
    <t>3</t>
  </si>
  <si>
    <t>Gemiddeld</t>
  </si>
  <si>
    <t>2x per week abbo</t>
  </si>
  <si>
    <t>Santpoort Zuid</t>
  </si>
  <si>
    <t>Tess</t>
  </si>
  <si>
    <t>oktober</t>
  </si>
  <si>
    <t>Opvang T</t>
  </si>
  <si>
    <t>1</t>
  </si>
  <si>
    <t>3x per week</t>
  </si>
  <si>
    <t>Inval docent</t>
  </si>
  <si>
    <t>Fre + 2</t>
  </si>
  <si>
    <t>3x per week abbo</t>
  </si>
  <si>
    <t>Fre +1</t>
  </si>
  <si>
    <t>november</t>
  </si>
  <si>
    <t>Onbeperkt</t>
  </si>
  <si>
    <t>Tess +1</t>
  </si>
  <si>
    <t>Ilja + 1</t>
  </si>
  <si>
    <t>3.50</t>
  </si>
  <si>
    <t>Onbeperkt abbo</t>
  </si>
  <si>
    <t>Dion + 3</t>
  </si>
  <si>
    <t>december</t>
  </si>
  <si>
    <t>Cheer regulier</t>
  </si>
  <si>
    <t>Cheer regulier abbo</t>
  </si>
  <si>
    <t>januari</t>
  </si>
  <si>
    <t>Cheer regulier +1</t>
  </si>
  <si>
    <t>tot 18</t>
  </si>
  <si>
    <t>februari</t>
  </si>
  <si>
    <t>Cheer regulier +1 abbo</t>
  </si>
  <si>
    <t>Cheer selecie +1</t>
  </si>
  <si>
    <t>Cheer selectie +1 abbo</t>
  </si>
  <si>
    <t>maart</t>
  </si>
  <si>
    <t xml:space="preserve">Cheer selectie +2 </t>
  </si>
  <si>
    <t>Cheer selectie +2 abbo</t>
  </si>
  <si>
    <t>april</t>
  </si>
  <si>
    <t>Lesdag</t>
  </si>
  <si>
    <t>Lestijd</t>
  </si>
  <si>
    <t>Cheer selectie onbeperkt</t>
  </si>
  <si>
    <t>Aantal minuten les</t>
  </si>
  <si>
    <t>Naam les</t>
  </si>
  <si>
    <t>Docent</t>
  </si>
  <si>
    <t>Tarief docent</t>
  </si>
  <si>
    <t>Tarief docent voor deze les</t>
  </si>
  <si>
    <t>Locatie</t>
  </si>
  <si>
    <t>Zaalhuur per uur</t>
  </si>
  <si>
    <t>Zaalhuur per les</t>
  </si>
  <si>
    <t>Cheer selectie onbeperkt abbo</t>
  </si>
  <si>
    <t>mei</t>
  </si>
  <si>
    <t>Volwassenen 1x</t>
  </si>
  <si>
    <t>18+</t>
  </si>
  <si>
    <t>Volwassenen 1x abbo</t>
  </si>
  <si>
    <t>juni</t>
  </si>
  <si>
    <t>Volwassenen 2x</t>
  </si>
  <si>
    <t>Maandag</t>
  </si>
  <si>
    <t>Kleuterdans</t>
  </si>
  <si>
    <t>Volwassenen 2x abbo</t>
  </si>
  <si>
    <t>juli</t>
  </si>
  <si>
    <t>Kosten</t>
  </si>
  <si>
    <t>Augustus</t>
  </si>
  <si>
    <t>September</t>
  </si>
  <si>
    <t>Oktober</t>
  </si>
  <si>
    <t>Strippenkaart p/k</t>
  </si>
  <si>
    <t>November</t>
  </si>
  <si>
    <t>December</t>
  </si>
  <si>
    <t>Januari</t>
  </si>
  <si>
    <t>2,5/4</t>
  </si>
  <si>
    <t>Februari</t>
  </si>
  <si>
    <t>Maart</t>
  </si>
  <si>
    <t>April</t>
  </si>
  <si>
    <t>Mei</t>
  </si>
  <si>
    <t>Juni</t>
  </si>
  <si>
    <t>Streetdance 6+</t>
  </si>
  <si>
    <t>Juli</t>
  </si>
  <si>
    <t>Abbonementen</t>
  </si>
  <si>
    <t xml:space="preserve">(Voor Nederland) Let op! Vul de bedragen excl BTW in. </t>
  </si>
  <si>
    <t>Strippenkaart 18+</t>
  </si>
  <si>
    <t>Totaal:</t>
  </si>
  <si>
    <t>Ledenadministratie</t>
  </si>
  <si>
    <t>Urban-Pop-Show 10+</t>
  </si>
  <si>
    <t>ChatGTP</t>
  </si>
  <si>
    <t xml:space="preserve">Cheer regulier +2 </t>
  </si>
  <si>
    <t>Spotify</t>
  </si>
  <si>
    <t>Cheer regulier +2 abbo</t>
  </si>
  <si>
    <t>Opslag Kostuums</t>
  </si>
  <si>
    <t>Urban-Pop-Show 12+</t>
  </si>
  <si>
    <t>Worst</t>
  </si>
  <si>
    <t>bijgewerkt: 17 feb</t>
  </si>
  <si>
    <t>Beter</t>
  </si>
  <si>
    <t>Zoey wassenaar</t>
  </si>
  <si>
    <t>Best</t>
  </si>
  <si>
    <t>Drukzo 99,60</t>
  </si>
  <si>
    <t>Wix/Canva/Overig</t>
  </si>
  <si>
    <t>Jeugdfonds</t>
  </si>
  <si>
    <t>Extra zaal huur</t>
  </si>
  <si>
    <t>Cheer regulier + onbeperkt</t>
  </si>
  <si>
    <t>Selectie Show</t>
  </si>
  <si>
    <t>Personeel</t>
  </si>
  <si>
    <t>Administratief medewerker fulltime</t>
  </si>
  <si>
    <t>Cheer regulier + onbeperkt abbo</t>
  </si>
  <si>
    <t>Commercial 16+</t>
  </si>
  <si>
    <t>Kleding docenten</t>
  </si>
  <si>
    <t>Administratiekosten</t>
  </si>
  <si>
    <t>Commercial 20+</t>
  </si>
  <si>
    <t>kantoorkosten</t>
  </si>
  <si>
    <t>Jazz 20+</t>
  </si>
  <si>
    <t>telefoonkosten</t>
  </si>
  <si>
    <t>computerkosten</t>
  </si>
  <si>
    <t>Verzekering</t>
  </si>
  <si>
    <t>Maand</t>
  </si>
  <si>
    <t>Activiteit</t>
  </si>
  <si>
    <t>Verwachte verkoop</t>
  </si>
  <si>
    <t>Prijs per activiteit</t>
  </si>
  <si>
    <t>Verwachte omzet</t>
  </si>
  <si>
    <t>Marketingstrategie</t>
  </si>
  <si>
    <t>Kosten leden</t>
  </si>
  <si>
    <t>Verkochte aantal</t>
  </si>
  <si>
    <t>Totaal</t>
  </si>
  <si>
    <t>Totaal per maand</t>
  </si>
  <si>
    <t>Streetdance 8+</t>
  </si>
  <si>
    <t>Selectie bijdrage</t>
  </si>
  <si>
    <t>Kostuums aangekocht doorheen jaar</t>
  </si>
  <si>
    <t>Dinsdag</t>
  </si>
  <si>
    <t>kostuums aangekocht periode show</t>
  </si>
  <si>
    <t>Modern 8+</t>
  </si>
  <si>
    <t>Inschrijfkosten</t>
  </si>
  <si>
    <t>Selectie teams</t>
  </si>
  <si>
    <t>(Voor het hele jaar)</t>
  </si>
  <si>
    <t>Selectie show 8+</t>
  </si>
  <si>
    <t xml:space="preserve">Sponsoring Selectie </t>
  </si>
  <si>
    <t>Voorstellingskosten</t>
  </si>
  <si>
    <t>Selectie Cheer</t>
  </si>
  <si>
    <t>Partijtje</t>
  </si>
  <si>
    <t>Hiphop 15+</t>
  </si>
  <si>
    <t>Marketing en verkoopkosten</t>
  </si>
  <si>
    <t>Woensdag</t>
  </si>
  <si>
    <t>Herfst 6+</t>
  </si>
  <si>
    <t>advertentie per maand</t>
  </si>
  <si>
    <t>kosten overig werk</t>
  </si>
  <si>
    <t>Herfst kleuters</t>
  </si>
  <si>
    <t>representatiekosten</t>
  </si>
  <si>
    <t>Modern 11+</t>
  </si>
  <si>
    <t xml:space="preserve">promotiemateriaal </t>
  </si>
  <si>
    <t>Kinderopvang</t>
  </si>
  <si>
    <t>Selectie Hiphop 11+</t>
  </si>
  <si>
    <t>overige verkoopkosten</t>
  </si>
  <si>
    <t>coaching</t>
  </si>
  <si>
    <t>Merchendise</t>
  </si>
  <si>
    <t>Merchandise</t>
  </si>
  <si>
    <t>Show 12+</t>
  </si>
  <si>
    <t xml:space="preserve">Halloween </t>
  </si>
  <si>
    <t>Vervoerskosten</t>
  </si>
  <si>
    <t>Verzekering auto</t>
  </si>
  <si>
    <t>Lessen Ichthus</t>
  </si>
  <si>
    <t>benzine</t>
  </si>
  <si>
    <t>Donderdag</t>
  </si>
  <si>
    <t>Showdance 6+</t>
  </si>
  <si>
    <t>Auto reperatie</t>
  </si>
  <si>
    <t>bankkosten</t>
  </si>
  <si>
    <t>Pietenochtend</t>
  </si>
  <si>
    <t>Showdance 8+</t>
  </si>
  <si>
    <t>Kerstshow</t>
  </si>
  <si>
    <t>Belasting</t>
  </si>
  <si>
    <t>Modern 14+</t>
  </si>
  <si>
    <t>teamvergaderingen huur zaaltje en eten / drank</t>
  </si>
  <si>
    <t>Commercial 14+</t>
  </si>
  <si>
    <t>boekhouder</t>
  </si>
  <si>
    <t>Selectie Hiphop 16+</t>
  </si>
  <si>
    <t>klein materiaal voor danslessen</t>
  </si>
  <si>
    <t>Les benodigdheden</t>
  </si>
  <si>
    <t>Merch</t>
  </si>
  <si>
    <t>Modern 16+</t>
  </si>
  <si>
    <t xml:space="preserve">Activiteiten </t>
  </si>
  <si>
    <t>Vrijdag</t>
  </si>
  <si>
    <t>Selectie Hiphop 8+</t>
  </si>
  <si>
    <t>thema-materiaal</t>
  </si>
  <si>
    <t>Cheer 8+</t>
  </si>
  <si>
    <t>Cheer 12+</t>
  </si>
  <si>
    <t>Urban-pop-Show 11+</t>
  </si>
  <si>
    <t>Zaterdag</t>
  </si>
  <si>
    <t>Peuters</t>
  </si>
  <si>
    <t>Kleuters</t>
  </si>
  <si>
    <t>FL Wedstrijd</t>
  </si>
  <si>
    <t>Showdance 5-6</t>
  </si>
  <si>
    <t>Showdance 7+</t>
  </si>
  <si>
    <t>Voorstelling</t>
  </si>
  <si>
    <t>Prive training</t>
  </si>
  <si>
    <t>Afsluiting</t>
  </si>
  <si>
    <t>Turnen 6+</t>
  </si>
  <si>
    <t>Turnen 12+</t>
  </si>
  <si>
    <t>Inkomstenbelasting Nederland</t>
  </si>
  <si>
    <t>Op dit tabblad zie je hoe de berekening voor de inkomstenbelasting is opgebouwd. Let op: Dit is een inschatting!</t>
  </si>
  <si>
    <t>Heb je recht op startersaftrek in 2025?</t>
  </si>
  <si>
    <t>Nee</t>
  </si>
  <si>
    <t>Financieel plan - Doelen</t>
  </si>
  <si>
    <t>Financieel plan - Werkelijkheid</t>
  </si>
  <si>
    <t>Winst uit onderneming</t>
  </si>
  <si>
    <t>Zelfstandigenaftrek</t>
  </si>
  <si>
    <t>Startersaftrek</t>
  </si>
  <si>
    <t>MKB-winstvrijstelling</t>
  </si>
  <si>
    <t>Belastbaar inkomen box 1</t>
  </si>
  <si>
    <t>Belasting box 1</t>
  </si>
  <si>
    <t>Algemene heffingskorting</t>
  </si>
  <si>
    <t>Arbeidskorting</t>
  </si>
  <si>
    <t>Verschuldigde inkomensbelasting</t>
  </si>
  <si>
    <t>Inkomensafhankelijk bijdrage Zvw</t>
  </si>
  <si>
    <t>Totaal inkomstenbelasting en premie Zvw</t>
  </si>
  <si>
    <t>% van de winst</t>
  </si>
  <si>
    <t>Inkomstenbelasting Belgie</t>
  </si>
  <si>
    <t>Sociale bijdrage</t>
  </si>
  <si>
    <t>Schijf 1</t>
  </si>
  <si>
    <t>Schijf 2</t>
  </si>
  <si>
    <t>Schijf 3</t>
  </si>
  <si>
    <t>Schijf 4</t>
  </si>
  <si>
    <t>Belastingvrije som</t>
  </si>
  <si>
    <t>Minuten les</t>
  </si>
  <si>
    <t>Aantal lessen deze maand</t>
  </si>
  <si>
    <t>Tarief docent per les</t>
  </si>
  <si>
    <t>Aantal leden tarief 1</t>
  </si>
  <si>
    <t>Type lidmaatschap (Letop! alleen jaarbetalingen!!)</t>
  </si>
  <si>
    <t>Tarief 1</t>
  </si>
  <si>
    <t>Aantal leden tarief 2</t>
  </si>
  <si>
    <t>Type lidmaatschap (Letop! alleen jaarbetalingen!!) 2</t>
  </si>
  <si>
    <t>Tarief 2</t>
  </si>
  <si>
    <t>Aantal leden tarief 3</t>
  </si>
  <si>
    <t>Type lidmaatschap (Letop! alleen jaarbetalingen!!) 3</t>
  </si>
  <si>
    <t>Tarief 3</t>
  </si>
  <si>
    <t>Aantal leden tarief 4</t>
  </si>
  <si>
    <t>Type lidmaatschap (Letop! alleen jaarbetalingen!!) 4</t>
  </si>
  <si>
    <t>Tarief 4</t>
  </si>
  <si>
    <t>Aantal leden tarief 5</t>
  </si>
  <si>
    <t>Type lidmaatschap (Letop! alleen jaarbetalingen!!) 5</t>
  </si>
  <si>
    <t>Tarief 5</t>
  </si>
  <si>
    <t>Aantal leden tarief 6</t>
  </si>
  <si>
    <t>Type lidmaatschap (Letop! alleen jaarbetalingen!!) 6</t>
  </si>
  <si>
    <t>Tarief 6</t>
  </si>
  <si>
    <t>Totaal aantal leden</t>
  </si>
  <si>
    <t>Kosten per maand</t>
  </si>
  <si>
    <t>Inkomsten voor komend seizoen</t>
  </si>
  <si>
    <t>Winst per maand</t>
  </si>
  <si>
    <t>Type lidmaatschap 1</t>
  </si>
  <si>
    <t>Tarief 1 (excl btw)</t>
  </si>
  <si>
    <t>Type lidmaatschap 2</t>
  </si>
  <si>
    <t>Tarief 2 (excl btw)</t>
  </si>
  <si>
    <t>Type lidmaatschap 3</t>
  </si>
  <si>
    <t>Tarief 3 (excl btw)</t>
  </si>
  <si>
    <t>Type lidmaatschap 4</t>
  </si>
  <si>
    <t>Tarief 4 (excl btw)</t>
  </si>
  <si>
    <t>Aantal leden met een jaarabb.</t>
  </si>
  <si>
    <t xml:space="preserve">Is hij betaald in deze maand? Vul hieronder het bedrag in. </t>
  </si>
  <si>
    <t>Inkomsten per maand</t>
  </si>
  <si>
    <t>Categorie</t>
  </si>
  <si>
    <t>Bedrag</t>
  </si>
  <si>
    <t>Kolom 1</t>
  </si>
  <si>
    <t>Inkomsten lessen</t>
  </si>
  <si>
    <t>Inkomsten overige</t>
  </si>
  <si>
    <t>Kosten lessen</t>
  </si>
  <si>
    <t>Kosten overige</t>
  </si>
  <si>
    <t>Salaris doel</t>
  </si>
  <si>
    <t>Winst deze maand</t>
  </si>
  <si>
    <t>Ilja</t>
  </si>
  <si>
    <t>Kolom 30</t>
  </si>
  <si>
    <t>Peuterrs</t>
  </si>
  <si>
    <t>Type lidmaatschap 1 2</t>
  </si>
  <si>
    <t>Kolom 12</t>
  </si>
  <si>
    <t>Kolom 13</t>
  </si>
  <si>
    <t>Kolom 15</t>
  </si>
  <si>
    <t>Kolom 16</t>
  </si>
  <si>
    <t>Kolom 18</t>
  </si>
  <si>
    <t>Kolom 19</t>
  </si>
  <si>
    <t>Aantal lessen dit jaar</t>
  </si>
  <si>
    <t>Gemiddelde aantal leden dit seizoen</t>
  </si>
  <si>
    <t>Kosten dit seizoen</t>
  </si>
  <si>
    <t>Inkomsten dit seizoen</t>
  </si>
  <si>
    <t>Winst dit seizoen</t>
  </si>
  <si>
    <t>Welke les heeft aandacht nodig</t>
  </si>
  <si>
    <t>Trend leden</t>
  </si>
  <si>
    <t>Daling/stijging ledenaantal</t>
  </si>
  <si>
    <t>Cheer</t>
  </si>
  <si>
    <t>Urban-Pop-Show</t>
  </si>
  <si>
    <t>Show/Jazz</t>
  </si>
  <si>
    <t>Selecties</t>
  </si>
  <si>
    <t>Streetdance</t>
  </si>
  <si>
    <t>Commercial</t>
  </si>
  <si>
    <t>Modern</t>
  </si>
  <si>
    <t>Hiphop</t>
  </si>
  <si>
    <t>Showdance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</si>
</sst>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€-2]\ #,##0.00"/>
    <numFmt numFmtId="165" formatCode="d-M-yyyy"/>
    <numFmt numFmtId="166" formatCode="h&quot;:&quot;mm"/>
    <numFmt numFmtId="167" formatCode="_ &quot;€&quot;\ * #,##0_ ;_ &quot;€&quot;\ * \-#,##0_ ;_ &quot;€&quot;\ * &quot;-&quot;??_ ;_ @_ "/>
    <numFmt numFmtId="168" formatCode="[$€-2]\ #,##0"/>
  </numFmts>
  <fonts count="44">
    <font>
      <sz val="12.0"/>
      <color theme="1"/>
      <name val="Calibri"/>
      <scheme val="minor"/>
    </font>
    <font>
      <color theme="1"/>
      <name val="Calibri"/>
      <scheme val="minor"/>
    </font>
    <font>
      <color rgb="FFFFFFFF"/>
      <name val="Roboto"/>
    </font>
    <font>
      <sz val="12.0"/>
      <color rgb="FF434343"/>
      <name val="Roboto"/>
    </font>
    <font>
      <sz val="12.0"/>
      <color rgb="FF473821"/>
      <name val="Roboto"/>
    </font>
    <font>
      <color theme="1"/>
      <name val="Roboto"/>
    </font>
    <font>
      <color rgb="FF434343"/>
      <name val="Roboto"/>
    </font>
    <font>
      <color rgb="FF005A55"/>
      <name val="Roboto"/>
    </font>
    <font>
      <sz val="12.0"/>
      <color rgb="FF000000"/>
      <name val="Calibri"/>
      <scheme val="minor"/>
    </font>
    <font>
      <sz val="12.0"/>
      <color rgb="FF000000"/>
      <name val="Roboto"/>
    </font>
    <font>
      <sz val="12.0"/>
      <color rgb="FF005A55"/>
      <name val="Roboto"/>
    </font>
    <font>
      <sz val="12.0"/>
      <color rgb="FF11734B"/>
      <name val="Roboto"/>
    </font>
    <font>
      <sz val="12.0"/>
      <color rgb="FF5A3286"/>
      <name val="Roboto"/>
    </font>
    <font>
      <color rgb="FF9E5200"/>
      <name val="Roboto"/>
    </font>
    <font>
      <color rgb="FF000000"/>
      <name val="Roboto"/>
    </font>
    <font>
      <color rgb="FFA22116"/>
      <name val="Roboto"/>
    </font>
    <font>
      <sz val="12.0"/>
      <color rgb="FF434343"/>
      <name val="Docs-Roboto"/>
    </font>
    <font>
      <color theme="1"/>
      <name val="Arial"/>
    </font>
    <font>
      <color rgb="FFFF0000"/>
      <name val="Calibri"/>
      <scheme val="minor"/>
    </font>
    <font>
      <sz val="12.0"/>
      <color rgb="FF2A4AB0"/>
      <name val="Roboto"/>
    </font>
    <font>
      <b/>
      <sz val="12.0"/>
      <color theme="1"/>
      <name val="Calibri"/>
    </font>
    <font>
      <sz val="12.0"/>
      <color rgb="FFFF0000"/>
      <name val="Roboto"/>
    </font>
    <font>
      <sz val="12.0"/>
      <color theme="1"/>
      <name val="Calibri"/>
    </font>
    <font>
      <sz val="12.0"/>
      <color rgb="FF434343"/>
      <name val="Calibri"/>
    </font>
    <font>
      <b/>
      <sz val="12.0"/>
      <color rgb="FF434343"/>
      <name val="Calibri"/>
    </font>
    <font>
      <sz val="12.0"/>
      <color rgb="FFB10202"/>
      <name val="Roboto"/>
    </font>
    <font>
      <sz val="12.0"/>
      <color rgb="FFFFFFFF"/>
      <name val="Roboto"/>
    </font>
    <font>
      <sz val="12.0"/>
      <color rgb="FF753800"/>
      <name val="Roboto"/>
    </font>
    <font>
      <sz val="12.0"/>
      <color rgb="FF0A53A8"/>
      <name val="Roboto"/>
    </font>
    <font>
      <sz val="12.0"/>
      <color rgb="FF0A53A8"/>
      <name val="Calibri"/>
    </font>
    <font>
      <sz val="12.0"/>
      <color rgb="FF215A6C"/>
      <name val="Roboto"/>
    </font>
    <font>
      <sz val="12.0"/>
      <color rgb="FF215A6C"/>
      <name val="Calibri"/>
    </font>
    <font>
      <sz val="12.0"/>
      <color rgb="FF5A3286"/>
      <name val="Calibri"/>
    </font>
    <font>
      <sz val="12.0"/>
      <color rgb="FF3D3D3D"/>
      <name val="Roboto"/>
    </font>
    <font>
      <b/>
      <sz val="14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2.0"/>
      <color rgb="FF000000"/>
      <name val="&quot;Google Sans Mono&quot;"/>
    </font>
    <font>
      <sz val="12.0"/>
      <color theme="1"/>
      <name val="Roboto"/>
    </font>
    <font>
      <sz val="12.0"/>
      <color theme="1"/>
      <name val="Google Sans Mono"/>
    </font>
    <font>
      <sz val="8.0"/>
      <color theme="1"/>
      <name val="Calibri"/>
      <scheme val="minor"/>
    </font>
    <font>
      <color rgb="FFFFFFFF"/>
      <name val="Calibri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rgb="FF4A86E8"/>
        <bgColor rgb="FF4A86E8"/>
      </patternFill>
    </fill>
    <fill>
      <patternFill patternType="solid">
        <fgColor rgb="FF3C78D8"/>
        <bgColor rgb="FF3C78D8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CBA259"/>
        <bgColor rgb="FFCBA259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D0E0E3"/>
        <bgColor rgb="FFD0E0E3"/>
      </patternFill>
    </fill>
    <fill>
      <patternFill patternType="solid">
        <fgColor rgb="FF373F6B"/>
        <bgColor rgb="FF373F6B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</fills>
  <borders count="36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535FC1"/>
      </left>
      <right style="thin">
        <color rgb="FF535FC1"/>
      </right>
      <top style="thin">
        <color rgb="FF3E4791"/>
      </top>
    </border>
    <border>
      <left style="thin">
        <color rgb="FF535FC1"/>
      </left>
      <top style="thin">
        <color rgb="FF3E4791"/>
      </top>
    </border>
    <border>
      <left style="thin">
        <color rgb="FF535FC1"/>
      </left>
      <right style="thin">
        <color rgb="FF3E4791"/>
      </right>
      <top style="thin">
        <color rgb="FF3E4791"/>
      </top>
    </border>
    <border>
      <left style="thin">
        <color rgb="FF3E4791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292F50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292F5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2CC"/>
      </left>
      <right style="thin">
        <color rgb="FFFFF2CC"/>
      </right>
      <top style="thin">
        <color rgb="FFFFF2CC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FFFF00"/>
      </right>
      <top style="thin">
        <color rgb="FFFFFF00"/>
      </top>
      <bottom style="thin">
        <color rgb="FF3E4791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3E4791"/>
      </bottom>
    </border>
    <border>
      <left style="thin">
        <color rgb="FFFFFF00"/>
      </left>
      <right style="thin">
        <color rgb="FFFFFF00"/>
      </right>
      <bottom style="thin">
        <color rgb="FF3E4791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</border>
    <border>
      <left style="thin">
        <color rgb="FF000000"/>
      </left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3E4791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3E4791"/>
      </bottom>
    </border>
    <border>
      <left style="thin">
        <color rgb="FFF9CB9C"/>
      </left>
      <right style="thin">
        <color rgb="FFF9CB9C"/>
      </right>
      <top style="thin">
        <color rgb="FF3E4791"/>
      </top>
      <bottom style="thin">
        <color rgb="FF3E4791"/>
      </bottom>
    </border>
    <border>
      <left style="thin">
        <color rgb="FF9FC5E8"/>
      </left>
      <right style="thin">
        <color rgb="FF9FC5E8"/>
      </right>
      <top style="thin">
        <color rgb="FF3E4791"/>
      </top>
      <bottom style="thin">
        <color rgb="FF3E4791"/>
      </bottom>
    </border>
    <border>
      <left style="thin">
        <color rgb="FFD5A6BD"/>
      </left>
      <right style="thin">
        <color rgb="FFD5A6BD"/>
      </right>
      <top style="thin">
        <color rgb="FF3E4791"/>
      </top>
      <bottom style="thin">
        <color rgb="FF3E4791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3E4791"/>
      </bottom>
    </border>
  </borders>
  <cellStyleXfs count="1">
    <xf borderId="0" fillId="0" fontId="0" numFmtId="0" applyAlignment="1" applyFont="1"/>
  </cellStyleXfs>
  <cellXfs count="4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2" fillId="2" fontId="2" numFmtId="0" xfId="0" applyAlignment="1" applyBorder="1" applyFill="1" applyFont="1">
      <alignment horizontal="left" readingOrder="0" shrinkToFit="0" vertical="center" wrapText="1"/>
    </xf>
    <xf borderId="2" fillId="2" fontId="2" numFmtId="49" xfId="0" applyAlignment="1" applyBorder="1" applyFill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2" fillId="2" fontId="2" numFmtId="0" xfId="0" applyAlignment="1" applyBorder="1" applyFill="1" applyFont="1">
      <alignment horizontal="left" readingOrder="0" shrinkToFit="0" vertical="center" wrapText="1"/>
    </xf>
    <xf borderId="3" fillId="3" fontId="3" numFmtId="0" xfId="0" applyAlignment="1" applyBorder="1" applyFill="1" applyFont="1">
      <alignment readingOrder="0" shrinkToFit="0" vertical="center" wrapText="0"/>
    </xf>
    <xf borderId="3" fillId="3" fontId="3" numFmtId="49" xfId="0" applyAlignment="1" applyBorder="1" applyFill="1" applyFont="1" applyNumberFormat="1">
      <alignment shrinkToFit="0" vertical="center" wrapText="0"/>
    </xf>
    <xf borderId="4" fillId="3" fontId="3" numFmtId="49" xfId="0" applyAlignment="1" applyBorder="1" applyFill="1" applyFont="1" applyNumberFormat="1">
      <alignment shrinkToFit="0" vertical="center" wrapText="0"/>
    </xf>
    <xf borderId="4" fillId="3" fontId="3" numFmtId="164" xfId="0" applyAlignment="1" applyBorder="1" applyFill="1" applyFont="1" applyNumberFormat="1">
      <alignment horizontal="right" readingOrder="0" shrinkToFit="0" vertical="center" wrapText="0"/>
    </xf>
    <xf borderId="0" fillId="4" fontId="1" numFmtId="49" xfId="0" applyAlignment="1" applyFill="1" applyFont="1" applyNumberFormat="1">
      <alignment readingOrder="0" shrinkToFit="0" vertical="center" wrapText="0"/>
    </xf>
    <xf borderId="5" fillId="2" fontId="2" numFmtId="0" xfId="0" applyAlignment="1" applyBorder="1" applyFill="1" applyFont="1">
      <alignment horizontal="left" readingOrder="0" shrinkToFit="0" vertical="center" wrapText="1"/>
    </xf>
    <xf borderId="0" fillId="4" fontId="1" numFmtId="164" xfId="0" applyAlignment="1" applyFill="1" applyFont="1" applyNumberFormat="1">
      <alignment readingOrder="0" shrinkToFit="0" vertical="center" wrapText="0"/>
    </xf>
    <xf borderId="4" fillId="3" fontId="3" numFmtId="164" xfId="0" applyAlignment="1" applyBorder="1" applyFill="1" applyFont="1" applyNumberFormat="1">
      <alignment horizontal="right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4" fillId="3" fontId="3" numFmtId="4" xfId="0" applyAlignment="1" applyBorder="1" applyFill="1" applyFont="1" applyNumberFormat="1">
      <alignment horizontal="right"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6" fillId="2" fontId="2" numFmtId="0" xfId="0" applyAlignment="1" applyBorder="1" applyFill="1" applyFont="1">
      <alignment horizontal="left" readingOrder="0" shrinkToFit="0" vertical="center" wrapText="1"/>
    </xf>
    <xf borderId="0" fillId="4" fontId="1" numFmtId="49" xfId="0" applyAlignment="1" applyFill="1" applyFont="1" applyNumberFormat="1">
      <alignment shrinkToFit="0" vertical="center" wrapText="0"/>
    </xf>
    <xf borderId="4" fillId="3" fontId="3" numFmtId="0" xfId="0" applyAlignment="1" applyBorder="1" applyFill="1" applyFont="1">
      <alignment horizontal="right" shrinkToFit="0" vertical="center" wrapText="0"/>
    </xf>
    <xf borderId="0" fillId="4" fontId="1" numFmtId="9" xfId="0" applyAlignment="1" applyFill="1" applyFont="1" applyNumberFormat="1">
      <alignment readingOrder="0" shrinkToFit="0" vertical="center" wrapText="0"/>
    </xf>
    <xf borderId="7" fillId="2" fontId="2" numFmtId="0" xfId="0" applyAlignment="1" applyBorder="1" applyFill="1" applyFont="1">
      <alignment horizontal="left" readingOrder="0" shrinkToFit="0" vertical="center" wrapText="1"/>
    </xf>
    <xf borderId="4" fillId="3" fontId="4" numFmtId="0" xfId="0" applyAlignment="1" applyBorder="1" applyFill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4" fillId="3" fontId="3" numFmtId="165" xfId="0" applyAlignment="1" applyBorder="1" applyFill="1" applyFont="1" applyNumberFormat="1">
      <alignment horizontal="right" shrinkToFit="0" vertical="center" wrapText="0"/>
    </xf>
    <xf borderId="3" fillId="4" fontId="5" numFmtId="0" xfId="0" applyAlignment="1" applyBorder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4" fillId="3" fontId="6" numFmtId="0" xfId="0" applyAlignment="1" applyBorder="1" applyFill="1" applyFont="1">
      <alignment readingOrder="0" shrinkToFit="0" vertical="center" wrapText="0"/>
    </xf>
    <xf borderId="4" fillId="3" fontId="6" numFmtId="3" xfId="0" applyAlignment="1" applyBorder="1" applyFill="1" applyFont="1" applyNumberFormat="1">
      <alignment readingOrder="0" shrinkToFit="0" vertical="center" wrapText="0"/>
    </xf>
    <xf borderId="0" fillId="4" fontId="1" numFmtId="164" xfId="0" applyAlignment="1" applyFill="1" applyFont="1" applyNumberFormat="1">
      <alignment shrinkToFit="0" vertical="center" wrapText="0"/>
    </xf>
    <xf borderId="4" fillId="3" fontId="6" numFmtId="0" xfId="0" applyAlignment="1" applyBorder="1" applyFill="1" applyFont="1">
      <alignment readingOrder="0" shrinkToFit="0" vertical="center" wrapText="0"/>
    </xf>
    <xf borderId="0" fillId="4" fontId="1" numFmtId="0" xfId="0" applyAlignment="1" applyFill="1" applyFont="1">
      <alignment shrinkToFit="0" vertical="center" wrapText="0"/>
    </xf>
    <xf borderId="0" fillId="0" fontId="1" numFmtId="4" xfId="0" applyFont="1" applyNumberFormat="1"/>
    <xf borderId="4" fillId="4" fontId="6" numFmtId="3" xfId="0" applyAlignment="1" applyBorder="1" applyFill="1" applyFont="1" applyNumberFormat="1">
      <alignment readingOrder="0" shrinkToFit="0" vertical="center" wrapText="0"/>
    </xf>
    <xf borderId="4" fillId="4" fontId="6" numFmtId="0" xfId="0" applyAlignment="1" applyBorder="1" applyFill="1" applyFont="1">
      <alignment readingOrder="0" shrinkToFit="0" vertical="center" wrapText="0"/>
    </xf>
    <xf borderId="4" fillId="4" fontId="6" numFmtId="0" xfId="0" applyAlignment="1" applyBorder="1" applyFill="1" applyFont="1">
      <alignment horizontal="right" shrinkToFit="0" vertical="center" wrapText="0"/>
    </xf>
    <xf borderId="4" fillId="4" fontId="6" numFmtId="10" xfId="0" applyAlignment="1" applyBorder="1" applyFill="1" applyFont="1" applyNumberFormat="1">
      <alignment shrinkToFit="0" vertical="center" wrapText="0"/>
    </xf>
    <xf borderId="4" fillId="3" fontId="7" numFmtId="164" xfId="0" applyAlignment="1" applyBorder="1" applyFill="1" applyFont="1" applyNumberFormat="1">
      <alignment shrinkToFit="0" vertical="center" wrapText="0"/>
    </xf>
    <xf borderId="4" fillId="4" fontId="6" numFmtId="0" xfId="0" applyAlignment="1" applyBorder="1" applyFill="1" applyFont="1">
      <alignment shrinkToFit="0" vertical="center" wrapText="0"/>
    </xf>
    <xf borderId="8" fillId="5" fontId="3" numFmtId="49" xfId="0" applyAlignment="1" applyBorder="1" applyFill="1" applyFont="1" applyNumberFormat="1">
      <alignment shrinkToFit="0" vertical="center" wrapText="0"/>
    </xf>
    <xf borderId="9" fillId="5" fontId="3" numFmtId="49" xfId="0" applyAlignment="1" applyBorder="1" applyFill="1" applyFont="1" applyNumberFormat="1">
      <alignment readingOrder="0" shrinkToFit="0" vertical="center" wrapText="0"/>
    </xf>
    <xf borderId="0" fillId="4" fontId="8" numFmtId="0" xfId="0" applyAlignment="1" applyFill="1" applyFont="1">
      <alignment shrinkToFit="0" vertical="center" wrapText="0"/>
    </xf>
    <xf borderId="9" fillId="5" fontId="3" numFmtId="164" xfId="0" applyAlignment="1" applyBorder="1" applyFill="1" applyFont="1" applyNumberFormat="1">
      <alignment horizontal="right" readingOrder="0" shrinkToFit="0" vertical="center" wrapText="0"/>
    </xf>
    <xf borderId="0" fillId="4" fontId="9" numFmtId="0" xfId="0" applyAlignment="1" applyFill="1" applyFont="1">
      <alignment horizontal="right" shrinkToFit="0" vertical="center" wrapText="0"/>
    </xf>
    <xf borderId="9" fillId="5" fontId="3" numFmtId="164" xfId="0" applyAlignment="1" applyBorder="1" applyFill="1" applyFont="1" applyNumberFormat="1">
      <alignment horizontal="right" shrinkToFit="0" vertical="center" wrapText="0"/>
    </xf>
    <xf borderId="0" fillId="4" fontId="9" numFmtId="0" xfId="0" applyAlignment="1" applyFill="1" applyFont="1">
      <alignment horizontal="center" shrinkToFit="0" vertical="center" wrapText="0"/>
    </xf>
    <xf borderId="9" fillId="5" fontId="4" numFmtId="0" xfId="0" applyAlignment="1" applyBorder="1" applyFill="1" applyFont="1">
      <alignment shrinkToFit="0" vertical="center" wrapText="0"/>
    </xf>
    <xf borderId="10" fillId="4" fontId="9" numFmtId="0" xfId="0" applyAlignment="1" applyBorder="1" applyFill="1" applyFont="1">
      <alignment horizontal="right" shrinkToFit="0" vertical="center" wrapText="0"/>
    </xf>
    <xf borderId="9" fillId="5" fontId="3" numFmtId="165" xfId="0" applyAlignment="1" applyBorder="1" applyFill="1" applyFont="1" applyNumberForma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11" fillId="3" fontId="3" numFmtId="49" xfId="0" applyAlignment="1" applyBorder="1" applyFill="1" applyFont="1" applyNumberFormat="1">
      <alignment shrinkToFit="0" vertical="center" wrapText="0"/>
    </xf>
    <xf borderId="9" fillId="3" fontId="3" numFmtId="164" xfId="0" applyAlignment="1" applyBorder="1" applyFill="1" applyFont="1" applyNumberFormat="1">
      <alignment horizontal="right" readingOrder="0" shrinkToFit="0" vertical="center" wrapText="0"/>
    </xf>
    <xf borderId="9" fillId="3" fontId="3" numFmtId="0" xfId="0" applyAlignment="1" applyBorder="1" applyFill="1" applyFont="1">
      <alignment horizontal="center" shrinkToFit="0" vertical="center" wrapText="0"/>
    </xf>
    <xf borderId="9" fillId="3" fontId="3" numFmtId="0" xfId="0" applyAlignment="1" applyBorder="1" applyFill="1" applyFont="1">
      <alignment horizontal="right" shrinkToFit="0" vertical="center" wrapText="0"/>
    </xf>
    <xf borderId="9" fillId="3" fontId="3" numFmtId="49" xfId="0" applyAlignment="1" applyBorder="1" applyFill="1" applyFont="1" applyNumberFormat="1">
      <alignment shrinkToFit="0" vertical="center" wrapText="0"/>
    </xf>
    <xf borderId="9" fillId="3" fontId="10" numFmtId="9" xfId="0" applyAlignment="1" applyBorder="1" applyFill="1" applyFont="1" applyNumberFormat="1">
      <alignment horizontal="right" readingOrder="0" shrinkToFit="0" vertical="center" wrapText="0"/>
    </xf>
    <xf borderId="4" fillId="3" fontId="11" numFmtId="0" xfId="0" applyAlignment="1" applyBorder="1" applyFill="1" applyFont="1">
      <alignment shrinkToFit="0" vertical="center" wrapText="0"/>
    </xf>
    <xf borderId="12" fillId="5" fontId="3" numFmtId="49" xfId="0" applyAlignment="1" applyBorder="1" applyFill="1" applyFont="1" applyNumberFormat="1">
      <alignment shrinkToFit="0" vertical="center" wrapText="0"/>
    </xf>
    <xf borderId="4" fillId="5" fontId="3" numFmtId="164" xfId="0" applyAlignment="1" applyBorder="1" applyFill="1" applyFont="1" applyNumberFormat="1">
      <alignment horizontal="right" readingOrder="0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4" fillId="5" fontId="3" numFmtId="0" xfId="0" applyAlignment="1" applyBorder="1" applyFill="1" applyFont="1">
      <alignment horizontal="right" shrinkToFit="0" vertical="center" wrapText="0"/>
    </xf>
    <xf borderId="4" fillId="5" fontId="3" numFmtId="49" xfId="0" applyAlignment="1" applyBorder="1" applyFill="1" applyFont="1" applyNumberFormat="1">
      <alignment shrinkToFit="0" vertical="center" wrapText="0"/>
    </xf>
    <xf borderId="4" fillId="5" fontId="10" numFmtId="9" xfId="0" applyAlignment="1" applyBorder="1" applyFill="1" applyFont="1" applyNumberFormat="1">
      <alignment horizontal="right" readingOrder="0" shrinkToFit="0" vertical="center" wrapText="0"/>
    </xf>
    <xf borderId="9" fillId="5" fontId="12" numFmtId="0" xfId="0" applyAlignment="1" applyBorder="1" applyFill="1" applyFont="1">
      <alignment readingOrder="0" shrinkToFit="0" vertical="center" wrapText="0"/>
    </xf>
    <xf borderId="4" fillId="4" fontId="3" numFmtId="0" xfId="0" applyAlignment="1" applyBorder="1" applyFill="1" applyFont="1">
      <alignment horizontal="right" shrinkToFit="0" vertical="center" wrapText="0"/>
    </xf>
    <xf borderId="9" fillId="5" fontId="13" numFmtId="164" xfId="0" applyAlignment="1" applyBorder="1" applyFill="1" applyFont="1" applyNumberFormat="1">
      <alignment shrinkToFit="0" vertical="center" wrapText="0"/>
    </xf>
    <xf borderId="9" fillId="4" fontId="14" numFmtId="0" xfId="0" applyAlignment="1" applyBorder="1" applyFill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9" fillId="5" fontId="3" numFmtId="4" xfId="0" applyAlignment="1" applyBorder="1" applyFill="1" applyFont="1" applyNumberFormat="1">
      <alignment horizontal="right" readingOrder="0" shrinkToFit="0" vertical="center" wrapText="0"/>
    </xf>
    <xf borderId="9" fillId="5" fontId="3" numFmtId="0" xfId="0" applyAlignment="1" applyBorder="1" applyFill="1" applyFont="1">
      <alignment horizontal="right" shrinkToFit="0" vertical="center" wrapText="0"/>
    </xf>
    <xf borderId="4" fillId="4" fontId="14" numFmtId="0" xfId="0" applyAlignment="1" applyBorder="1" applyFill="1" applyFont="1">
      <alignment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9" fillId="3" fontId="3" numFmtId="164" xfId="0" applyAlignment="1" applyBorder="1" applyFill="1" applyFont="1" applyNumberFormat="1">
      <alignment horizontal="right" shrinkToFit="0" vertical="center" wrapText="0"/>
    </xf>
    <xf borderId="9" fillId="3" fontId="3" numFmtId="0" xfId="0" applyAlignment="1" applyBorder="1" applyFill="1" applyFont="1">
      <alignment horizontal="center" readingOrder="0" shrinkToFit="0" vertical="center" wrapText="0"/>
    </xf>
    <xf borderId="9" fillId="5" fontId="15" numFmtId="164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4" fillId="5" fontId="3" numFmtId="164" xfId="0" applyAlignment="1" applyBorder="1" applyFill="1" applyFont="1" applyNumberFormat="1">
      <alignment horizontal="right" shrinkToFit="0" vertical="center" wrapText="0"/>
    </xf>
    <xf borderId="4" fillId="5" fontId="3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9" fillId="5" fontId="7" numFmtId="164" xfId="0" applyAlignment="1" applyBorder="1" applyFill="1" applyFont="1" applyNumberFormat="1">
      <alignment shrinkToFit="0" vertical="center" wrapText="0"/>
    </xf>
    <xf borderId="9" fillId="3" fontId="16" numFmtId="49" xfId="0" applyAlignment="1" applyBorder="1" applyFill="1" applyFont="1" applyNumberFormat="1">
      <alignment shrinkToFit="0" vertical="center" wrapText="0"/>
    </xf>
    <xf borderId="9" fillId="5" fontId="16" numFmtId="49" xfId="0" applyAlignment="1" applyBorder="1" applyFill="1" applyFont="1" applyNumberFormat="1">
      <alignment shrinkToFit="0" vertical="center" wrapText="0"/>
    </xf>
    <xf borderId="4" fillId="3" fontId="17" numFmtId="0" xfId="0" applyAlignment="1" applyBorder="1" applyFill="1" applyFont="1">
      <alignment shrinkToFit="0" vertical="center" wrapText="0"/>
    </xf>
    <xf borderId="9" fillId="5" fontId="17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13" fillId="5" fontId="12" numFmtId="0" xfId="0" applyAlignment="1" applyBorder="1" applyFill="1" applyFont="1">
      <alignment readingOrder="0" shrinkToFit="0" vertical="center" wrapText="0"/>
    </xf>
    <xf borderId="9" fillId="5" fontId="3" numFmtId="166" xfId="0" applyAlignment="1" applyBorder="1" applyFill="1" applyFont="1" applyNumberFormat="1">
      <alignment horizontal="right" readingOrder="0" shrinkToFit="0" vertical="center" wrapText="0"/>
    </xf>
    <xf borderId="9" fillId="5" fontId="3" numFmtId="0" xfId="0" applyAlignment="1" applyBorder="1" applyFill="1" applyFont="1">
      <alignment horizontal="center" readingOrder="0" shrinkToFit="0" vertical="center" wrapText="0"/>
    </xf>
    <xf borderId="9" fillId="5" fontId="3" numFmtId="0" xfId="0" applyAlignment="1" applyBorder="1" applyFill="1" applyFont="1">
      <alignment readingOrder="0" shrinkToFit="0" vertical="center" wrapText="0"/>
    </xf>
    <xf borderId="9" fillId="5" fontId="3" numFmtId="0" xfId="0" applyAlignment="1" applyBorder="1" applyFill="1" applyFont="1">
      <alignment shrinkToFit="0" vertical="center" wrapText="0"/>
    </xf>
    <xf borderId="0" fillId="0" fontId="18" numFmtId="0" xfId="0" applyAlignment="1" applyFont="1">
      <alignment readingOrder="0" shrinkToFit="0" wrapText="1"/>
    </xf>
    <xf borderId="9" fillId="3" fontId="19" numFmtId="9" xfId="0" applyAlignment="1" applyBorder="1" applyFill="1" applyFont="1" applyNumberFormat="1">
      <alignment horizontal="right" readingOrder="0" shrinkToFit="0" vertical="center" wrapText="0"/>
    </xf>
    <xf borderId="14" fillId="4" fontId="9" numFmtId="0" xfId="0" applyAlignment="1" applyBorder="1" applyFill="1" applyFont="1">
      <alignment horizontal="right" shrinkToFit="0" vertical="center" wrapText="0"/>
    </xf>
    <xf borderId="15" fillId="3" fontId="12" numFmtId="0" xfId="0" applyAlignment="1" applyBorder="1" applyFill="1" applyFont="1">
      <alignment readingOrder="0" shrinkToFit="0" vertical="center" wrapText="0"/>
    </xf>
    <xf borderId="4" fillId="3" fontId="3" numFmtId="166" xfId="0" applyAlignment="1" applyBorder="1" applyFill="1" applyFont="1" applyNumberFormat="1">
      <alignment horizontal="right" readingOrder="0" shrinkToFit="0" vertical="center" wrapText="0"/>
    </xf>
    <xf borderId="4" fillId="3" fontId="3" numFmtId="0" xfId="0" applyAlignment="1" applyBorder="1" applyFill="1" applyFont="1">
      <alignment horizontal="center" readingOrder="0" shrinkToFit="0" vertical="center" wrapText="0"/>
    </xf>
    <xf borderId="4" fillId="3" fontId="3" numFmtId="49" xfId="0" applyAlignment="1" applyBorder="1" applyFill="1" applyFont="1" applyNumberFormat="1">
      <alignment readingOrder="0" shrinkToFit="0" vertical="center" wrapText="0"/>
    </xf>
    <xf borderId="4" fillId="5" fontId="19" numFmtId="9" xfId="0" applyAlignment="1" applyBorder="1" applyFill="1" applyFont="1" applyNumberFormat="1">
      <alignment horizontal="right" readingOrder="0" shrinkToFit="0" vertical="center" wrapText="0"/>
    </xf>
    <xf borderId="4" fillId="3" fontId="3" numFmtId="0" xfId="0" applyAlignment="1" applyBorder="1" applyFill="1" applyFont="1">
      <alignment readingOrder="0"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shrinkToFit="0" vertical="bottom" wrapText="0"/>
    </xf>
    <xf borderId="16" fillId="3" fontId="21" numFmtId="164" xfId="0" applyAlignment="1" applyBorder="1" applyFill="1" applyFont="1" applyNumberFormat="1">
      <alignment shrinkToFit="0" vertical="center" wrapText="0"/>
    </xf>
    <xf borderId="16" fillId="3" fontId="22" numFmtId="0" xfId="0" applyAlignment="1" applyBorder="1" applyFill="1" applyFon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17" fillId="6" fontId="2" numFmtId="0" xfId="0" applyAlignment="1" applyBorder="1" applyFill="1" applyFont="1">
      <alignment shrinkToFit="0" vertical="center" wrapText="0"/>
    </xf>
    <xf borderId="13" fillId="5" fontId="23" numFmtId="0" xfId="0" applyAlignment="1" applyBorder="1" applyFill="1" applyFont="1">
      <alignment shrinkToFit="0" vertical="bottom" wrapText="0"/>
    </xf>
    <xf borderId="16" fillId="5" fontId="3" numFmtId="164" xfId="0" applyAlignment="1" applyBorder="1" applyFill="1" applyFont="1" applyNumberFormat="1">
      <alignment horizontal="right" shrinkToFit="0" vertical="center" wrapText="0"/>
    </xf>
    <xf borderId="18" fillId="6" fontId="2" numFmtId="0" xfId="0" applyAlignment="1" applyBorder="1" applyFill="1" applyFont="1">
      <alignment shrinkToFit="0" vertical="center" wrapText="0"/>
    </xf>
    <xf borderId="18" fillId="6" fontId="2" numFmtId="3" xfId="0" applyAlignment="1" applyBorder="1" applyFill="1" applyFont="1" applyNumberFormat="1">
      <alignment shrinkToFit="0" vertical="center" wrapText="0"/>
    </xf>
    <xf borderId="18" fillId="6" fontId="2" numFmtId="0" xfId="0" applyAlignment="1" applyBorder="1" applyFill="1" applyFont="1">
      <alignment shrinkToFit="0" vertical="center" wrapText="0"/>
    </xf>
    <xf borderId="15" fillId="3" fontId="23" numFmtId="0" xfId="0" applyAlignment="1" applyBorder="1" applyFill="1" applyFont="1">
      <alignment readingOrder="0" shrinkToFit="0" vertical="bottom" wrapText="0"/>
    </xf>
    <xf borderId="16" fillId="3" fontId="22" numFmtId="164" xfId="0" applyAlignment="1" applyBorder="1" applyFill="1" applyFont="1" applyNumberFormat="1">
      <alignment shrinkToFit="0" vertical="center" wrapText="0"/>
    </xf>
    <xf borderId="18" fillId="6" fontId="2" numFmtId="0" xfId="0" applyAlignment="1" applyBorder="1" applyFill="1" applyFont="1">
      <alignment horizontal="right" shrinkToFit="0" vertical="center" wrapText="0"/>
    </xf>
    <xf borderId="16" fillId="3" fontId="22" numFmtId="164" xfId="0" applyAlignment="1" applyBorder="1" applyFill="1" applyFont="1" applyNumberFormat="1">
      <alignment readingOrder="0" shrinkToFit="0" vertical="center" wrapText="0"/>
    </xf>
    <xf borderId="4" fillId="7" fontId="2" numFmtId="10" xfId="0" applyAlignment="1" applyBorder="1" applyFill="1" applyFont="1" applyNumberFormat="1">
      <alignment shrinkToFit="0" vertical="center" wrapText="0"/>
    </xf>
    <xf borderId="9" fillId="5" fontId="3" numFmtId="0" xfId="0" applyAlignment="1" applyBorder="1" applyFill="1" applyFont="1">
      <alignment shrinkToFit="0" vertical="center" wrapText="0"/>
    </xf>
    <xf borderId="18" fillId="6" fontId="2" numFmtId="0" xfId="0" applyAlignment="1" applyBorder="1" applyFill="1" applyFont="1">
      <alignment shrinkToFit="0" vertical="center" wrapText="0"/>
    </xf>
    <xf borderId="19" fillId="6" fontId="2" numFmtId="0" xfId="0" applyAlignment="1" applyBorder="1" applyFill="1" applyFont="1">
      <alignment shrinkToFit="0" vertical="center" wrapText="0"/>
    </xf>
    <xf borderId="15" fillId="3" fontId="23" numFmtId="0" xfId="0" applyAlignment="1" applyBorder="1" applyFill="1" applyFont="1">
      <alignment shrinkToFit="0" vertical="bottom" wrapText="0"/>
    </xf>
    <xf borderId="16" fillId="3" fontId="3" numFmtId="164" xfId="0" applyAlignment="1" applyBorder="1" applyFill="1" applyFont="1" applyNumberFormat="1">
      <alignment horizontal="right" shrinkToFit="0" vertical="center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16" fillId="3" fontId="23" numFmtId="164" xfId="0" applyAlignment="1" applyBorder="1" applyFill="1" applyFont="1" applyNumberFormat="1">
      <alignment horizontal="right" readingOrder="0" shrinkToFit="0" vertical="center" wrapText="0"/>
    </xf>
    <xf borderId="16" fillId="5" fontId="22" numFmtId="164" xfId="0" applyAlignment="1" applyBorder="1" applyFill="1" applyFont="1" applyNumberFormat="1">
      <alignment shrinkToFit="0" vertical="center" wrapText="0"/>
    </xf>
    <xf borderId="16" fillId="5" fontId="23" numFmtId="164" xfId="0" applyAlignment="1" applyBorder="1" applyFill="1" applyFont="1" applyNumberFormat="1">
      <alignment horizontal="right" shrinkToFit="0" vertical="center" wrapText="0"/>
    </xf>
    <xf borderId="16" fillId="5" fontId="22" numFmtId="164" xfId="0" applyAlignment="1" applyBorder="1" applyFill="1" applyFont="1" applyNumberFormat="1">
      <alignment readingOrder="0" shrinkToFit="0" vertical="center" wrapText="0"/>
    </xf>
    <xf borderId="15" fillId="3" fontId="22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13" fillId="5" fontId="24" numFmtId="0" xfId="0" applyAlignment="1" applyBorder="1" applyFill="1" applyFont="1">
      <alignment shrinkToFit="0" vertical="bottom" wrapText="0"/>
    </xf>
    <xf borderId="15" fillId="3" fontId="23" numFmtId="0" xfId="0" applyAlignment="1" applyBorder="1" applyFill="1" applyFont="1">
      <alignment shrinkToFit="0" vertical="bottom" wrapText="0"/>
    </xf>
    <xf borderId="16" fillId="3" fontId="23" numFmtId="164" xfId="0" applyAlignment="1" applyBorder="1" applyFill="1" applyFont="1" applyNumberFormat="1">
      <alignment horizontal="right" shrinkToFit="0" vertical="center" wrapText="0"/>
    </xf>
    <xf borderId="0" fillId="0" fontId="1" numFmtId="0" xfId="0" applyAlignment="1" applyFont="1">
      <alignment horizontal="center" shrinkToFit="0" vertical="center" wrapText="0"/>
    </xf>
    <xf borderId="13" fillId="5" fontId="25" numFmtId="0" xfId="0" applyAlignment="1" applyBorder="1" applyFill="1" applyFont="1">
      <alignment readingOrder="0" shrinkToFit="0" vertical="center" wrapText="0"/>
    </xf>
    <xf borderId="16" fillId="3" fontId="3" numFmtId="164" xfId="0" applyAlignment="1" applyBorder="1" applyFill="1" applyFont="1" applyNumberFormat="1">
      <alignment horizontal="right" readingOrder="0" shrinkToFit="0" vertical="center" wrapText="0"/>
    </xf>
    <xf borderId="15" fillId="3" fontId="25" numFmtId="0" xfId="0" applyAlignment="1" applyBorder="1" applyFill="1" applyFont="1">
      <alignment readingOrder="0" shrinkToFit="0" vertical="center" wrapText="0"/>
    </xf>
    <xf borderId="16" fillId="5" fontId="3" numFmtId="164" xfId="0" applyAlignment="1" applyBorder="1" applyFill="1" applyFont="1" applyNumberFormat="1">
      <alignment horizontal="right" readingOrder="0" shrinkToFit="0" vertical="center" wrapText="0"/>
    </xf>
    <xf borderId="20" fillId="8" fontId="26" numFmtId="0" xfId="0" applyAlignment="1" applyBorder="1" applyFill="1" applyFont="1">
      <alignment horizontal="left" readingOrder="0" shrinkToFit="0" vertical="center" wrapText="0"/>
    </xf>
    <xf borderId="21" fillId="8" fontId="26" numFmtId="0" xfId="0" applyAlignment="1" applyBorder="1" applyFill="1" applyFont="1">
      <alignment horizontal="left" readingOrder="0" shrinkToFit="0" vertical="center" wrapText="0"/>
    </xf>
    <xf borderId="21" fillId="8" fontId="26" numFmtId="0" xfId="0" applyAlignment="1" applyBorder="1" applyFill="1" applyFont="1">
      <alignment horizontal="left" readingOrder="0" shrinkToFit="0" vertical="center" wrapText="1"/>
    </xf>
    <xf borderId="0" fillId="8" fontId="26" numFmtId="49" xfId="0" applyAlignment="1" applyFill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21" fillId="8" fontId="26" numFmtId="49" xfId="0" applyAlignment="1" applyBorder="1" applyFill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4" fillId="3" fontId="3" numFmtId="0" xfId="0" applyAlignment="1" applyBorder="1" applyFill="1" applyFont="1">
      <alignment horizontal="right" readingOrder="0" shrinkToFit="0" vertical="center" wrapText="0"/>
    </xf>
    <xf borderId="0" fillId="4" fontId="3" numFmtId="0" xfId="0" applyAlignment="1" applyFill="1" applyFont="1">
      <alignment shrinkToFit="0" vertical="center" wrapText="0"/>
    </xf>
    <xf borderId="0" fillId="0" fontId="1" numFmtId="49" xfId="0" applyAlignment="1" applyFont="1" applyNumberFormat="1">
      <alignment shrinkToFit="0" vertical="center" wrapText="1"/>
    </xf>
    <xf borderId="4" fillId="3" fontId="3" numFmtId="0" xfId="0" applyAlignment="1" applyBorder="1" applyFill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3" fillId="5" fontId="27" numFmtId="0" xfId="0" applyAlignment="1" applyBorder="1" applyFill="1" applyFont="1">
      <alignment readingOrder="0" shrinkToFit="0" vertical="center" wrapText="0"/>
    </xf>
    <xf borderId="9" fillId="5" fontId="22" numFmtId="164" xfId="0" applyAlignment="1" applyBorder="1" applyFill="1" applyFont="1" applyNumberFormat="1">
      <alignment shrinkToFit="0" vertical="center" wrapText="0"/>
    </xf>
    <xf borderId="22" fillId="9" fontId="25" numFmtId="0" xfId="0" applyAlignment="1" applyBorder="1" applyFill="1" applyFont="1">
      <alignment shrinkToFit="0" vertical="center" wrapText="0"/>
    </xf>
    <xf borderId="23" fillId="9" fontId="3" numFmtId="49" xfId="0" applyAlignment="1" applyBorder="1" applyFill="1" applyFont="1" applyNumberFormat="1">
      <alignment shrinkToFit="0" vertical="center" wrapText="0"/>
    </xf>
    <xf borderId="23" fillId="9" fontId="22" numFmtId="0" xfId="0" applyAlignment="1" applyBorder="1" applyFill="1" applyFont="1">
      <alignment readingOrder="0" shrinkToFit="0" vertical="center" wrapText="0"/>
    </xf>
    <xf borderId="23" fillId="9" fontId="3" numFmtId="0" xfId="0" applyAlignment="1" applyBorder="1" applyFill="1" applyFont="1">
      <alignment horizontal="right"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23" fillId="9" fontId="3" numFmtId="0" xfId="0" applyAlignment="1" applyBorder="1" applyFill="1" applyFont="1">
      <alignment horizontal="right" readingOrder="0" shrinkToFit="0" vertical="center" wrapText="0"/>
    </xf>
    <xf borderId="15" fillId="3" fontId="27" numFmtId="0" xfId="0" applyAlignment="1" applyBorder="1" applyFill="1" applyFont="1">
      <alignment readingOrder="0" shrinkToFit="0" vertical="center" wrapText="0"/>
    </xf>
    <xf borderId="15" fillId="3" fontId="22" numFmtId="0" xfId="0" applyAlignment="1" applyBorder="1" applyFill="1" applyFont="1">
      <alignment readingOrder="0" shrinkToFit="0" vertical="center" wrapText="0"/>
    </xf>
    <xf borderId="4" fillId="3" fontId="22" numFmtId="49" xfId="0" applyAlignment="1" applyBorder="1" applyFill="1" applyFont="1" applyNumberFormat="1">
      <alignment readingOrder="0" shrinkToFit="0" vertical="center" wrapText="0"/>
    </xf>
    <xf borderId="4" fillId="3" fontId="22" numFmtId="0" xfId="0" applyAlignment="1" applyBorder="1" applyFill="1" applyFont="1">
      <alignment readingOrder="0" shrinkToFit="0" vertical="center" wrapText="0"/>
    </xf>
    <xf borderId="4" fillId="3" fontId="22" numFmtId="0" xfId="0" applyAlignment="1" applyBorder="1" applyFill="1" applyFont="1">
      <alignment readingOrder="0" shrinkToFit="0" vertical="center" wrapText="0"/>
    </xf>
    <xf borderId="0" fillId="4" fontId="22" numFmtId="0" xfId="0" applyAlignment="1" applyFill="1" applyFont="1">
      <alignment shrinkToFit="0" vertical="center" wrapText="0"/>
    </xf>
    <xf borderId="15" fillId="3" fontId="24" numFmtId="0" xfId="0" applyAlignment="1" applyBorder="1" applyFill="1" applyFont="1">
      <alignment readingOrder="0" shrinkToFit="0" vertical="bottom" wrapText="0"/>
    </xf>
    <xf borderId="22" fillId="9" fontId="27" numFmtId="0" xfId="0" applyAlignment="1" applyBorder="1" applyFill="1" applyFont="1">
      <alignment readingOrder="0" shrinkToFit="0" vertical="center" wrapText="0"/>
    </xf>
    <xf borderId="23" fillId="9" fontId="3" numFmtId="49" xfId="0" applyAlignment="1" applyBorder="1" applyFill="1" applyFont="1" applyNumberFormat="1">
      <alignment readingOrder="0" shrinkToFit="0" vertical="center" wrapText="0"/>
    </xf>
    <xf borderId="23" fillId="9" fontId="3" numFmtId="0" xfId="0" applyAlignment="1" applyBorder="1" applyFill="1" applyFont="1">
      <alignment horizontal="center" readingOrder="0" shrinkToFit="0" vertical="center" wrapText="0"/>
    </xf>
    <xf borderId="23" fillId="9" fontId="3" numFmtId="0" xfId="0" applyAlignment="1" applyBorder="1" applyFill="1" applyFont="1">
      <alignment horizontal="right"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4" fillId="3" fontId="22" numFmtId="164" xfId="0" applyAlignment="1" applyBorder="1" applyFill="1" applyFont="1" applyNumberFormat="1">
      <alignment shrinkToFit="0" vertical="center" wrapText="0"/>
    </xf>
    <xf borderId="13" fillId="5" fontId="22" numFmtId="0" xfId="0" applyAlignment="1" applyBorder="1" applyFill="1" applyFont="1">
      <alignment shrinkToFit="0" vertical="bottom" wrapText="0"/>
    </xf>
    <xf borderId="15" fillId="3" fontId="24" numFmtId="0" xfId="0" applyAlignment="1" applyBorder="1" applyFill="1" applyFont="1">
      <alignment shrinkToFit="0" vertical="bottom" wrapText="0"/>
    </xf>
    <xf borderId="22" fillId="9" fontId="27" numFmtId="0" xfId="0" applyAlignment="1" applyBorder="1" applyFill="1" applyFont="1">
      <alignment shrinkToFit="0" vertical="center" wrapText="0"/>
    </xf>
    <xf borderId="24" fillId="9" fontId="27" numFmtId="0" xfId="0" applyAlignment="1" applyBorder="1" applyFill="1" applyFont="1">
      <alignment readingOrder="0" shrinkToFit="0" vertical="center" wrapText="0"/>
    </xf>
    <xf borderId="0" fillId="9" fontId="3" numFmtId="0" xfId="0" applyAlignment="1" applyFill="1" applyFont="1">
      <alignment horizontal="center" readingOrder="0" shrinkToFit="0" vertical="center" wrapText="0"/>
    </xf>
    <xf borderId="0" fillId="9" fontId="3" numFmtId="0" xfId="0" applyAlignment="1" applyFill="1" applyFont="1">
      <alignment horizontal="right" readingOrder="0" shrinkToFit="0" vertical="center" wrapText="0"/>
    </xf>
    <xf borderId="15" fillId="3" fontId="4" numFmtId="0" xfId="0" applyAlignment="1" applyBorder="1" applyFill="1" applyFont="1">
      <alignment readingOrder="0" shrinkToFit="0" vertical="center" wrapText="0"/>
    </xf>
    <xf borderId="0" fillId="9" fontId="3" numFmtId="0" xfId="0" applyAlignment="1" applyFill="1" applyFont="1">
      <alignment horizontal="right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13" fillId="5" fontId="4" numFmtId="0" xfId="0" applyAlignment="1" applyBorder="1" applyFill="1" applyFont="1">
      <alignment readingOrder="0" shrinkToFit="0" vertical="center" wrapText="0"/>
    </xf>
    <xf borderId="16" fillId="5" fontId="23" numFmtId="164" xfId="0" applyAlignment="1" applyBorder="1" applyFill="1" applyFont="1" applyNumberFormat="1">
      <alignment horizontal="right" readingOrder="0" shrinkToFit="0" vertical="center" wrapText="0"/>
    </xf>
    <xf borderId="23" fillId="9" fontId="22" numFmtId="0" xfId="0" applyAlignment="1" applyBorder="1" applyFill="1" applyFont="1">
      <alignment shrinkToFit="0" vertical="center" wrapText="0"/>
    </xf>
    <xf borderId="23" fillId="9" fontId="3" numFmtId="0" xfId="0" applyAlignment="1" applyBorder="1" applyFill="1" applyFont="1">
      <alignment horizontal="right" shrinkToFit="0" vertical="center" wrapText="0"/>
    </xf>
    <xf borderId="13" fillId="5" fontId="28" numFmtId="0" xfId="0" applyAlignment="1" applyBorder="1" applyFill="1" applyFont="1">
      <alignment readingOrder="0" shrinkToFit="0" vertical="center" wrapText="0"/>
    </xf>
    <xf borderId="15" fillId="3" fontId="4" numFmtId="0" xfId="0" applyAlignment="1" applyBorder="1" applyFill="1" applyFont="1">
      <alignment shrinkToFit="0" vertical="center" wrapText="0"/>
    </xf>
    <xf borderId="4" fillId="3" fontId="22" numFmtId="0" xfId="0" applyAlignment="1" applyBorder="1" applyFill="1" applyFont="1">
      <alignment shrinkToFit="0" vertical="center" wrapText="0"/>
    </xf>
    <xf borderId="4" fillId="3" fontId="3" numFmtId="0" xfId="0" applyAlignment="1" applyBorder="1" applyFill="1" applyFont="1">
      <alignment horizontal="right" shrinkToFit="0" vertical="center" wrapText="0"/>
    </xf>
    <xf borderId="15" fillId="3" fontId="22" numFmtId="0" xfId="0" applyAlignment="1" applyBorder="1" applyFill="1" applyFont="1">
      <alignment readingOrder="0" shrinkToFit="0" vertical="bottom" wrapText="0"/>
    </xf>
    <xf borderId="15" fillId="3" fontId="11" numFmtId="0" xfId="0" applyAlignment="1" applyBorder="1" applyFill="1" applyFont="1">
      <alignment shrinkToFit="0" vertical="center" wrapText="0"/>
    </xf>
    <xf borderId="15" fillId="3" fontId="28" numFmtId="0" xfId="0" applyAlignment="1" applyBorder="1" applyFill="1" applyFont="1">
      <alignment readingOrder="0" shrinkToFit="0" vertical="center" wrapText="0"/>
    </xf>
    <xf borderId="22" fillId="9" fontId="11" numFmtId="0" xfId="0" applyAlignment="1" applyBorder="1" applyFill="1" applyFont="1">
      <alignment shrinkToFit="0" vertical="center" wrapText="0"/>
    </xf>
    <xf borderId="15" fillId="3" fontId="11" numFmtId="0" xfId="0" applyAlignment="1" applyBorder="1" applyFill="1" applyFont="1">
      <alignment readingOrder="0" shrinkToFit="0" vertical="center" wrapText="0"/>
    </xf>
    <xf borderId="22" fillId="9" fontId="29" numFmtId="0" xfId="0" applyAlignment="1" applyBorder="1" applyFill="1" applyFont="1">
      <alignment shrinkToFit="0" vertical="center" wrapText="0"/>
    </xf>
    <xf borderId="23" fillId="9" fontId="23" numFmtId="49" xfId="0" applyAlignment="1" applyBorder="1" applyFill="1" applyFont="1" applyNumberFormat="1">
      <alignment shrinkToFit="0" vertical="center" wrapText="0"/>
    </xf>
    <xf borderId="23" fillId="9" fontId="23" numFmtId="0" xfId="0" applyAlignment="1" applyBorder="1" applyFill="1" applyFont="1">
      <alignment horizontal="right" readingOrder="0" shrinkToFit="0" vertical="center" wrapText="0"/>
    </xf>
    <xf borderId="23" fillId="9" fontId="23" numFmtId="0" xfId="0" applyAlignment="1" applyBorder="1" applyFill="1" applyFont="1">
      <alignment horizontal="right" shrinkToFit="0" vertical="center" wrapText="0"/>
    </xf>
    <xf borderId="15" fillId="3" fontId="22" numFmtId="164" xfId="0" applyAlignment="1" applyBorder="1" applyFill="1" applyFont="1" applyNumberFormat="1">
      <alignment shrinkToFit="0" vertical="bottom" wrapText="0"/>
    </xf>
    <xf borderId="15" fillId="3" fontId="29" numFmtId="0" xfId="0" applyAlignment="1" applyBorder="1" applyFill="1" applyFont="1">
      <alignment shrinkToFit="0" vertical="center" wrapText="0"/>
    </xf>
    <xf borderId="4" fillId="3" fontId="23" numFmtId="49" xfId="0" applyAlignment="1" applyBorder="1" applyFill="1" applyFont="1" applyNumberFormat="1">
      <alignment readingOrder="0" shrinkToFit="0" vertical="center" wrapText="0"/>
    </xf>
    <xf borderId="4" fillId="3" fontId="23" numFmtId="0" xfId="0" applyAlignment="1" applyBorder="1" applyFill="1" applyFont="1">
      <alignment horizontal="right" readingOrder="0" shrinkToFit="0" vertical="center" wrapText="0"/>
    </xf>
    <xf borderId="4" fillId="3" fontId="23" numFmtId="0" xfId="0" applyAlignment="1" applyBorder="1" applyFill="1" applyFont="1">
      <alignment horizontal="right" readingOrder="0" shrinkToFit="0" vertical="center" wrapText="0"/>
    </xf>
    <xf borderId="13" fillId="5" fontId="24" numFmtId="164" xfId="0" applyAlignment="1" applyBorder="1" applyFill="1" applyFont="1" applyNumberFormat="1">
      <alignment shrinkToFit="0" vertical="bottom" wrapText="0"/>
    </xf>
    <xf borderId="0" fillId="0" fontId="1" numFmtId="166" xfId="0" applyAlignment="1" applyFont="1" applyNumberFormat="1">
      <alignment readingOrder="0" shrinkToFit="0" vertical="center" wrapText="0"/>
    </xf>
    <xf borderId="22" fillId="9" fontId="28" numFmtId="0" xfId="0" applyAlignment="1" applyBorder="1" applyFill="1" applyFont="1">
      <alignment readingOrder="0" shrinkToFit="0" vertical="center" wrapText="0"/>
    </xf>
    <xf borderId="0" fillId="4" fontId="23" numFmtId="0" xfId="0" applyAlignment="1" applyFill="1" applyFont="1">
      <alignment shrinkToFit="0" vertical="center" wrapText="0"/>
    </xf>
    <xf borderId="13" fillId="5" fontId="23" numFmtId="0" xfId="0" applyAlignment="1" applyBorder="1" applyFill="1" applyFont="1">
      <alignment readingOrder="0" shrinkToFit="0" vertical="bottom" wrapText="0"/>
    </xf>
    <xf borderId="15" fillId="3" fontId="28" numFmtId="0" xfId="0" applyAlignment="1" applyBorder="1" applyFill="1" applyFont="1">
      <alignment shrinkToFit="0" vertical="center" wrapText="0"/>
    </xf>
    <xf borderId="4" fillId="3" fontId="23" numFmtId="0" xfId="0" applyAlignment="1" applyBorder="1" applyFill="1" applyFont="1">
      <alignment horizontal="right" shrinkToFit="0" vertical="center" wrapText="0"/>
    </xf>
    <xf borderId="4" fillId="3" fontId="23" numFmtId="0" xfId="0" applyAlignment="1" applyBorder="1" applyFill="1" applyFont="1">
      <alignment horizontal="right" shrinkToFit="0" vertical="center" wrapText="0"/>
    </xf>
    <xf borderId="15" fillId="3" fontId="30" numFmtId="0" xfId="0" applyAlignment="1" applyBorder="1" applyFill="1" applyFont="1">
      <alignment shrinkToFit="0" vertical="center" wrapText="0"/>
    </xf>
    <xf borderId="4" fillId="3" fontId="22" numFmtId="0" xfId="0" applyAlignment="1" applyBorder="1" applyFill="1" applyFont="1">
      <alignment shrinkToFit="0" vertical="center" wrapText="0"/>
    </xf>
    <xf borderId="16" fillId="5" fontId="22" numFmtId="0" xfId="0" applyAlignment="1" applyBorder="1" applyFill="1" applyFont="1">
      <alignment shrinkToFit="0" vertical="center" wrapText="0"/>
    </xf>
    <xf borderId="22" fillId="9" fontId="31" numFmtId="0" xfId="0" applyAlignment="1" applyBorder="1" applyFill="1" applyFont="1">
      <alignment shrinkToFit="0" vertical="center" wrapText="0"/>
    </xf>
    <xf borderId="23" fillId="9" fontId="23" numFmtId="0" xfId="0" applyAlignment="1" applyBorder="1" applyFill="1" applyFont="1">
      <alignment horizontal="right" shrinkToFit="0" vertical="center" wrapText="0"/>
    </xf>
    <xf borderId="0" fillId="0" fontId="22" numFmtId="0" xfId="0" applyAlignment="1" applyFont="1">
      <alignment shrinkToFit="0" vertical="bottom" wrapText="0"/>
    </xf>
    <xf borderId="15" fillId="3" fontId="29" numFmtId="0" xfId="0" applyAlignment="1" applyBorder="1" applyFill="1" applyFont="1">
      <alignment readingOrder="0" shrinkToFit="0" vertical="center" wrapText="0"/>
    </xf>
    <xf borderId="4" fillId="3" fontId="23" numFmtId="49" xfId="0" applyAlignment="1" applyBorder="1" applyFill="1" applyFont="1" applyNumberFormat="1">
      <alignment shrinkToFit="0" vertical="center" wrapText="0"/>
    </xf>
    <xf borderId="16" fillId="0" fontId="1" numFmtId="164" xfId="0" applyAlignment="1" applyBorder="1" applyFont="1" applyNumberForma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22" fillId="9" fontId="30" numFmtId="0" xfId="0" applyAlignment="1" applyBorder="1" applyFill="1" applyFont="1">
      <alignment readingOrder="0" shrinkToFit="0" vertical="center" wrapText="0"/>
    </xf>
    <xf borderId="23" fillId="9" fontId="22" numFmtId="0" xfId="0" applyAlignment="1" applyBorder="1" applyFill="1" applyFont="1">
      <alignment shrinkToFit="0" vertical="center" wrapText="0"/>
    </xf>
    <xf borderId="22" fillId="9" fontId="31" numFmtId="0" xfId="0" applyAlignment="1" applyBorder="1" applyFill="1" applyFont="1">
      <alignment readingOrder="0" shrinkToFit="0" vertical="center" wrapText="0"/>
    </xf>
    <xf borderId="23" fillId="9" fontId="23" numFmtId="49" xfId="0" applyAlignment="1" applyBorder="1" applyFill="1" applyFont="1" applyNumberFormat="1">
      <alignment readingOrder="0" shrinkToFit="0" vertical="center" wrapText="0"/>
    </xf>
    <xf borderId="23" fillId="9" fontId="23" numFmtId="0" xfId="0" applyAlignment="1" applyBorder="1" applyFill="1" applyFont="1">
      <alignment horizontal="right" readingOrder="0" shrinkToFit="0" vertical="center" wrapText="0"/>
    </xf>
    <xf borderId="15" fillId="3" fontId="12" numFmtId="0" xfId="0" applyAlignment="1" applyBorder="1" applyFill="1" applyFont="1">
      <alignment shrinkToFit="0" vertical="center" wrapText="0"/>
    </xf>
    <xf borderId="22" fillId="9" fontId="12" numFmtId="0" xfId="0" applyAlignment="1" applyBorder="1" applyFill="1" applyFont="1">
      <alignment shrinkToFit="0" vertical="center" wrapText="0"/>
    </xf>
    <xf borderId="25" fillId="0" fontId="1" numFmtId="164" xfId="0" applyAlignment="1" applyBorder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10" fontId="22" numFmtId="0" xfId="0" applyAlignment="1" applyFill="1" applyFont="1">
      <alignment readingOrder="0" shrinkToFit="0" vertical="bottom" wrapText="0"/>
    </xf>
    <xf borderId="25" fillId="10" fontId="1" numFmtId="164" xfId="0" applyAlignment="1" applyBorder="1" applyFill="1" applyFont="1" applyNumberFormat="1">
      <alignment shrinkToFit="0" vertical="center" wrapText="0"/>
    </xf>
    <xf borderId="0" fillId="10" fontId="1" numFmtId="164" xfId="0" applyAlignment="1" applyFill="1" applyFont="1" applyNumberFormat="1">
      <alignment shrinkToFit="0" vertical="center" wrapText="0"/>
    </xf>
    <xf borderId="22" fillId="9" fontId="32" numFmtId="0" xfId="0" applyAlignment="1" applyBorder="1" applyFill="1" applyFont="1">
      <alignment shrinkToFit="0" vertical="center" wrapText="0"/>
    </xf>
    <xf borderId="0" fillId="4" fontId="23" numFmtId="0" xfId="0" applyAlignment="1" applyFill="1" applyFont="1">
      <alignment readingOrder="0" shrinkToFit="0" vertical="center" wrapText="0"/>
    </xf>
    <xf borderId="15" fillId="3" fontId="33" numFmtId="0" xfId="0" applyAlignment="1" applyBorder="1" applyFill="1" applyFont="1">
      <alignment shrinkToFit="0" vertical="center" wrapText="0"/>
    </xf>
    <xf borderId="22" fillId="9" fontId="33" numFmtId="0" xfId="0" applyAlignment="1" applyBorder="1" applyFill="1" applyFont="1">
      <alignment shrinkToFit="0" vertical="center" wrapText="0"/>
    </xf>
    <xf borderId="4" fillId="3" fontId="22" numFmtId="49" xfId="0" applyAlignment="1" applyBorder="1" applyFill="1" applyFont="1" applyNumberFormat="1">
      <alignment shrinkToFit="0" vertical="center" wrapText="0"/>
    </xf>
    <xf borderId="23" fillId="9" fontId="3" numFmtId="0" xfId="0" applyAlignment="1" applyBorder="1" applyFill="1" applyFont="1">
      <alignment horizontal="center" shrinkToFit="0" vertical="center" wrapText="0"/>
    </xf>
    <xf borderId="0" fillId="0" fontId="1" numFmtId="166" xfId="0" applyAlignment="1" applyFont="1" applyNumberFormat="1">
      <alignment shrinkToFit="0" vertical="center" wrapText="0"/>
    </xf>
    <xf borderId="15" fillId="3" fontId="25" numFmtId="0" xfId="0" applyAlignment="1" applyBorder="1" applyFill="1" applyFont="1">
      <alignment shrinkToFit="0" vertical="center" wrapText="0"/>
    </xf>
    <xf borderId="4" fillId="3" fontId="3" numFmtId="0" xfId="0" applyAlignment="1" applyBorder="1" applyFill="1" applyFont="1">
      <alignment horizontal="center" shrinkToFit="0" vertical="center" wrapText="0"/>
    </xf>
    <xf borderId="15" fillId="3" fontId="22" numFmtId="0" xfId="0" applyAlignment="1" applyBorder="1" applyFill="1" applyFont="1">
      <alignment shrinkToFit="0" vertical="center" wrapText="0"/>
    </xf>
    <xf borderId="0" fillId="0" fontId="1" numFmtId="20" xfId="0" applyAlignment="1" applyFont="1" applyNumberFormat="1">
      <alignment horizontal="center" readingOrder="0" shrinkToFit="0" vertical="center" wrapText="0"/>
    </xf>
    <xf borderId="15" fillId="3" fontId="27" numFmtId="0" xfId="0" applyAlignment="1" applyBorder="1" applyFill="1" applyFont="1">
      <alignment shrinkToFit="0" vertical="center" wrapText="0"/>
    </xf>
    <xf borderId="26" fillId="9" fontId="22" numFmtId="0" xfId="0" applyAlignment="1" applyBorder="1" applyFill="1" applyFont="1">
      <alignment shrinkToFit="0" vertical="center" wrapText="0"/>
    </xf>
    <xf borderId="27" fillId="9" fontId="22" numFmtId="49" xfId="0" applyAlignment="1" applyBorder="1" applyFill="1" applyFont="1" applyNumberFormat="1">
      <alignment shrinkToFit="0" vertical="center" wrapText="0"/>
    </xf>
    <xf borderId="27" fillId="9" fontId="22" numFmtId="0" xfId="0" applyAlignment="1" applyBorder="1" applyFill="1" applyFont="1">
      <alignment shrinkToFit="0" vertical="center" wrapText="0"/>
    </xf>
    <xf borderId="27" fillId="9" fontId="22" numFmtId="0" xfId="0" applyAlignment="1" applyBorder="1" applyFill="1" applyFont="1">
      <alignment shrinkToFit="0" vertical="center" wrapText="0"/>
    </xf>
    <xf borderId="22" fillId="9" fontId="22" numFmtId="0" xfId="0" applyAlignment="1" applyBorder="1" applyFill="1" applyFont="1">
      <alignment shrinkToFit="0" vertical="center" wrapText="0"/>
    </xf>
    <xf borderId="23" fillId="9" fontId="22" numFmtId="49" xfId="0" applyAlignment="1" applyBorder="1" applyFill="1" applyFont="1" applyNumberFormat="1">
      <alignment shrinkToFit="0" vertical="center" wrapText="0"/>
    </xf>
    <xf borderId="0" fillId="0" fontId="22" numFmtId="0" xfId="0" applyAlignment="1" applyFont="1">
      <alignment shrinkToFit="0" vertical="bottom" wrapText="0"/>
    </xf>
    <xf borderId="0" fillId="0" fontId="22" numFmtId="49" xfId="0" applyAlignment="1" applyFont="1" applyNumberForma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4" fontId="22" numFmtId="0" xfId="0" applyAlignment="1" applyFill="1" applyFont="1">
      <alignment shrinkToFit="0" vertical="bottom" wrapText="0"/>
    </xf>
    <xf borderId="0" fillId="11" fontId="34" numFmtId="0" xfId="0" applyAlignment="1" applyFill="1" applyFont="1">
      <alignment readingOrder="0"/>
    </xf>
    <xf borderId="0" fillId="11" fontId="34" numFmtId="0" xfId="0" applyFill="1" applyFont="1"/>
    <xf borderId="0" fillId="11" fontId="1" numFmtId="0" xfId="0" applyAlignment="1" applyFill="1" applyFont="1">
      <alignment readingOrder="0" shrinkToFit="0" wrapText="0"/>
    </xf>
    <xf borderId="0" fillId="11" fontId="1" numFmtId="0" xfId="0" applyFill="1" applyFont="1"/>
    <xf borderId="0" fillId="0" fontId="35" numFmtId="0" xfId="0" applyAlignment="1" applyFont="1">
      <alignment readingOrder="0" vertical="bottom"/>
    </xf>
    <xf borderId="0" fillId="0" fontId="35" numFmtId="0" xfId="0" applyAlignment="1" applyFont="1">
      <alignment vertical="bottom"/>
    </xf>
    <xf borderId="0" fillId="4" fontId="1" numFmtId="0" xfId="0" applyAlignment="1" applyFill="1" applyFont="1">
      <alignment shrinkToFit="0" vertical="center" wrapText="0"/>
    </xf>
    <xf borderId="0" fillId="12" fontId="36" numFmtId="164" xfId="0" applyAlignment="1" applyFill="1" applyFont="1" applyNumberFormat="1">
      <alignment vertical="bottom"/>
    </xf>
    <xf borderId="0" fillId="12" fontId="35" numFmtId="0" xfId="0" applyAlignment="1" applyFill="1" applyFont="1">
      <alignment vertical="bottom"/>
    </xf>
    <xf borderId="0" fillId="11" fontId="36" numFmtId="0" xfId="0" applyAlignment="1" applyFill="1" applyFont="1">
      <alignment horizontal="right" readingOrder="0" vertical="bottom"/>
    </xf>
    <xf borderId="0" fillId="13" fontId="36" numFmtId="164" xfId="0" applyAlignment="1" applyFill="1" applyFont="1" applyNumberFormat="1">
      <alignment vertical="bottom"/>
    </xf>
    <xf borderId="0" fillId="13" fontId="35" numFmtId="0" xfId="0" applyAlignment="1" applyFill="1" applyFont="1">
      <alignment vertical="bottom"/>
    </xf>
    <xf borderId="0" fillId="0" fontId="37" numFmtId="0" xfId="0" applyAlignment="1" applyFont="1">
      <alignment vertical="bottom"/>
    </xf>
    <xf borderId="0" fillId="0" fontId="37" numFmtId="167" xfId="0" applyAlignment="1" applyFont="1" applyNumberFormat="1">
      <alignment horizontal="right" vertical="bottom"/>
    </xf>
    <xf borderId="0" fillId="0" fontId="35" numFmtId="167" xfId="0" applyAlignment="1" applyFont="1" applyNumberFormat="1">
      <alignment horizontal="right" readingOrder="0" vertical="bottom"/>
    </xf>
    <xf borderId="0" fillId="14" fontId="35" numFmtId="167" xfId="0" applyAlignment="1" applyFill="1" applyFont="1" applyNumberFormat="1">
      <alignment horizontal="right" vertical="bottom"/>
    </xf>
    <xf borderId="28" fillId="0" fontId="35" numFmtId="167" xfId="0" applyAlignment="1" applyBorder="1" applyFont="1" applyNumberFormat="1">
      <alignment horizontal="right" vertical="bottom"/>
    </xf>
    <xf borderId="0" fillId="0" fontId="35" numFmtId="167" xfId="0" applyAlignment="1" applyFont="1" applyNumberFormat="1">
      <alignment vertical="bottom"/>
    </xf>
    <xf borderId="0" fillId="0" fontId="35" numFmtId="167" xfId="0" applyAlignment="1" applyFont="1" applyNumberFormat="1">
      <alignment horizontal="right" vertical="bottom"/>
    </xf>
    <xf borderId="0" fillId="0" fontId="38" numFmtId="0" xfId="0" applyAlignment="1" applyFont="1">
      <alignment vertical="bottom"/>
    </xf>
    <xf borderId="0" fillId="0" fontId="35" numFmtId="9" xfId="0" applyAlignment="1" applyFont="1" applyNumberFormat="1">
      <alignment horizontal="right" vertical="bottom"/>
    </xf>
    <xf borderId="0" fillId="13" fontId="35" numFmtId="164" xfId="0" applyAlignment="1" applyFill="1" applyFont="1" applyNumberFormat="1">
      <alignment vertical="bottom"/>
    </xf>
    <xf borderId="0" fillId="0" fontId="35" numFmtId="164" xfId="0" applyAlignment="1" applyFont="1" applyNumberFormat="1">
      <alignment vertical="bottom"/>
    </xf>
    <xf borderId="0" fillId="15" fontId="36" numFmtId="164" xfId="0" applyAlignment="1" applyFill="1" applyFont="1" applyNumberFormat="1">
      <alignment vertical="bottom"/>
    </xf>
    <xf borderId="0" fillId="15" fontId="35" numFmtId="164" xfId="0" applyAlignment="1" applyFill="1" applyFont="1" applyNumberFormat="1">
      <alignment vertical="bottom"/>
    </xf>
    <xf borderId="0" fillId="0" fontId="37" numFmtId="164" xfId="0" applyAlignment="1" applyFont="1" applyNumberFormat="1">
      <alignment vertical="bottom"/>
    </xf>
    <xf borderId="0" fillId="0" fontId="35" numFmtId="168" xfId="0" applyAlignment="1" applyFont="1" applyNumberFormat="1">
      <alignment vertical="bottom"/>
    </xf>
    <xf borderId="0" fillId="0" fontId="37" numFmtId="168" xfId="0" applyAlignment="1" applyFont="1" applyNumberFormat="1">
      <alignment vertical="bottom"/>
    </xf>
    <xf borderId="0" fillId="0" fontId="35" numFmtId="168" xfId="0" applyAlignment="1" applyFont="1" applyNumberFormat="1">
      <alignment horizontal="right" vertical="bottom"/>
    </xf>
    <xf borderId="0" fillId="0" fontId="37" numFmtId="168" xfId="0" applyAlignment="1" applyFont="1" applyNumberFormat="1">
      <alignment horizontal="right" vertical="bottom"/>
    </xf>
    <xf borderId="28" fillId="0" fontId="35" numFmtId="164" xfId="0" applyAlignment="1" applyBorder="1" applyFont="1" applyNumberFormat="1">
      <alignment vertical="bottom"/>
    </xf>
    <xf borderId="28" fillId="0" fontId="35" numFmtId="168" xfId="0" applyAlignment="1" applyBorder="1" applyFont="1" applyNumberFormat="1">
      <alignment horizontal="right" vertical="bottom"/>
    </xf>
    <xf borderId="28" fillId="0" fontId="35" numFmtId="168" xfId="0" applyAlignment="1" applyBorder="1" applyFont="1" applyNumberFormat="1">
      <alignment vertical="bottom"/>
    </xf>
    <xf borderId="0" fillId="0" fontId="35" numFmtId="10" xfId="0" applyAlignment="1" applyFont="1" applyNumberFormat="1">
      <alignment vertical="bottom"/>
    </xf>
    <xf borderId="0" fillId="0" fontId="35" numFmtId="9" xfId="0" applyAlignment="1" applyFont="1" applyNumberFormat="1">
      <alignment vertical="bottom"/>
    </xf>
    <xf borderId="0" fillId="0" fontId="1" numFmtId="0" xfId="0" applyAlignment="1" applyFont="1">
      <alignment horizontal="center" readingOrder="0" shrinkToFit="0" vertical="center" wrapText="1"/>
    </xf>
    <xf borderId="0" fillId="16" fontId="1" numFmtId="0" xfId="0" applyAlignment="1" applyFill="1" applyFont="1">
      <alignment horizontal="left" readingOrder="0" shrinkToFit="0" vertical="center" wrapText="1"/>
    </xf>
    <xf borderId="0" fillId="16" fontId="0" numFmtId="0" xfId="0" applyAlignment="1" applyFill="1" applyFont="1">
      <alignment horizontal="left" readingOrder="0" shrinkToFit="0" vertical="center" wrapText="1"/>
    </xf>
    <xf borderId="0" fillId="17" fontId="1" numFmtId="0" xfId="0" applyAlignment="1" applyFill="1" applyFont="1">
      <alignment horizontal="left" readingOrder="0" shrinkToFit="0" vertical="center" wrapText="1"/>
    </xf>
    <xf borderId="0" fillId="18" fontId="1" numFmtId="0" xfId="0" applyAlignment="1" applyFill="1" applyFont="1">
      <alignment horizontal="left" readingOrder="0" shrinkToFit="0" vertical="center" wrapText="1"/>
    </xf>
    <xf borderId="29" fillId="18" fontId="1" numFmtId="0" xfId="0" applyAlignment="1" applyBorder="1" applyFill="1" applyFont="1">
      <alignment horizontal="left" readingOrder="0" shrinkToFit="0" vertical="center" wrapText="1"/>
    </xf>
    <xf borderId="0" fillId="19" fontId="1" numFmtId="0" xfId="0" applyAlignment="1" applyFill="1" applyFont="1">
      <alignment horizontal="left" readingOrder="0" shrinkToFit="0" vertical="center" wrapText="1"/>
    </xf>
    <xf borderId="0" fillId="19" fontId="0" numFmtId="0" xfId="0" applyAlignment="1" applyFill="1" applyFont="1">
      <alignment horizontal="left" readingOrder="0" shrinkToFit="0" vertical="center" wrapText="1"/>
    </xf>
    <xf borderId="0" fillId="20" fontId="1" numFmtId="0" xfId="0" applyAlignment="1" applyFill="1" applyFont="1">
      <alignment horizontal="left" readingOrder="0" shrinkToFit="0" vertical="center" wrapText="1"/>
    </xf>
    <xf borderId="0" fillId="20" fontId="0" numFmtId="0" xfId="0" applyAlignment="1" applyFill="1" applyFont="1">
      <alignment horizontal="left" readingOrder="0" shrinkToFit="0" vertical="center" wrapText="1"/>
    </xf>
    <xf borderId="0" fillId="21" fontId="0" numFmtId="0" xfId="0" applyAlignment="1" applyFill="1" applyFont="1">
      <alignment horizontal="left" readingOrder="0" shrinkToFit="0" vertical="center" wrapText="1"/>
    </xf>
    <xf borderId="0" fillId="22" fontId="0" numFmtId="0" xfId="0" applyAlignment="1" applyFill="1" applyFont="1">
      <alignment horizontal="left" readingOrder="0" shrinkToFit="0" vertical="center" wrapText="1"/>
    </xf>
    <xf borderId="0" fillId="16" fontId="0" numFmtId="0" xfId="0" applyAlignment="1" applyFill="1" applyFont="1">
      <alignment horizontal="left" readingOrder="0" shrinkToFit="0" vertical="center" wrapText="1"/>
    </xf>
    <xf borderId="0" fillId="2" fontId="1" numFmtId="0" xfId="0" applyAlignment="1" applyFill="1" applyFont="1">
      <alignment horizontal="left" readingOrder="0" shrinkToFit="0" vertical="center" wrapText="1"/>
    </xf>
    <xf borderId="10" fillId="4" fontId="3" numFmtId="166" xfId="0" applyAlignment="1" applyBorder="1" applyFill="1" applyFont="1" applyNumberFormat="1">
      <alignment horizontal="center" shrinkToFit="0" vertical="center" wrapText="0"/>
    </xf>
    <xf borderId="10" fillId="4" fontId="3" numFmtId="0" xfId="0" applyAlignment="1" applyBorder="1" applyFill="1" applyFont="1">
      <alignment horizontal="center" shrinkToFit="0" vertical="center" wrapText="0"/>
    </xf>
    <xf borderId="10" fillId="4" fontId="3" numFmtId="49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4" fontId="39" numFmtId="164" xfId="0" applyAlignment="1" applyFill="1" applyFont="1" applyNumberFormat="1">
      <alignment shrinkToFit="0" vertical="center" wrapText="0"/>
    </xf>
    <xf borderId="0" fillId="4" fontId="39" numFmtId="0" xfId="0" applyAlignment="1" applyFill="1" applyFont="1">
      <alignment shrinkToFit="0" vertical="center" wrapText="0"/>
    </xf>
    <xf borderId="0" fillId="4" fontId="8" numFmtId="164" xfId="0" applyAlignment="1" applyFill="1" applyFont="1" applyNumberFormat="1">
      <alignment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8" numFmtId="3" xfId="0" applyAlignment="1" applyFont="1" applyNumberFormat="1">
      <alignment horizontal="center" readingOrder="0" shrinkToFit="0" vertical="center" wrapText="0"/>
    </xf>
    <xf borderId="4" fillId="3" fontId="22" numFmtId="0" xfId="0" applyAlignment="1" applyBorder="1" applyFill="1" applyFont="1">
      <alignment readingOrder="0" shrinkToFit="0" vertical="center" wrapText="0"/>
    </xf>
    <xf borderId="0" fillId="4" fontId="39" numFmtId="164" xfId="0" applyAlignment="1" applyFill="1" applyFont="1" applyNumberFormat="1">
      <alignment shrinkToFit="0" vertical="center" wrapText="0"/>
    </xf>
    <xf borderId="0" fillId="0" fontId="39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39" numFmtId="0" xfId="0" applyAlignment="1" applyFill="1" applyFont="1">
      <alignment shrinkToFit="0" vertical="center" wrapText="0"/>
    </xf>
    <xf borderId="0" fillId="4" fontId="1" numFmtId="0" xfId="0" applyAlignment="1" applyFill="1" applyFont="1">
      <alignment horizontal="center" shrinkToFit="0" vertical="center" wrapText="0"/>
    </xf>
    <xf borderId="0" fillId="0" fontId="1" numFmtId="0" xfId="0" applyFont="1"/>
    <xf borderId="0" fillId="4" fontId="1" numFmtId="0" xfId="0" applyAlignment="1" applyFill="1" applyFont="1">
      <alignment readingOrder="0" shrinkToFit="0" vertical="center" wrapText="0"/>
    </xf>
    <xf borderId="4" fillId="3" fontId="22" numFmtId="0" xfId="0" applyAlignment="1" applyBorder="1" applyFill="1" applyFont="1">
      <alignment shrinkToFit="0" vertical="center" wrapText="0"/>
    </xf>
    <xf borderId="0" fillId="0" fontId="1" numFmtId="0" xfId="0" applyFont="1"/>
    <xf borderId="0" fillId="5" fontId="22" numFmtId="0" xfId="0" applyAlignment="1" applyFill="1" applyFont="1">
      <alignment shrinkToFit="0" vertical="center" wrapText="0"/>
    </xf>
    <xf borderId="30" fillId="4" fontId="40" numFmtId="0" xfId="0" applyAlignment="1" applyBorder="1" applyFill="1" applyFont="1">
      <alignment shrinkToFit="0" vertical="center" wrapText="0"/>
    </xf>
    <xf borderId="4" fillId="3" fontId="22" numFmtId="0" xfId="0" applyAlignment="1" applyBorder="1" applyFill="1" applyFont="1">
      <alignment shrinkToFit="0" vertical="center" wrapText="0"/>
    </xf>
    <xf borderId="10" fillId="4" fontId="41" numFmtId="164" xfId="0" applyAlignment="1" applyBorder="1" applyFill="1" applyFont="1" applyNumberFormat="1">
      <alignment horizontal="right" shrinkToFit="0" vertical="center" wrapText="0"/>
    </xf>
    <xf borderId="10" fillId="4" fontId="41" numFmtId="0" xfId="0" applyAlignment="1" applyBorder="1" applyFill="1" applyFont="1">
      <alignment horizontal="right" shrinkToFit="0" vertical="center" wrapText="0"/>
    </xf>
    <xf borderId="10" fillId="4" fontId="40" numFmtId="164" xfId="0" applyAlignment="1" applyBorder="1" applyFill="1" applyFont="1" applyNumberFormat="1">
      <alignment horizontal="right" shrinkToFit="0" vertical="center" wrapText="0"/>
    </xf>
    <xf borderId="10" fillId="4" fontId="40" numFmtId="0" xfId="0" applyAlignment="1" applyBorder="1" applyFill="1" applyFont="1">
      <alignment horizontal="right" shrinkToFit="0" vertical="center" wrapText="0"/>
    </xf>
    <xf borderId="4" fillId="3" fontId="3" numFmtId="3" xfId="0" applyAlignment="1" applyBorder="1" applyFill="1" applyFont="1" applyNumberFormat="1">
      <alignment horizontal="center" readingOrder="0" shrinkToFit="0" vertical="center" wrapText="0"/>
    </xf>
    <xf borderId="10" fillId="4" fontId="40" numFmtId="164" xfId="0" applyAlignment="1" applyBorder="1" applyFill="1" applyFont="1" applyNumberFormat="1">
      <alignment horizontal="right" shrinkToFit="0" vertical="center" wrapText="0"/>
    </xf>
    <xf borderId="4" fillId="3" fontId="23" numFmtId="3" xfId="0" applyAlignment="1" applyBorder="1" applyFill="1" applyFont="1" applyNumberFormat="1">
      <alignment horizontal="right" shrinkToFit="0" vertical="center" wrapText="0"/>
    </xf>
    <xf borderId="4" fillId="3" fontId="23" numFmtId="0" xfId="0" applyAlignment="1" applyBorder="1" applyFill="1" applyFont="1">
      <alignment shrinkToFit="0" vertical="center" wrapText="0"/>
    </xf>
    <xf borderId="10" fillId="4" fontId="41" numFmtId="164" xfId="0" applyAlignment="1" applyBorder="1" applyFill="1" applyFont="1" applyNumberFormat="1">
      <alignment horizontal="right" shrinkToFit="0" vertical="center" wrapText="0"/>
    </xf>
    <xf borderId="4" fillId="3" fontId="23" numFmtId="0" xfId="0" applyAlignment="1" applyBorder="1" applyFill="1" applyFont="1">
      <alignment horizontal="right" readingOrder="0" shrinkToFit="0" vertical="center" wrapText="0"/>
    </xf>
    <xf borderId="0" fillId="0" fontId="41" numFmtId="0" xfId="0" applyAlignment="1" applyFont="1">
      <alignment horizontal="right" shrinkToFit="0" vertical="center" wrapText="0"/>
    </xf>
    <xf borderId="0" fillId="4" fontId="41" numFmtId="0" xfId="0" applyAlignment="1" applyFill="1" applyFont="1">
      <alignment shrinkToFit="0" vertical="center" wrapText="0"/>
    </xf>
    <xf borderId="4" fillId="4" fontId="22" numFmtId="164" xfId="0" applyAlignment="1" applyBorder="1" applyFill="1" applyFont="1" applyNumberFormat="1">
      <alignment shrinkToFit="0" vertical="center" wrapText="0"/>
    </xf>
    <xf borderId="10" fillId="4" fontId="3" numFmtId="0" xfId="0" applyAlignment="1" applyBorder="1" applyFill="1" applyFont="1">
      <alignment horizontal="center" shrinkToFit="0" vertical="center" wrapText="0"/>
    </xf>
    <xf borderId="9" fillId="5" fontId="22" numFmtId="0" xfId="0" applyAlignment="1" applyBorder="1" applyFill="1" applyFont="1">
      <alignment shrinkToFit="0" vertical="center" wrapText="0"/>
    </xf>
    <xf borderId="9" fillId="5" fontId="3" numFmtId="3" xfId="0" applyAlignment="1" applyBorder="1" applyFill="1" applyFont="1" applyNumberFormat="1">
      <alignment horizontal="center" readingOrder="0" shrinkToFit="0" vertical="center" wrapText="0"/>
    </xf>
    <xf borderId="4" fillId="5" fontId="23" numFmtId="0" xfId="0" applyAlignment="1" applyBorder="1" applyFill="1" applyFont="1">
      <alignment readingOrder="0" shrinkToFit="0" vertical="center" wrapText="0"/>
    </xf>
    <xf borderId="9" fillId="5" fontId="3" numFmtId="0" xfId="0" applyAlignment="1" applyBorder="1" applyFill="1" applyFont="1">
      <alignment horizontal="center" shrinkToFit="0" vertical="center" wrapText="0"/>
    </xf>
    <xf borderId="0" fillId="0" fontId="41" numFmtId="0" xfId="0" applyAlignment="1" applyFont="1">
      <alignment horizontal="right" readingOrder="0" shrinkToFit="0" vertical="center" wrapText="0"/>
    </xf>
    <xf borderId="9" fillId="4" fontId="3" numFmtId="164" xfId="0" applyAlignment="1" applyBorder="1" applyFill="1" applyFont="1" applyNumberFormat="1">
      <alignment shrinkToFit="0" vertical="center" wrapText="0"/>
    </xf>
    <xf borderId="4" fillId="3" fontId="23" numFmtId="0" xfId="0" applyAlignment="1" applyBorder="1" applyFill="1" applyFont="1">
      <alignment readingOrder="0" shrinkToFit="0" vertical="center" wrapText="0"/>
    </xf>
    <xf borderId="4" fillId="3" fontId="3" numFmtId="0" xfId="0" applyAlignment="1" applyBorder="1" applyFill="1" applyFont="1">
      <alignment horizontal="center" readingOrder="0" shrinkToFit="0" vertical="center" wrapText="0"/>
    </xf>
    <xf borderId="0" fillId="0" fontId="39" numFmtId="0" xfId="0" applyAlignment="1" applyFont="1">
      <alignment readingOrder="0" shrinkToFit="0" vertical="center" wrapText="0"/>
    </xf>
    <xf borderId="9" fillId="5" fontId="23" numFmtId="3" xfId="0" applyAlignment="1" applyBorder="1" applyFill="1" applyFont="1" applyNumberFormat="1">
      <alignment horizontal="right" readingOrder="0" shrinkToFit="0" vertical="center" wrapText="0"/>
    </xf>
    <xf borderId="9" fillId="5" fontId="23" numFmtId="0" xfId="0" applyAlignment="1" applyBorder="1" applyFill="1" applyFont="1">
      <alignment readingOrder="0" shrinkToFit="0" vertical="center" wrapText="0"/>
    </xf>
    <xf borderId="9" fillId="5" fontId="22" numFmtId="0" xfId="0" applyAlignment="1" applyBorder="1" applyFill="1" applyFont="1">
      <alignment readingOrder="0" shrinkToFit="0" vertical="center" wrapText="0"/>
    </xf>
    <xf borderId="9" fillId="5" fontId="22" numFmtId="0" xfId="0" applyAlignment="1" applyBorder="1" applyFill="1" applyFont="1">
      <alignment readingOrder="0" shrinkToFit="0" vertical="center" wrapText="0"/>
    </xf>
    <xf borderId="10" fillId="4" fontId="41" numFmtId="164" xfId="0" applyAlignment="1" applyBorder="1" applyFill="1" applyFont="1" applyNumberFormat="1">
      <alignment shrinkToFit="0" vertical="center" wrapText="0"/>
    </xf>
    <xf borderId="9" fillId="5" fontId="22" numFmtId="0" xfId="0" applyAlignment="1" applyBorder="1" applyFill="1" applyFont="1">
      <alignment readingOrder="0" shrinkToFit="0" vertical="center" wrapText="0"/>
    </xf>
    <xf borderId="0" fillId="0" fontId="41" numFmtId="0" xfId="0" applyAlignment="1" applyFont="1">
      <alignment shrinkToFit="0" vertical="center" wrapText="0"/>
    </xf>
    <xf borderId="9" fillId="4" fontId="22" numFmtId="164" xfId="0" applyAlignment="1" applyBorder="1" applyFill="1" applyFont="1" applyNumberFormat="1">
      <alignment shrinkToFit="0" vertical="center" wrapText="0"/>
    </xf>
    <xf borderId="4" fillId="3" fontId="23" numFmtId="3" xfId="0" applyAlignment="1" applyBorder="1" applyFill="1" applyFont="1" applyNumberFormat="1">
      <alignment horizontal="right" readingOrder="0" shrinkToFit="0" vertical="center" wrapText="0"/>
    </xf>
    <xf borderId="4" fillId="3" fontId="22" numFmtId="3" xfId="0" applyAlignment="1" applyBorder="1" applyFill="1" applyFont="1" applyNumberFormat="1">
      <alignment readingOrder="0" shrinkToFit="0" vertical="center" wrapText="0"/>
    </xf>
    <xf borderId="9" fillId="3" fontId="22" numFmtId="0" xfId="0" applyAlignment="1" applyBorder="1" applyFill="1" applyFont="1">
      <alignment readingOrder="0" shrinkToFit="0" vertical="center" wrapText="0"/>
    </xf>
    <xf borderId="4" fillId="3" fontId="22" numFmtId="0" xfId="0" applyAlignment="1" applyBorder="1" applyFill="1" applyFont="1">
      <alignment readingOrder="0" shrinkToFit="0" vertical="center" wrapText="0"/>
    </xf>
    <xf borderId="9" fillId="5" fontId="22" numFmtId="0" xfId="0" applyAlignment="1" applyBorder="1" applyFill="1" applyFont="1">
      <alignment shrinkToFit="0" vertical="center" wrapText="0"/>
    </xf>
    <xf borderId="4" fillId="3" fontId="3" numFmtId="3" xfId="0" applyAlignment="1" applyBorder="1" applyFill="1" applyFont="1" applyNumberFormat="1">
      <alignment horizontal="center" shrinkToFit="0" vertical="center" wrapText="0"/>
    </xf>
    <xf borderId="9" fillId="3" fontId="23" numFmtId="0" xfId="0" applyAlignment="1" applyBorder="1" applyFill="1" applyFont="1">
      <alignment shrinkToFit="0" vertical="center" wrapText="0"/>
    </xf>
    <xf borderId="4" fillId="4" fontId="23" numFmtId="164" xfId="0" applyAlignment="1" applyBorder="1" applyFill="1" applyFont="1" applyNumberFormat="1">
      <alignment shrinkToFit="0" vertical="center" wrapText="0"/>
    </xf>
    <xf borderId="9" fillId="5" fontId="3" numFmtId="0" xfId="0" applyAlignment="1" applyBorder="1" applyFill="1" applyFont="1">
      <alignment horizontal="center" shrinkToFit="0" vertical="center" wrapText="0"/>
    </xf>
    <xf borderId="9" fillId="3" fontId="23" numFmtId="0" xfId="0" applyAlignment="1" applyBorder="1" applyFill="1" applyFont="1">
      <alignment readingOrder="0" shrinkToFit="0" vertical="center" wrapText="0"/>
    </xf>
    <xf borderId="4" fillId="3" fontId="23" numFmtId="0" xfId="0" applyAlignment="1" applyBorder="1" applyFill="1" applyFont="1">
      <alignment readingOrder="0" shrinkToFit="0" vertical="center" wrapText="0"/>
    </xf>
    <xf borderId="9" fillId="5" fontId="22" numFmtId="3" xfId="0" applyAlignment="1" applyBorder="1" applyFill="1" applyFont="1" applyNumberFormat="1">
      <alignment readingOrder="0" shrinkToFit="0" vertical="center" wrapText="0"/>
    </xf>
    <xf borderId="4" fillId="5" fontId="22" numFmtId="0" xfId="0" applyAlignment="1" applyBorder="1" applyFill="1" applyFont="1">
      <alignment readingOrder="0" shrinkToFit="0" vertical="center" wrapText="0"/>
    </xf>
    <xf borderId="4" fillId="3" fontId="22" numFmtId="0" xfId="0" applyAlignment="1" applyBorder="1" applyFill="1" applyFont="1">
      <alignment readingOrder="0" shrinkToFit="0" vertical="center" wrapText="0"/>
    </xf>
    <xf borderId="9" fillId="5" fontId="23" numFmtId="0" xfId="0" applyAlignment="1" applyBorder="1" applyFill="1" applyFont="1">
      <alignment horizontal="right" readingOrder="0" shrinkToFit="0" vertical="center" wrapText="0"/>
    </xf>
    <xf borderId="9" fillId="4" fontId="23" numFmtId="164" xfId="0" applyAlignment="1" applyBorder="1" applyFill="1" applyFont="1" applyNumberFormat="1">
      <alignment shrinkToFit="0" vertical="center" wrapText="0"/>
    </xf>
    <xf borderId="4" fillId="5" fontId="23" numFmtId="0" xfId="0" applyAlignment="1" applyBorder="1" applyFill="1" applyFont="1">
      <alignment shrinkToFit="0" vertical="center" wrapText="0"/>
    </xf>
    <xf borderId="0" fillId="0" fontId="41" numFmtId="0" xfId="0" applyAlignment="1" applyFont="1">
      <alignment readingOrder="0" shrinkToFit="0" vertical="center" wrapText="0"/>
    </xf>
    <xf borderId="4" fillId="3" fontId="22" numFmtId="3" xfId="0" applyAlignment="1" applyBorder="1" applyFill="1" applyFont="1" applyNumberFormat="1">
      <alignment shrinkToFit="0" vertical="center" wrapText="0"/>
    </xf>
    <xf borderId="9" fillId="3" fontId="22" numFmtId="0" xfId="0" applyAlignment="1" applyBorder="1" applyFill="1" applyFont="1">
      <alignment shrinkToFit="0" vertical="center" wrapText="0"/>
    </xf>
    <xf borderId="4" fillId="3" fontId="22" numFmtId="0" xfId="0" applyAlignment="1" applyBorder="1" applyFill="1" applyFont="1">
      <alignment shrinkToFit="0" vertical="center" wrapText="0"/>
    </xf>
    <xf borderId="9" fillId="5" fontId="22" numFmtId="3" xfId="0" applyAlignment="1" applyBorder="1" applyFill="1" applyFont="1" applyNumberFormat="1">
      <alignment shrinkToFit="0" vertical="center" wrapText="0"/>
    </xf>
    <xf borderId="4" fillId="5" fontId="22" numFmtId="0" xfId="0" applyAlignment="1" applyBorder="1" applyFill="1" applyFont="1">
      <alignment shrinkToFit="0" vertical="center" wrapText="0"/>
    </xf>
    <xf borderId="9" fillId="5" fontId="22" numFmtId="0" xfId="0" applyAlignment="1" applyBorder="1" applyFill="1" applyFont="1">
      <alignment shrinkToFit="0" vertical="center" wrapText="0"/>
    </xf>
    <xf borderId="2" fillId="19" fontId="26" numFmtId="0" xfId="0" applyAlignment="1" applyBorder="1" applyFill="1" applyFont="1">
      <alignment horizontal="left" readingOrder="0" shrinkToFit="0" vertical="center" wrapText="1"/>
    </xf>
    <xf borderId="0" fillId="21" fontId="1" numFmtId="0" xfId="0" applyAlignment="1" applyFill="1" applyFont="1">
      <alignment horizontal="left" readingOrder="0" shrinkToFit="0" vertical="center" wrapText="1"/>
    </xf>
    <xf borderId="0" fillId="23" fontId="0" numFmtId="0" xfId="0" applyAlignment="1" applyFill="1" applyFont="1">
      <alignment horizontal="left" readingOrder="0" shrinkToFit="0" vertical="center" wrapText="1"/>
    </xf>
    <xf borderId="0" fillId="23" fontId="42" numFmtId="0" xfId="0" applyAlignment="1" applyFill="1" applyFont="1">
      <alignment horizontal="left" readingOrder="0" shrinkToFit="0" vertical="center" wrapText="1"/>
    </xf>
    <xf borderId="0" fillId="4" fontId="1" numFmtId="166" xfId="0" applyAlignment="1" applyFill="1" applyFont="1" applyNumberFormat="1">
      <alignment horizontal="center" readingOrder="0" shrinkToFit="0" vertical="center" wrapText="0"/>
    </xf>
    <xf borderId="0" fillId="3" fontId="39" numFmtId="0" xfId="0" applyAlignment="1" applyFill="1" applyFont="1">
      <alignment shrinkToFit="0" vertical="center" wrapText="0"/>
    </xf>
    <xf borderId="0" fillId="4" fontId="39" numFmtId="0" xfId="0" applyAlignment="1" applyFill="1" applyFont="1">
      <alignment horizontal="center" readingOrder="0" shrinkToFit="0" vertical="center" wrapText="0"/>
    </xf>
    <xf borderId="31" fillId="3" fontId="23" numFmtId="0" xfId="0" applyAlignment="1" applyBorder="1" applyFill="1" applyFont="1">
      <alignment readingOrder="0" shrinkToFit="0" vertical="center" wrapText="0"/>
    </xf>
    <xf borderId="30" fillId="4" fontId="22" numFmtId="0" xfId="0" applyAlignment="1" applyBorder="1" applyFill="1" applyFont="1">
      <alignment shrinkToFit="0" vertical="center" wrapText="0"/>
    </xf>
    <xf borderId="10" fillId="4" fontId="22" numFmtId="166" xfId="0" applyAlignment="1" applyBorder="1" applyFill="1" applyFont="1" applyNumberFormat="1">
      <alignment horizontal="center" shrinkToFit="0" vertical="center" wrapText="0"/>
    </xf>
    <xf borderId="10" fillId="4" fontId="22" numFmtId="0" xfId="0" applyAlignment="1" applyBorder="1" applyFill="1" applyFont="1">
      <alignment horizontal="center" shrinkToFit="0" vertical="center" wrapText="0"/>
    </xf>
    <xf borderId="10" fillId="4" fontId="22" numFmtId="49" xfId="0" applyAlignment="1" applyBorder="1" applyFill="1" applyFont="1" applyNumberFormat="1">
      <alignment shrinkToFit="0" vertical="center" wrapText="0"/>
    </xf>
    <xf borderId="0" fillId="4" fontId="1" numFmtId="0" xfId="0" applyAlignment="1" applyFill="1" applyFont="1">
      <alignment shrinkToFit="0" vertical="center" wrapText="0"/>
    </xf>
    <xf borderId="10" fillId="4" fontId="41" numFmtId="164" xfId="0" applyAlignment="1" applyBorder="1" applyFill="1" applyFont="1" applyNumberFormat="1">
      <alignment shrinkToFit="0" vertical="center" wrapText="0"/>
    </xf>
    <xf borderId="10" fillId="4" fontId="40" numFmtId="164" xfId="0" applyAlignment="1" applyBorder="1" applyFill="1" applyFont="1" applyNumberFormat="1">
      <alignment shrinkToFit="0" vertical="center" wrapText="0"/>
    </xf>
    <xf borderId="10" fillId="4" fontId="40" numFmtId="164" xfId="0" applyAlignment="1" applyBorder="1" applyFill="1" applyFont="1" applyNumberFormat="1">
      <alignment shrinkToFit="0" vertical="center" wrapText="0"/>
    </xf>
    <xf borderId="0" fillId="4" fontId="1" numFmtId="164" xfId="0" applyAlignment="1" applyFill="1" applyFont="1" applyNumberFormat="1">
      <alignment shrinkToFit="0" vertical="center" wrapText="0"/>
    </xf>
    <xf borderId="0" fillId="3" fontId="43" numFmtId="0" xfId="0" applyAlignment="1" applyFill="1" applyFont="1">
      <alignment readingOrder="0"/>
    </xf>
    <xf borderId="0" fillId="6" fontId="43" numFmtId="0" xfId="0" applyAlignment="1" applyFill="1" applyFont="1">
      <alignment readingOrder="0" shrinkToFit="0" vertical="center" wrapText="0"/>
    </xf>
    <xf borderId="0" fillId="6" fontId="43" numFmtId="0" xfId="0" applyAlignment="1" applyFill="1" applyFont="1">
      <alignment shrinkToFit="0" vertical="center" wrapText="0"/>
    </xf>
    <xf borderId="0" fillId="6" fontId="43" numFmtId="164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31" fillId="5" fontId="22" numFmtId="0" xfId="0" applyAlignment="1" applyBorder="1" applyFill="1" applyFont="1">
      <alignment shrinkToFit="0" vertical="center" wrapText="0"/>
    </xf>
    <xf borderId="0" fillId="4" fontId="8" numFmtId="0" xfId="0" applyAlignment="1" applyFill="1" applyFont="1">
      <alignment readingOrder="0" shrinkToFit="0" vertical="center" wrapText="0"/>
    </xf>
    <xf borderId="0" fillId="0" fontId="1" numFmtId="3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4" fontId="1" numFmtId="0" xfId="0" applyAlignment="1" applyFill="1" applyFont="1">
      <alignment shrinkToFit="0" vertical="center" wrapText="0"/>
    </xf>
    <xf borderId="0" fillId="4" fontId="1" numFmtId="0" xfId="0" applyAlignment="1" applyFill="1" applyFont="1">
      <alignment shrinkToFit="0" vertical="center" wrapText="0"/>
    </xf>
    <xf borderId="9" fillId="5" fontId="22" numFmtId="0" xfId="0" applyAlignment="1" applyBorder="1" applyFill="1" applyFont="1">
      <alignment readingOrder="0" shrinkToFit="0" vertical="center" wrapText="0"/>
    </xf>
    <xf borderId="32" fillId="18" fontId="26" numFmtId="0" xfId="0" applyAlignment="1" applyBorder="1" applyFill="1" applyFont="1">
      <alignment horizontal="left" readingOrder="0" shrinkToFit="0" vertical="center" wrapText="1"/>
    </xf>
    <xf borderId="33" fillId="19" fontId="26" numFmtId="0" xfId="0" applyAlignment="1" applyBorder="1" applyFill="1" applyFont="1">
      <alignment horizontal="left" readingOrder="0" shrinkToFit="0" vertical="center" wrapText="1"/>
    </xf>
    <xf borderId="34" fillId="20" fontId="26" numFmtId="0" xfId="0" applyAlignment="1" applyBorder="1" applyFill="1" applyFont="1">
      <alignment horizontal="left" readingOrder="0" shrinkToFit="0" vertical="center" wrapText="1"/>
    </xf>
    <xf borderId="0" fillId="4" fontId="1" numFmtId="166" xfId="0" applyAlignment="1" applyFill="1" applyFont="1" applyNumberForma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4" fillId="3" fontId="3" numFmtId="3" xfId="0" applyAlignment="1" applyBorder="1" applyFill="1" applyFont="1" applyNumberFormat="1">
      <alignment horizontal="center" shrinkToFit="0" vertical="center" wrapText="0"/>
    </xf>
    <xf borderId="4" fillId="3" fontId="3" numFmtId="0" xfId="0" applyAlignment="1" applyBorder="1" applyFill="1" applyFont="1">
      <alignment horizontal="center" shrinkToFit="0" vertical="center" wrapText="0"/>
    </xf>
    <xf borderId="4" fillId="3" fontId="22" numFmtId="3" xfId="0" applyAlignment="1" applyBorder="1" applyFill="1" applyFont="1" applyNumberFormat="1">
      <alignment shrinkToFit="0" vertical="center" wrapText="0"/>
    </xf>
    <xf borderId="4" fillId="3" fontId="22" numFmtId="0" xfId="0" applyAlignment="1" applyBorder="1" applyFill="1" applyFont="1">
      <alignment shrinkToFit="0" vertical="center" wrapText="0"/>
    </xf>
    <xf borderId="4" fillId="3" fontId="22" numFmtId="0" xfId="0" applyAlignment="1" applyBorder="1" applyFill="1" applyFont="1">
      <alignment shrinkToFit="0" vertical="center" wrapText="0"/>
    </xf>
    <xf borderId="0" fillId="4" fontId="39" numFmtId="164" xfId="0" applyAlignment="1" applyFill="1" applyFont="1" applyNumberFormat="1">
      <alignment readingOrder="0" shrinkToFit="0" vertical="center" wrapText="0"/>
    </xf>
    <xf borderId="9" fillId="5" fontId="3" numFmtId="3" xfId="0" applyAlignment="1" applyBorder="1" applyFill="1" applyFont="1" applyNumberFormat="1">
      <alignment horizontal="center" shrinkToFit="0" vertical="center" wrapText="0"/>
    </xf>
    <xf borderId="9" fillId="5" fontId="3" numFmtId="0" xfId="0" applyAlignment="1" applyBorder="1" applyFill="1" applyFont="1">
      <alignment horizontal="center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9" fillId="5" fontId="22" numFmtId="0" xfId="0" applyAlignment="1" applyBorder="1" applyFill="1" applyFont="1">
      <alignment shrinkToFit="0" vertical="center" wrapText="0"/>
    </xf>
    <xf borderId="4" fillId="3" fontId="22" numFmtId="3" xfId="0" applyAlignment="1" applyBorder="1" applyFill="1" applyFont="1" applyNumberFormat="1">
      <alignment readingOrder="0" shrinkToFit="0" vertical="center" wrapText="0"/>
    </xf>
    <xf borderId="4" fillId="3" fontId="22" numFmtId="0" xfId="0" applyAlignment="1" applyBorder="1" applyFill="1" applyFont="1">
      <alignment readingOrder="0" shrinkToFit="0" vertical="center" wrapText="0"/>
    </xf>
    <xf borderId="4" fillId="3" fontId="3" numFmtId="0" xfId="0" applyAlignment="1" applyBorder="1" applyFill="1" applyFont="1">
      <alignment horizontal="center" readingOrder="0" shrinkToFit="0" vertical="center" wrapText="0"/>
    </xf>
    <xf borderId="4" fillId="3" fontId="3" numFmtId="3" xfId="0" applyAlignment="1" applyBorder="1" applyFill="1" applyFont="1" applyNumberFormat="1">
      <alignment horizontal="center" readingOrder="0" shrinkToFit="0" vertical="center" wrapText="0"/>
    </xf>
    <xf borderId="4" fillId="3" fontId="22" numFmtId="0" xfId="0" applyAlignment="1" applyBorder="1" applyFill="1" applyFont="1">
      <alignment readingOrder="0" shrinkToFit="0" vertical="center" wrapText="0"/>
    </xf>
    <xf borderId="0" fillId="4" fontId="8" numFmtId="164" xfId="0" applyAlignment="1" applyFill="1" applyFont="1" applyNumberFormat="1">
      <alignment readingOrder="0" shrinkToFit="0" vertical="center" wrapText="0"/>
    </xf>
    <xf borderId="0" fillId="4" fontId="39" numFmtId="0" xfId="0" applyAlignment="1" applyFill="1" applyFont="1">
      <alignment readingOrder="0" shrinkToFit="0" vertical="center" wrapText="0"/>
    </xf>
    <xf borderId="4" fillId="3" fontId="3" numFmtId="0" xfId="0" applyAlignment="1" applyBorder="1" applyFill="1" applyFont="1">
      <alignment horizontal="center" shrinkToFit="0" vertical="center" wrapText="0"/>
    </xf>
    <xf borderId="0" fillId="4" fontId="1" numFmtId="3" xfId="0" applyAlignment="1" applyFill="1" applyFont="1" applyNumberFormat="1">
      <alignment horizontal="center" shrinkToFit="0" vertical="center" wrapText="0"/>
    </xf>
    <xf borderId="0" fillId="4" fontId="1" numFmtId="0" xfId="0" applyAlignment="1" applyFill="1" applyFont="1">
      <alignment shrinkToFit="0" vertical="center" wrapText="0"/>
    </xf>
    <xf borderId="0" fillId="4" fontId="22" numFmtId="0" xfId="0" applyAlignment="1" applyFill="1" applyFont="1">
      <alignment shrinkToFit="0" vertical="center" wrapText="0"/>
    </xf>
    <xf borderId="0" fillId="4" fontId="1" numFmtId="0" xfId="0" applyAlignment="1" applyFill="1" applyFont="1">
      <alignment shrinkToFit="0" vertical="center" wrapText="0"/>
    </xf>
    <xf borderId="0" fillId="4" fontId="1" numFmtId="0" xfId="0" applyFill="1" applyFont="1"/>
    <xf borderId="35" fillId="4" fontId="3" numFmtId="3" xfId="0" applyAlignment="1" applyBorder="1" applyFill="1" applyFont="1" applyNumberFormat="1">
      <alignment horizontal="center" shrinkToFit="0" vertical="center" wrapText="0"/>
    </xf>
    <xf borderId="35" fillId="4" fontId="22" numFmtId="0" xfId="0" applyAlignment="1" applyBorder="1" applyFill="1" applyFont="1">
      <alignment shrinkToFit="0" vertical="center" wrapText="0"/>
    </xf>
    <xf borderId="35" fillId="4" fontId="3" numFmtId="0" xfId="0" applyAlignment="1" applyBorder="1" applyFill="1" applyFont="1">
      <alignment horizontal="right" shrinkToFit="0" vertical="center" wrapText="0"/>
    </xf>
    <xf borderId="4" fillId="3" fontId="3" numFmtId="0" xfId="0" applyAlignment="1" applyBorder="1" applyFill="1" applyFont="1">
      <alignment horizontal="center" readingOrder="0" shrinkToFit="0" vertical="center" wrapText="0"/>
    </xf>
    <xf borderId="35" fillId="4" fontId="3" numFmtId="0" xfId="0" applyAlignment="1" applyBorder="1" applyFill="1" applyFont="1">
      <alignment horizontal="center" shrinkToFit="0" vertical="center" wrapText="0"/>
    </xf>
    <xf borderId="32" fillId="18" fontId="26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ill="1" applyFont="1">
      <alignment shrinkToFit="0" vertical="center" wrapText="0"/>
    </xf>
    <xf borderId="4" fillId="3" fontId="40" numFmtId="3" xfId="0" applyAlignment="1" applyBorder="1" applyFill="1" applyFont="1" applyNumberFormat="1">
      <alignment horizontal="center" shrinkToFit="0" vertical="center" wrapText="0"/>
    </xf>
    <xf borderId="4" fillId="3" fontId="23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9" fillId="5" fontId="3" numFmtId="3" xfId="0" applyAlignment="1" applyBorder="1" applyFill="1" applyFont="1" applyNumberFormat="1">
      <alignment horizontal="center" shrinkToFit="0" vertical="center" wrapText="0"/>
    </xf>
    <xf borderId="9" fillId="5" fontId="3" numFmtId="0" xfId="0" applyAlignment="1" applyBorder="1" applyFill="1" applyFont="1">
      <alignment shrinkToFit="0" vertical="center" wrapText="0"/>
    </xf>
    <xf borderId="9" fillId="5" fontId="22" numFmtId="3" xfId="0" applyAlignment="1" applyBorder="1" applyFill="1" applyFont="1" applyNumberFormat="1">
      <alignment shrinkToFit="0" vertical="center" wrapText="0"/>
    </xf>
    <xf borderId="4" fillId="5" fontId="22" numFmtId="0" xfId="0" applyAlignment="1" applyBorder="1" applyFill="1" applyFont="1">
      <alignment shrinkToFit="0" vertical="center" wrapText="0"/>
    </xf>
    <xf borderId="4" fillId="3" fontId="22" numFmtId="3" xfId="0" applyAlignment="1" applyBorder="1" applyFill="1" applyFont="1" applyNumberFormat="1">
      <alignment horizontal="center" shrinkToFit="0" vertical="center" wrapText="0"/>
    </xf>
    <xf borderId="9" fillId="3" fontId="22" numFmtId="3" xfId="0" applyAlignment="1" applyBorder="1" applyFill="1" applyFont="1" applyNumberFormat="1">
      <alignment horizontal="center" shrinkToFit="0" vertical="center" wrapText="0"/>
    </xf>
    <xf borderId="9" fillId="3" fontId="22" numFmtId="0" xfId="0" applyAlignment="1" applyBorder="1" applyFill="1" applyFont="1">
      <alignment shrinkToFit="0" vertical="center" wrapText="0"/>
    </xf>
    <xf borderId="9" fillId="3" fontId="22" numFmtId="3" xfId="0" applyAlignment="1" applyBorder="1" applyFill="1" applyFont="1" applyNumberFormat="1">
      <alignment shrinkToFit="0" vertical="center" wrapText="0"/>
    </xf>
    <xf borderId="4" fillId="5" fontId="3" numFmtId="3" xfId="0" applyAlignment="1" applyBorder="1" applyFill="1" applyFont="1" applyNumberFormat="1">
      <alignment horizontal="center" shrinkToFit="0" vertical="center" wrapText="0"/>
    </xf>
    <xf borderId="4" fillId="5" fontId="3" numFmtId="0" xfId="0" applyAlignment="1" applyBorder="1" applyFill="1" applyFont="1">
      <alignment shrinkToFit="0" vertical="center" wrapText="0"/>
    </xf>
    <xf borderId="4" fillId="5" fontId="23" numFmtId="0" xfId="0" applyAlignment="1" applyBorder="1" applyFill="1" applyFont="1">
      <alignment shrinkToFit="0" vertical="center" wrapText="0"/>
    </xf>
    <xf borderId="9" fillId="3" fontId="3" numFmtId="3" xfId="0" applyAlignment="1" applyBorder="1" applyFill="1" applyFont="1" applyNumberFormat="1">
      <alignment horizontal="center" shrinkToFit="0" vertical="center" wrapText="0"/>
    </xf>
    <xf borderId="9" fillId="3" fontId="3" numFmtId="0" xfId="0" applyAlignment="1" applyBorder="1" applyFill="1" applyFont="1">
      <alignment shrinkToFit="0" vertical="center" wrapText="0"/>
    </xf>
    <xf borderId="4" fillId="5" fontId="22" numFmtId="3" xfId="0" applyAlignment="1" applyBorder="1" applyFill="1" applyFont="1" applyNumberFormat="1">
      <alignment shrinkToFit="0" vertical="center" wrapText="0"/>
    </xf>
    <xf borderId="9" fillId="5" fontId="22" numFmtId="0" xfId="0" applyAlignment="1" applyBorder="1" applyFill="1" applyFont="1">
      <alignment shrinkToFit="0" vertical="center" wrapText="0"/>
    </xf>
    <xf borderId="4" fillId="5" fontId="23" numFmtId="3" xfId="0" applyAlignment="1" applyBorder="1" applyFill="1" applyFont="1" applyNumberFormat="1">
      <alignment horizontal="center" shrinkToFit="0" vertical="center" wrapText="0"/>
    </xf>
    <xf borderId="4" fillId="5" fontId="22" numFmtId="3" xfId="0" applyAlignment="1" applyBorder="1" applyFill="1" applyFont="1" applyNumberFormat="1">
      <alignment horizontal="center" shrinkToFit="0" vertical="center" wrapText="0"/>
    </xf>
    <xf borderId="9" fillId="3" fontId="23" numFmtId="3" xfId="0" applyAlignment="1" applyBorder="1" applyFill="1" applyFont="1" applyNumberFormat="1">
      <alignment horizontal="center" shrinkToFit="0" vertical="center" wrapText="0"/>
    </xf>
    <xf borderId="9" fillId="3" fontId="23" numFmtId="0" xfId="0" applyAlignment="1" applyBorder="1" applyFill="1" applyFont="1">
      <alignment shrinkToFit="0" vertical="center" wrapText="0"/>
    </xf>
    <xf borderId="9" fillId="5" fontId="23" numFmtId="0" xfId="0" applyAlignment="1" applyBorder="1" applyFill="1" applyFont="1">
      <alignment shrinkToFit="0" vertical="center" wrapText="0"/>
    </xf>
    <xf borderId="4" fillId="3" fontId="23" numFmtId="0" xfId="0" applyAlignment="1" applyBorder="1" applyFill="1" applyFont="1">
      <alignment shrinkToFit="0" vertical="center" wrapText="0"/>
    </xf>
    <xf borderId="4" fillId="5" fontId="23" numFmtId="3" xfId="0" applyAlignment="1" applyBorder="1" applyFill="1" applyFont="1" applyNumberFormat="1">
      <alignment horizontal="right" shrinkToFit="0" vertical="center" wrapText="0"/>
    </xf>
    <xf borderId="31" fillId="5" fontId="22" numFmtId="0" xfId="0" applyAlignment="1" applyBorder="1" applyFill="1" applyFont="1">
      <alignment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9" fillId="5" fontId="22" numFmtId="3" xfId="0" applyAlignment="1" applyBorder="1" applyFill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35" fillId="4" fontId="22" numFmtId="3" xfId="0" applyAlignment="1" applyBorder="1" applyFill="1" applyFont="1" applyNumberFormat="1">
      <alignment shrinkToFit="0" vertical="center" wrapText="0"/>
    </xf>
    <xf borderId="35" fillId="4" fontId="22" numFmtId="164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73F6B"/>
          <bgColor rgb="FF373F6B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  <tableStyles count="34">
    <tableStyle count="4" pivot="0" name="Docenten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ocatie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Doel vs Werkelijkheid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Tarieven-style">
      <tableStyleElement dxfId="6" type="headerRow"/>
      <tableStyleElement dxfId="3" type="firstRowStripe"/>
      <tableStyleElement dxfId="4" type="secondRowStripe"/>
      <tableStyleElement dxfId="5" size="0" type="wholeTable"/>
    </tableStyle>
    <tableStyle count="4" pivot="0" name="Rooster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Kosten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Extra activiteiten-style">
      <tableStyleElement dxfId="1" type="headerRow"/>
      <tableStyleElement dxfId="3" type="firstRowStripe"/>
      <tableStyleElement dxfId="8" type="secondRowStripe"/>
      <tableStyleElement dxfId="5" size="0" type="wholeTable"/>
    </tableStyle>
    <tableStyle count="4" pivot="0" name="Extra activiteiten-style 2">
      <tableStyleElement dxfId="1" type="headerRow"/>
      <tableStyleElement dxfId="3" type="firstRowStripe"/>
      <tableStyleElement dxfId="8" type="secondRowStripe"/>
      <tableStyleElement dxfId="5" size="0" type="wholeTable"/>
    </tableStyle>
    <tableStyle count="4" pivot="0" name="Jaarbetalingen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Augustu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Augustus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September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September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Oktober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Oktober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November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November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December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December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Januari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Januari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Februari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Februari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Maart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Maart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April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April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Mei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Mei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Juni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Juni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Juli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Juli-style 2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Jaaroverzicht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4" displayName="Doelen" name="Doelen" id="2">
  <tableColumns count="16">
    <tableColumn name="§" id="1"/>
    <tableColumn name="Gewenst salaris" id="2"/>
    <tableColumn name="Ledenaantal (werkelijk)" id="3"/>
    <tableColumn name="leden aantal_x000a_(verwacht)" id="4"/>
    <tableColumn name="Actieve leden (verwacht)" id="5"/>
    <tableColumn name="Actieve leden" id="6"/>
    <tableColumn name="Omzet (werkelijk)" id="7"/>
    <tableColumn name="Uitgaven (werkelijk)" id="8"/>
    <tableColumn name="Percentage kosten" id="9"/>
    <tableColumn name="Status" id="10"/>
    <tableColumn name="Brutowinst (werkelijk)" id="11"/>
    <tableColumn name="Reserveren inkomstenbelasting" id="12"/>
    <tableColumn name="Nettowinst" id="13"/>
    <tableColumn name="Salaris" id="14"/>
    <tableColumn name="Banksaldo na salaris" id="15"/>
    <tableColumn name="Belasting achterstand" id="16"/>
  </tableColumns>
  <tableStyleInfo name="Doel vs Werkelijkheid-style" showColumnStripes="0" showFirstColumn="1" showLastColumn="1" showRowStripes="1"/>
</table>
</file>

<file path=xl/tables/table2.xml><?xml version="1.0" encoding="utf-8"?>
<table xmlns="http://schemas.openxmlformats.org/spreadsheetml/2006/main" ref="A1:G30" displayName="Docenten" name="Docenten" id="1">
  <tableColumns count="7">
    <tableColumn name="Naam docent" id="1"/>
    <tableColumn name="Aantal uren per week" id="2"/>
    <tableColumn name="Uurloon" id="3"/>
    <tableColumn name="Reiskosten per week" id="4"/>
    <tableColumn name="Niveau docent" id="5"/>
    <tableColumn name="Datum indiensttreding" id="6"/>
    <tableColumn name="Daadwerkelijk uurtarief" id="7"/>
  </tableColumns>
  <tableStyleInfo name="Docenten-style" showColumnStripes="0" showFirstColumn="1" showLastColumn="1" showRowStripes="1"/>
</table>
</file>

<file path=xl/tables/table3.xml><?xml version="1.0" encoding="utf-8"?>
<table xmlns="http://schemas.openxmlformats.org/spreadsheetml/2006/main" ref="A1:G15" displayName="Locaties" name="Locaties" id="3">
  <tableColumns count="7">
    <tableColumn name="Naam locatie" id="1"/>
    <tableColumn name="Uurtarief" id="2"/>
    <tableColumn name="Aantal uren per week" id="3"/>
    <tableColumn name="Lesweken per jaar" id="4"/>
    <tableColumn name="Bijkomende jaarlijkse kosten" id="5"/>
    <tableColumn name="Opmerkingen" id="6"/>
    <tableColumn name="Daadwerkelijk Uurtarief" id="7"/>
  </tableColumns>
  <tableStyleInfo name="Locaties-style" showColumnStripes="0" showFirstColumn="1" showLastColumn="1" showRowStripes="1"/>
</table>
</file>

<file path=xl/tables/table4.xml><?xml version="1.0" encoding="utf-8"?>
<table xmlns="http://schemas.openxmlformats.org/spreadsheetml/2006/main" ref="A1:J150" displayName="Tarieven" name="Tarieven" id="4">
  <tableColumns count="10">
    <tableColumn name="Naam lidmaatschap" id="1"/>
    <tableColumn name="Tarief per jaar" id="2"/>
    <tableColumn name="Aantal keer per week" id="3"/>
    <tableColumn name="Betaal termijnen" id="4"/>
    <tableColumn name="Leeftijd" id="5"/>
    <tableColumn name="BTW tarief %" id="6"/>
    <tableColumn name="BTW Bedrag" id="7"/>
    <tableColumn name="Netto tarief" id="8"/>
    <tableColumn name="Per termijn (excl btw)" id="9"/>
    <tableColumn name="Tarief per les/per termijn (excl btw)" id="10"/>
  </tableColumns>
  <tableStyleInfo name="Tarieven-style" showColumnStripes="0" showFirstColumn="1" showLastColumn="1" showRowStripes="1"/>
</table>
</file>

<file path=xl/tables/table5.xml><?xml version="1.0" encoding="utf-8"?>
<table xmlns="http://schemas.openxmlformats.org/spreadsheetml/2006/main" ref="A2:J100" displayName="Rooster" name="Rooster" id="5">
  <tableColumns count="10">
    <tableColumn name="Lesdag" id="1"/>
    <tableColumn name="Lestijd" id="2"/>
    <tableColumn name="Aantal minuten les" id="3"/>
    <tableColumn name="Naam les" id="4"/>
    <tableColumn name="Docent" id="5"/>
    <tableColumn name="Tarief docent" id="6"/>
    <tableColumn name="Tarief docent voor deze les" id="7"/>
    <tableColumn name="Locatie" id="8"/>
    <tableColumn name="Zaalhuur per uur" id="9"/>
    <tableColumn name="Zaalhuur per les" id="10"/>
  </tableColumns>
  <tableStyleInfo name="Rooster-style" showColumnStripes="0" showFirstColumn="1" showLastColumn="1" showRowStripes="1"/>
</table>
</file>

<file path=xl/tables/table6.xml><?xml version="1.0" encoding="utf-8"?>
<table xmlns="http://schemas.openxmlformats.org/spreadsheetml/2006/main" ref="A1:M1018" displayName="Kostenoverzicht" name="Kostenoverzicht" id="6">
  <tableColumns count="13">
    <tableColumn name="Kosten" id="1"/>
    <tableColumn name="Augustus" id="2"/>
    <tableColumn name="September" id="3"/>
    <tableColumn name="Oktober" id="4"/>
    <tableColumn name="November" id="5"/>
    <tableColumn name="December" id="6"/>
    <tableColumn name="Januari" id="7"/>
    <tableColumn name="Februari" id="8"/>
    <tableColumn name="Maart" id="9"/>
    <tableColumn name="April" id="10"/>
    <tableColumn name="Mei" id="11"/>
    <tableColumn name="Juni" id="12"/>
    <tableColumn name="Juli" id="13"/>
  </tableColumns>
  <tableStyleInfo name="Kosten-style" showColumnStripes="0" showFirstColumn="1" showLastColumn="1" showRowStripes="1"/>
</table>
</file>

<file path=xl/tables/table7.xml><?xml version="1.0" encoding="utf-8"?>
<table xmlns="http://schemas.openxmlformats.org/spreadsheetml/2006/main" ref="A1:H1038" displayName="Extra_activiteiten" name="Extra_activiteiten" id="7">
  <tableColumns count="8">
    <tableColumn name="Maand" id="1"/>
    <tableColumn name="Activiteit" id="2"/>
    <tableColumn name="Verwachte verkoop" id="3"/>
    <tableColumn name="Prijs per activiteit" id="4"/>
    <tableColumn name="Verwachte omzet" id="5"/>
    <tableColumn name="Marketingstrategie" id="6"/>
    <tableColumn name="Verkochte aantal" id="7"/>
    <tableColumn name="Totaal" id="8"/>
  </tableColumns>
  <tableStyleInfo name="Extra activiteiten-style" showColumnStripes="0" showFirstColumn="1" showLastColumn="1" showRowStripes="1"/>
</table>
</file>

<file path=xl/tables/table8.xml><?xml version="1.0" encoding="utf-8"?>
<table xmlns="http://schemas.openxmlformats.org/spreadsheetml/2006/main" ref="J1:K13" displayName="Maandtotalen" name="Maandtotalen" id="8">
  <tableColumns count="2">
    <tableColumn name="Maand" id="1"/>
    <tableColumn name="Totaal per maand" id="2"/>
  </tableColumns>
  <tableStyleInfo name="Extra activiteiten-style 2" showColumnStripes="0" showFirstColumn="1" showLastColumn="1" showRowStripes="1"/>
</table>
</file>

<file path=xl/tables/table9.xml><?xml version="1.0" encoding="utf-8"?>
<table xmlns="http://schemas.openxmlformats.org/spreadsheetml/2006/main" ref="A1:AG101" displayName="Tabel2" name="Tabel2" id="9">
  <tableColumns count="33">
    <tableColumn name="Lesdag" id="1"/>
    <tableColumn name="Lestijd" id="2"/>
    <tableColumn name="Minuten les" id="3"/>
    <tableColumn name="Naam les" id="4"/>
    <tableColumn name="Aantal lessen deze maand" id="5"/>
    <tableColumn name="Docent" id="6"/>
    <tableColumn name="Tarief docent" id="7"/>
    <tableColumn name="Tarief docent per les" id="8"/>
    <tableColumn name="Locatie" id="9"/>
    <tableColumn name="Zaalhuur per uur" id="10"/>
    <tableColumn name="Zaalhuur per les" id="11"/>
    <tableColumn name="Aantal leden tarief 1" id="12"/>
    <tableColumn name="Type lidmaatschap (Letop! alleen jaarbetalingen!!)" id="13"/>
    <tableColumn name="Tarief 1" id="14"/>
    <tableColumn name="Aantal leden tarief 2" id="15"/>
    <tableColumn name="Type lidmaatschap (Letop! alleen jaarbetalingen!!) 2" id="16"/>
    <tableColumn name="Tarief 2" id="17"/>
    <tableColumn name="Aantal leden tarief 3" id="18"/>
    <tableColumn name="Type lidmaatschap (Letop! alleen jaarbetalingen!!) 3" id="19"/>
    <tableColumn name="Tarief 3" id="20"/>
    <tableColumn name="Aantal leden tarief 4" id="21"/>
    <tableColumn name="Type lidmaatschap (Letop! alleen jaarbetalingen!!) 4" id="22"/>
    <tableColumn name="Tarief 4" id="23"/>
    <tableColumn name="Aantal leden tarief 5" id="24"/>
    <tableColumn name="Type lidmaatschap (Letop! alleen jaarbetalingen!!) 5" id="25"/>
    <tableColumn name="Tarief 5" id="26"/>
    <tableColumn name="Aantal leden tarief 6" id="27"/>
    <tableColumn name="Type lidmaatschap (Letop! alleen jaarbetalingen!!) 6" id="28"/>
    <tableColumn name="Tarief 6" id="29"/>
    <tableColumn name="Totaal aantal leden" id="30"/>
    <tableColumn name="Kosten per maand" id="31"/>
    <tableColumn name="Inkomsten voor komend seizoen" id="32"/>
    <tableColumn name="Winst per maand" id="33"/>
  </tableColumns>
  <tableStyleInfo name="Jaarbetalingen-style" showColumnStripes="0" showFirstColumn="1" showLastColumn="1" showRowStripes="1"/>
</table>
</file>

<file path=xl/tables/table10.xml><?xml version="1.0" encoding="utf-8"?>
<table xmlns="http://schemas.openxmlformats.org/spreadsheetml/2006/main" ref="A1:AC101" displayName="Augustus" name="Augustus" id="10">
  <tableColumns count="29">
    <tableColumn name="Lesdag" id="1"/>
    <tableColumn name="Lestijd" id="2"/>
    <tableColumn name="Minuten les" id="3"/>
    <tableColumn name="Naam les" id="4"/>
    <tableColumn name="Aantal lessen deze maand" id="5"/>
    <tableColumn name="Docent" id="6"/>
    <tableColumn name="Tarief docent" id="7"/>
    <tableColumn name="Tarief docent per les" id="8"/>
    <tableColumn name="Locatie" id="9"/>
    <tableColumn name="Zaalhuur per uur" id="10"/>
    <tableColumn name="Zaalhuur per les" id="11"/>
    <tableColumn name="Aantal leden tarief 1" id="12"/>
    <tableColumn name="Type lidmaatschap 1" id="13"/>
    <tableColumn name="Tarief 1 (excl btw)" id="14"/>
    <tableColumn name="Aantal leden tarief 2" id="15"/>
    <tableColumn name="Type lidmaatschap 2" id="16"/>
    <tableColumn name="Tarief 2 (excl btw)" id="17"/>
    <tableColumn name="Aantal leden tarief 3" id="18"/>
    <tableColumn name="Type lidmaatschap 3" id="19"/>
    <tableColumn name="Tarief 3 (excl btw)" id="20"/>
    <tableColumn name="Aantal leden tarief 4" id="21"/>
    <tableColumn name="Type lidmaatschap 4" id="22"/>
    <tableColumn name="Tarief 4 (excl btw)" id="23"/>
    <tableColumn name="Aantal leden met een jaarabb." id="24"/>
    <tableColumn name="Is hij betaald in deze maand? Vul hieronder het bedrag in. " id="25"/>
    <tableColumn name="Totaal aantal leden" id="26"/>
    <tableColumn name="Kosten per maand" id="27"/>
    <tableColumn name="Inkomsten per maand" id="28"/>
    <tableColumn name="Winst per maand" id="29"/>
  </tableColumns>
  <tableStyleInfo name="Augustus-style" showColumnStripes="0" showFirstColumn="1" showLastColumn="1" showRowStripes="1"/>
</table>
</file>

<file path=xl/tables/table11.xml><?xml version="1.0" encoding="utf-8"?>
<table xmlns="http://schemas.openxmlformats.org/spreadsheetml/2006/main" ref="AE2:AG9" displayName="Cijfers" name="Cijfers" id="11">
  <tableColumns count="3">
    <tableColumn name="Categorie" id="1"/>
    <tableColumn name="Bedrag" id="2"/>
    <tableColumn name="Kolom 1" id="3"/>
  </tableColumns>
  <tableStyleInfo name="Augustus-style 2" showColumnStripes="0" showFirstColumn="1" showLastColumn="1" showRowStripes="1"/>
</table>
</file>

<file path=xl/tables/table12.xml><?xml version="1.0" encoding="utf-8"?>
<table xmlns="http://schemas.openxmlformats.org/spreadsheetml/2006/main" ref="A1:AD101" displayName="September" name="September" id="12">
  <tableColumns count="30">
    <tableColumn name="Lesdag" id="1"/>
    <tableColumn name="Lestijd" id="2"/>
    <tableColumn name="Minuten les" id="3"/>
    <tableColumn name="Naam les" id="4"/>
    <tableColumn name="Aantal lessen deze maand" id="5"/>
    <tableColumn name="Docent" id="6"/>
    <tableColumn name="Tarief docent" id="7"/>
    <tableColumn name="Tarief docent per les" id="8"/>
    <tableColumn name="Locatie" id="9"/>
    <tableColumn name="Zaalhuur per uur" id="10"/>
    <tableColumn name="Zaalhuur per les" id="11"/>
    <tableColumn name="Aantal leden tarief 1" id="12"/>
    <tableColumn name="Type lidmaatschap 1" id="13"/>
    <tableColumn name="Tarief 1" id="14"/>
    <tableColumn name="Aantal leden tarief 2" id="15"/>
    <tableColumn name="Type lidmaatschap 2" id="16"/>
    <tableColumn name="Tarief 2" id="17"/>
    <tableColumn name="Aantal leden tarief 3" id="18"/>
    <tableColumn name="Type lidmaatschap 3" id="19"/>
    <tableColumn name="Tarief 3" id="20"/>
    <tableColumn name="Aantal leden tarief 4" id="21"/>
    <tableColumn name="Type lidmaatschap 4" id="22"/>
    <tableColumn name="Tarief 4 (excl btw)" id="23"/>
    <tableColumn name="Aantal leden met een jaarabb." id="24"/>
    <tableColumn name="Is hij betaald in deze maand? Vul hieronder het bedrag in. " id="25"/>
    <tableColumn name="Totaal aantal leden" id="26"/>
    <tableColumn name="Kosten per maand" id="27"/>
    <tableColumn name="Inkomsten per maand" id="28"/>
    <tableColumn name="Winst per maand" id="29"/>
    <tableColumn name="Kolom 30" id="30"/>
  </tableColumns>
  <tableStyleInfo name="September-style" showColumnStripes="0" showFirstColumn="1" showLastColumn="1" showRowStripes="1"/>
</table>
</file>

<file path=xl/tables/table13.xml><?xml version="1.0" encoding="utf-8"?>
<table xmlns="http://schemas.openxmlformats.org/spreadsheetml/2006/main" ref="AE2:AG9" displayName="Cijfers_15" name="Cijfers_15" id="13">
  <tableColumns count="3">
    <tableColumn name="Categorie" id="1"/>
    <tableColumn name="Bedrag" id="2"/>
    <tableColumn name="Kolom 1" id="3"/>
  </tableColumns>
  <tableStyleInfo name="September-style 2" showColumnStripes="0" showFirstColumn="1" showLastColumn="1" showRowStripes="1"/>
</table>
</file>

<file path=xl/tables/table14.xml><?xml version="1.0" encoding="utf-8"?>
<table xmlns="http://schemas.openxmlformats.org/spreadsheetml/2006/main" ref="A1:AC101" displayName="Oktober" name="Oktober" id="14">
  <tableColumns count="29">
    <tableColumn name="Lesdag" id="1"/>
    <tableColumn name="Lestijd" id="2"/>
    <tableColumn name="Minuten les" id="3"/>
    <tableColumn name="Naam les" id="4"/>
    <tableColumn name="Aantal lessen deze maand" id="5"/>
    <tableColumn name="Docent" id="6"/>
    <tableColumn name="Tarief docent" id="7"/>
    <tableColumn name="Tarief docent per les" id="8"/>
    <tableColumn name="Locatie" id="9"/>
    <tableColumn name="Zaalhuur per uur" id="10"/>
    <tableColumn name="Zaalhuur per les" id="11"/>
    <tableColumn name="Aantal leden tarief 1" id="12"/>
    <tableColumn name="Type lidmaatschap 1" id="13"/>
    <tableColumn name="Tarief 1" id="14"/>
    <tableColumn name="Aantal leden tarief 2" id="15"/>
    <tableColumn name="Type lidmaatschap 2" id="16"/>
    <tableColumn name="Tarief 2" id="17"/>
    <tableColumn name="Aantal leden tarief 3" id="18"/>
    <tableColumn name="Type lidmaatschap 3" id="19"/>
    <tableColumn name="Tarief 3" id="20"/>
    <tableColumn name="Aantal leden tarief 4" id="21"/>
    <tableColumn name="Type lidmaatschap 4" id="22"/>
    <tableColumn name="Tarief 4 (excl btw)" id="23"/>
    <tableColumn name="Aantal leden met een jaarabb." id="24"/>
    <tableColumn name="Is hij betaald in deze maand? Vul hieronder het bedrag in. " id="25"/>
    <tableColumn name="Totaal aantal leden" id="26"/>
    <tableColumn name="Kosten per maand" id="27"/>
    <tableColumn name="Inkomsten per maand" id="28"/>
    <tableColumn name="Winst per maand" id="29"/>
  </tableColumns>
  <tableStyleInfo name="Oktober-style" showColumnStripes="0" showFirstColumn="1" showLastColumn="1" showRowStripes="1"/>
</table>
</file>

<file path=xl/tables/table15.xml><?xml version="1.0" encoding="utf-8"?>
<table xmlns="http://schemas.openxmlformats.org/spreadsheetml/2006/main" ref="AE2:AG9" displayName="Cijfers_14" name="Cijfers_14" id="15">
  <tableColumns count="3">
    <tableColumn name="Categorie" id="1"/>
    <tableColumn name="Bedrag" id="2"/>
    <tableColumn name="Kolom 1" id="3"/>
  </tableColumns>
  <tableStyleInfo name="Oktober-style 2" showColumnStripes="0" showFirstColumn="1" showLastColumn="1" showRowStripes="1"/>
</table>
</file>

<file path=xl/tables/table16.xml><?xml version="1.0" encoding="utf-8"?>
<table xmlns="http://schemas.openxmlformats.org/spreadsheetml/2006/main" ref="A1:AC100" displayName="November" name="November" id="16">
  <tableColumns count="29">
    <tableColumn name="Lesdag" id="1"/>
    <tableColumn name="Lestijd" id="2"/>
    <tableColumn name="Minuten les" id="3"/>
    <tableColumn name="Naam les" id="4"/>
    <tableColumn name="Aantal lessen deze maand" id="5"/>
    <tableColumn name="Docent" id="6"/>
    <tableColumn name="Tarief docent" id="7"/>
    <tableColumn name="Tarief docent per les" id="8"/>
    <tableColumn name="Locatie" id="9"/>
    <tableColumn name="Zaalhuur per uur" id="10"/>
    <tableColumn name="Zaalhuur per les" id="11"/>
    <tableColumn name="Aantal leden tarief 1" id="12"/>
    <tableColumn name="Type lidmaatschap 1" id="13"/>
    <tableColumn name="Tarief 1" id="14"/>
    <tableColumn name="Aantal leden tarief 2" id="15"/>
    <tableColumn name="Type lidmaatschap 2" id="16"/>
    <tableColumn name="Tarief 2" id="17"/>
    <tableColumn name="Aantal leden tarief 3" id="18"/>
    <tableColumn name="Type lidmaatschap 3" id="19"/>
    <tableColumn name="Tarief 3" id="20"/>
    <tableColumn name="Aantal leden tarief 4" id="21"/>
    <tableColumn name="Type lidmaatschap 4" id="22"/>
    <tableColumn name="Tarief 4 (excl btw)" id="23"/>
    <tableColumn name="Aantal leden met een jaarabb." id="24"/>
    <tableColumn name="Is hij betaald in deze maand? Vul hieronder het bedrag in. " id="25"/>
    <tableColumn name="Totaal aantal leden" id="26"/>
    <tableColumn name="Kosten per maand" id="27"/>
    <tableColumn name="Inkomsten per maand" id="28"/>
    <tableColumn name="Winst per maand" id="29"/>
  </tableColumns>
  <tableStyleInfo name="November-style" showColumnStripes="0" showFirstColumn="1" showLastColumn="1" showRowStripes="1"/>
</table>
</file>

<file path=xl/tables/table17.xml><?xml version="1.0" encoding="utf-8"?>
<table xmlns="http://schemas.openxmlformats.org/spreadsheetml/2006/main" ref="AE2:AG9" displayName="Cijfers_13" name="Cijfers_13" id="17">
  <tableColumns count="3">
    <tableColumn name="Categorie" id="1"/>
    <tableColumn name="Bedrag" id="2"/>
    <tableColumn name="Kolom 1" id="3"/>
  </tableColumns>
  <tableStyleInfo name="November-style 2" showColumnStripes="0" showFirstColumn="1" showLastColumn="1" showRowStripes="1"/>
</table>
</file>

<file path=xl/tables/table18.xml><?xml version="1.0" encoding="utf-8"?>
<table xmlns="http://schemas.openxmlformats.org/spreadsheetml/2006/main" ref="A1:AC101" displayName="December" name="December" id="18">
  <tableColumns count="29">
    <tableColumn name="Lesdag" id="1"/>
    <tableColumn name="Lestijd" id="2"/>
    <tableColumn name="Minuten les" id="3"/>
    <tableColumn name="Naam les" id="4"/>
    <tableColumn name="Aantal lessen deze maand" id="5"/>
    <tableColumn name="Docent" id="6"/>
    <tableColumn name="Tarief docent" id="7"/>
    <tableColumn name="Tarief docent per les" id="8"/>
    <tableColumn name="Locatie" id="9"/>
    <tableColumn name="Zaalhuur per uur" id="10"/>
    <tableColumn name="Zaalhuur per les" id="11"/>
    <tableColumn name="Aantal leden tarief 1" id="12"/>
    <tableColumn name="Type lidmaatschap 1" id="13"/>
    <tableColumn name="Tarief 1" id="14"/>
    <tableColumn name="Aantal leden tarief 2" id="15"/>
    <tableColumn name="Type lidmaatschap 2" id="16"/>
    <tableColumn name="Tarief 2" id="17"/>
    <tableColumn name="Aantal leden tarief 3" id="18"/>
    <tableColumn name="Type lidmaatschap 3" id="19"/>
    <tableColumn name="Tarief 3" id="20"/>
    <tableColumn name="Aantal leden tarief 4" id="21"/>
    <tableColumn name="Type lidmaatschap 4" id="22"/>
    <tableColumn name="Tarief 4 (excl btw)" id="23"/>
    <tableColumn name="Aantal leden met een jaarabb." id="24"/>
    <tableColumn name="Is hij betaald in deze maand? Vul hieronder het bedrag in. " id="25"/>
    <tableColumn name="Totaal aantal leden" id="26"/>
    <tableColumn name="Kosten per maand" id="27"/>
    <tableColumn name="Inkomsten per maand" id="28"/>
    <tableColumn name="Winst per maand" id="29"/>
  </tableColumns>
  <tableStyleInfo name="December-style" showColumnStripes="0" showFirstColumn="1" showLastColumn="1" showRowStripes="1"/>
</table>
</file>

<file path=xl/tables/table19.xml><?xml version="1.0" encoding="utf-8"?>
<table xmlns="http://schemas.openxmlformats.org/spreadsheetml/2006/main" ref="AE2:AG9" displayName="Cijfers_12" name="Cijfers_12" id="19">
  <tableColumns count="3">
    <tableColumn name="Categorie" id="1"/>
    <tableColumn name="Bedrag" id="2"/>
    <tableColumn name="Kolom 1" id="3"/>
  </tableColumns>
  <tableStyleInfo name="December-style 2" showColumnStripes="0" showFirstColumn="1" showLastColumn="1" showRowStripes="1"/>
</table>
</file>

<file path=xl/tables/table20.xml><?xml version="1.0" encoding="utf-8"?>
<table xmlns="http://schemas.openxmlformats.org/spreadsheetml/2006/main" ref="A1:AC101" displayName="Januari" name="Januari" id="20">
  <tableColumns count="29">
    <tableColumn name="Lesdag" id="1"/>
    <tableColumn name="Lestijd" id="2"/>
    <tableColumn name="Minuten les" id="3"/>
    <tableColumn name="Naam les" id="4"/>
    <tableColumn name="Aantal lessen deze maand" id="5"/>
    <tableColumn name="Docent" id="6"/>
    <tableColumn name="Tarief docent" id="7"/>
    <tableColumn name="Tarief docent per les" id="8"/>
    <tableColumn name="Locatie" id="9"/>
    <tableColumn name="Zaalhuur per uur" id="10"/>
    <tableColumn name="Zaalhuur per les" id="11"/>
    <tableColumn name="Aantal leden tarief 1" id="12"/>
    <tableColumn name="Type lidmaatschap 1" id="13"/>
    <tableColumn name="Tarief 1" id="14"/>
    <tableColumn name="Aantal leden tarief 2" id="15"/>
    <tableColumn name="Type lidmaatschap 2" id="16"/>
    <tableColumn name="Tarief 2" id="17"/>
    <tableColumn name="Aantal leden tarief 3" id="18"/>
    <tableColumn name="Type lidmaatschap 3" id="19"/>
    <tableColumn name="Tarief 3" id="20"/>
    <tableColumn name="Aantal leden tarief 4" id="21"/>
    <tableColumn name="Type lidmaatschap 4" id="22"/>
    <tableColumn name="Tarief 4 (excl btw)" id="23"/>
    <tableColumn name="Aantal leden met een jaarabb." id="24"/>
    <tableColumn name="Is hij betaald in deze maand? Vul hieronder het bedrag in. " id="25"/>
    <tableColumn name="Totaal aantal leden" id="26"/>
    <tableColumn name="Kosten per maand" id="27"/>
    <tableColumn name="Inkomsten per maand" id="28"/>
    <tableColumn name="Winst per maand" id="29"/>
  </tableColumns>
  <tableStyleInfo name="Januari-style" showColumnStripes="0" showFirstColumn="1" showLastColumn="1" showRowStripes="1"/>
</table>
</file>

<file path=xl/tables/table21.xml><?xml version="1.0" encoding="utf-8"?>
<table xmlns="http://schemas.openxmlformats.org/spreadsheetml/2006/main" ref="AE2:AG9" displayName="Cijfers_11" name="Cijfers_11" id="21">
  <tableColumns count="3">
    <tableColumn name="Categorie" id="1"/>
    <tableColumn name="Bedrag" id="2"/>
    <tableColumn name="Kolom 1" id="3"/>
  </tableColumns>
  <tableStyleInfo name="Januari-style 2" showColumnStripes="0" showFirstColumn="1" showLastColumn="1" showRowStripes="1"/>
</table>
</file>

<file path=xl/tables/table22.xml><?xml version="1.0" encoding="utf-8"?>
<table xmlns="http://schemas.openxmlformats.org/spreadsheetml/2006/main" ref="A1:AC101" displayName="Februari" name="Februari" id="22">
  <tableColumns count="29">
    <tableColumn name="Lesdag" id="1"/>
    <tableColumn name="Lestijd" id="2"/>
    <tableColumn name="Minuten les" id="3"/>
    <tableColumn name="Naam les" id="4"/>
    <tableColumn name="Aantal lessen deze maand" id="5"/>
    <tableColumn name="Docent" id="6"/>
    <tableColumn name="Tarief docent" id="7"/>
    <tableColumn name="Tarief docent per les" id="8"/>
    <tableColumn name="Locatie" id="9"/>
    <tableColumn name="Zaalhuur per uur" id="10"/>
    <tableColumn name="Zaalhuur per les" id="11"/>
    <tableColumn name="Aantal leden tarief 1" id="12"/>
    <tableColumn name="Type lidmaatschap 1" id="13"/>
    <tableColumn name="Tarief 1" id="14"/>
    <tableColumn name="Aantal leden tarief 2" id="15"/>
    <tableColumn name="Type lidmaatschap 2" id="16"/>
    <tableColumn name="Tarief 2" id="17"/>
    <tableColumn name="Aantal leden tarief 3" id="18"/>
    <tableColumn name="Type lidmaatschap 3" id="19"/>
    <tableColumn name="Tarief 3" id="20"/>
    <tableColumn name="Aantal leden tarief 4" id="21"/>
    <tableColumn name="Type lidmaatschap 4" id="22"/>
    <tableColumn name="Tarief 4 (excl btw)" id="23"/>
    <tableColumn name="Aantal leden met een jaarabb." id="24"/>
    <tableColumn name="Is hij betaald in deze maand? Vul hieronder het bedrag in. " id="25"/>
    <tableColumn name="Totaal aantal leden" id="26"/>
    <tableColumn name="Kosten per maand" id="27"/>
    <tableColumn name="Inkomsten per maand" id="28"/>
    <tableColumn name="Winst per maand" id="29"/>
  </tableColumns>
  <tableStyleInfo name="Februari-style" showColumnStripes="0" showFirstColumn="1" showLastColumn="1" showRowStripes="1"/>
</table>
</file>

<file path=xl/tables/table23.xml><?xml version="1.0" encoding="utf-8"?>
<table xmlns="http://schemas.openxmlformats.org/spreadsheetml/2006/main" ref="AE2:AG9" displayName="Cijfers_10" name="Cijfers_10" id="23">
  <tableColumns count="3">
    <tableColumn name="Categorie" id="1"/>
    <tableColumn name="Bedrag" id="2"/>
    <tableColumn name="Kolom 1" id="3"/>
  </tableColumns>
  <tableStyleInfo name="Februari-style 2" showColumnStripes="0" showFirstColumn="1" showLastColumn="1" showRowStripes="1"/>
</table>
</file>

<file path=xl/tables/table24.xml><?xml version="1.0" encoding="utf-8"?>
<table xmlns="http://schemas.openxmlformats.org/spreadsheetml/2006/main" ref="A1:AC101" displayName="Maart" name="Maart" id="24">
  <tableColumns count="29">
    <tableColumn name="Lesdag" id="1"/>
    <tableColumn name="Lestijd" id="2"/>
    <tableColumn name="Minuten les" id="3"/>
    <tableColumn name="Naam les" id="4"/>
    <tableColumn name="Aantal lessen deze maand" id="5"/>
    <tableColumn name="Docent" id="6"/>
    <tableColumn name="Tarief docent" id="7"/>
    <tableColumn name="Tarief docent per les" id="8"/>
    <tableColumn name="Locatie" id="9"/>
    <tableColumn name="Zaalhuur per uur" id="10"/>
    <tableColumn name="Zaalhuur per les" id="11"/>
    <tableColumn name="Aantal leden tarief 1" id="12"/>
    <tableColumn name="Type lidmaatschap 1" id="13"/>
    <tableColumn name="Tarief 1" id="14"/>
    <tableColumn name="Aantal leden tarief 2" id="15"/>
    <tableColumn name="Type lidmaatschap 2" id="16"/>
    <tableColumn name="Tarief 2" id="17"/>
    <tableColumn name="Aantal leden tarief 3" id="18"/>
    <tableColumn name="Type lidmaatschap 3" id="19"/>
    <tableColumn name="Tarief 3" id="20"/>
    <tableColumn name="Aantal leden tarief 4" id="21"/>
    <tableColumn name="Type lidmaatschap 4" id="22"/>
    <tableColumn name="Tarief 4 (excl btw)" id="23"/>
    <tableColumn name="Aantal leden met een jaarabb." id="24"/>
    <tableColumn name="Is hij betaald in deze maand? Vul hieronder het bedrag in. " id="25"/>
    <tableColumn name="Totaal aantal leden" id="26"/>
    <tableColumn name="Kosten per maand" id="27"/>
    <tableColumn name="Inkomsten per maand" id="28"/>
    <tableColumn name="Winst per maand" id="29"/>
  </tableColumns>
  <tableStyleInfo name="Maart-style" showColumnStripes="0" showFirstColumn="1" showLastColumn="1" showRowStripes="1"/>
</table>
</file>

<file path=xl/tables/table25.xml><?xml version="1.0" encoding="utf-8"?>
<table xmlns="http://schemas.openxmlformats.org/spreadsheetml/2006/main" ref="AE2:AG9" displayName="Cijfers_9" name="Cijfers_9" id="25">
  <tableColumns count="3">
    <tableColumn name="Categorie" id="1"/>
    <tableColumn name="Bedrag" id="2"/>
    <tableColumn name="Kolom 1" id="3"/>
  </tableColumns>
  <tableStyleInfo name="Maart-style 2" showColumnStripes="0" showFirstColumn="1" showLastColumn="1" showRowStripes="1"/>
</table>
</file>

<file path=xl/tables/table26.xml><?xml version="1.0" encoding="utf-8"?>
<table xmlns="http://schemas.openxmlformats.org/spreadsheetml/2006/main" ref="A1:AC101" displayName="April" name="April" id="26">
  <tableColumns count="29">
    <tableColumn name="Lesdag" id="1"/>
    <tableColumn name="Lestijd" id="2"/>
    <tableColumn name="Minuten les" id="3"/>
    <tableColumn name="Naam les" id="4"/>
    <tableColumn name="Aantal lessen deze maand" id="5"/>
    <tableColumn name="Docent" id="6"/>
    <tableColumn name="Tarief docent" id="7"/>
    <tableColumn name="Tarief docent per les" id="8"/>
    <tableColumn name="Locatie" id="9"/>
    <tableColumn name="Zaalhuur per uur" id="10"/>
    <tableColumn name="Zaalhuur per les" id="11"/>
    <tableColumn name="Aantal leden tarief 1" id="12"/>
    <tableColumn name="Type lidmaatschap 1" id="13"/>
    <tableColumn name="Type lidmaatschap 1 2" id="14"/>
    <tableColumn name="Aantal leden tarief 2" id="15"/>
    <tableColumn name="Type lidmaatschap 2" id="16"/>
    <tableColumn name="Tarief 2" id="17"/>
    <tableColumn name="Aantal leden tarief 3" id="18"/>
    <tableColumn name="Type lidmaatschap 3" id="19"/>
    <tableColumn name="Tarief 3" id="20"/>
    <tableColumn name="Aantal leden tarief 4" id="21"/>
    <tableColumn name="Type lidmaatschap 4" id="22"/>
    <tableColumn name="Tarief 4 (excl btw)" id="23"/>
    <tableColumn name="Aantal leden met een jaarabb." id="24"/>
    <tableColumn name="Is hij betaald in deze maand? Vul hieronder het bedrag in. " id="25"/>
    <tableColumn name="Totaal aantal leden" id="26"/>
    <tableColumn name="Kosten per maand" id="27"/>
    <tableColumn name="Inkomsten per maand" id="28"/>
    <tableColumn name="Winst per maand" id="29"/>
  </tableColumns>
  <tableStyleInfo name="April-style" showColumnStripes="0" showFirstColumn="1" showLastColumn="1" showRowStripes="1"/>
</table>
</file>

<file path=xl/tables/table27.xml><?xml version="1.0" encoding="utf-8"?>
<table xmlns="http://schemas.openxmlformats.org/spreadsheetml/2006/main" ref="AE2:AG9" displayName="Cijfers_8" name="Cijfers_8" id="27">
  <tableColumns count="3">
    <tableColumn name="Categorie" id="1"/>
    <tableColumn name="Bedrag" id="2"/>
    <tableColumn name="Kolom 1" id="3"/>
  </tableColumns>
  <tableStyleInfo name="April-style 2" showColumnStripes="0" showFirstColumn="1" showLastColumn="1" showRowStripes="1"/>
</table>
</file>

<file path=xl/tables/table28.xml><?xml version="1.0" encoding="utf-8"?>
<table xmlns="http://schemas.openxmlformats.org/spreadsheetml/2006/main" ref="A1:AC101" displayName="Mei" name="Mei" id="28">
  <tableColumns count="29">
    <tableColumn name="Lesdag" id="1"/>
    <tableColumn name="Lestijd" id="2"/>
    <tableColumn name="Minuten les" id="3"/>
    <tableColumn name="Naam les" id="4"/>
    <tableColumn name="Aantal lessen deze maand" id="5"/>
    <tableColumn name="Docent" id="6"/>
    <tableColumn name="Tarief docent" id="7"/>
    <tableColumn name="Tarief docent per les" id="8"/>
    <tableColumn name="Locatie" id="9"/>
    <tableColumn name="Zaalhuur per uur" id="10"/>
    <tableColumn name="Zaalhuur per les" id="11"/>
    <tableColumn name="Aantal leden tarief 1" id="12"/>
    <tableColumn name="Type lidmaatschap 1" id="13"/>
    <tableColumn name="Tarief 1" id="14"/>
    <tableColumn name="Aantal leden tarief 2" id="15"/>
    <tableColumn name="Type lidmaatschap 2" id="16"/>
    <tableColumn name="Tarief 2" id="17"/>
    <tableColumn name="Aantal leden tarief 3" id="18"/>
    <tableColumn name="Type lidmaatschap 3" id="19"/>
    <tableColumn name="Tarief 3" id="20"/>
    <tableColumn name="Aantal leden tarief 4" id="21"/>
    <tableColumn name="Type lidmaatschap 4" id="22"/>
    <tableColumn name="Tarief 4 (excl btw)" id="23"/>
    <tableColumn name="Aantal leden met een jaarabb." id="24"/>
    <tableColumn name="Is hij betaald in deze maand? Vul hieronder het bedrag in. " id="25"/>
    <tableColumn name="Totaal aantal leden" id="26"/>
    <tableColumn name="Kosten per maand" id="27"/>
    <tableColumn name="Inkomsten per maand" id="28"/>
    <tableColumn name="Winst per maand" id="29"/>
  </tableColumns>
  <tableStyleInfo name="Mei-style" showColumnStripes="0" showFirstColumn="1" showLastColumn="1" showRowStripes="1"/>
</table>
</file>

<file path=xl/tables/table29.xml><?xml version="1.0" encoding="utf-8"?>
<table xmlns="http://schemas.openxmlformats.org/spreadsheetml/2006/main" ref="AE2:AG9" displayName="Cijfers_7" name="Cijfers_7" id="29">
  <tableColumns count="3">
    <tableColumn name="Categorie" id="1"/>
    <tableColumn name="Bedrag" id="2"/>
    <tableColumn name="Kolom 1" id="3"/>
  </tableColumns>
  <tableStyleInfo name="Mei-style 2" showColumnStripes="0" showFirstColumn="1" showLastColumn="1" showRowStripes="1"/>
</table>
</file>

<file path=xl/tables/table30.xml><?xml version="1.0" encoding="utf-8"?>
<table xmlns="http://schemas.openxmlformats.org/spreadsheetml/2006/main" ref="A1:AC101" displayName="Juni" name="Juni" id="30">
  <tableColumns count="29">
    <tableColumn name="Lesdag" id="1"/>
    <tableColumn name="Lestijd" id="2"/>
    <tableColumn name="Minuten les" id="3"/>
    <tableColumn name="Naam les" id="4"/>
    <tableColumn name="Aantal lessen deze maand" id="5"/>
    <tableColumn name="Docent" id="6"/>
    <tableColumn name="Tarief docent" id="7"/>
    <tableColumn name="Tarief docent per les" id="8"/>
    <tableColumn name="Locatie" id="9"/>
    <tableColumn name="Zaalhuur per uur" id="10"/>
    <tableColumn name="Zaalhuur per les" id="11"/>
    <tableColumn name="Aantal leden tarief 1" id="12"/>
    <tableColumn name="Type lidmaatschap 1" id="13"/>
    <tableColumn name="Tarief 1" id="14"/>
    <tableColumn name="Aantal leden tarief 2" id="15"/>
    <tableColumn name="Type lidmaatschap 2" id="16"/>
    <tableColumn name="Tarief 2" id="17"/>
    <tableColumn name="Aantal leden tarief 3" id="18"/>
    <tableColumn name="Type lidmaatschap 3" id="19"/>
    <tableColumn name="Tarief 3" id="20"/>
    <tableColumn name="Aantal leden tarief 4" id="21"/>
    <tableColumn name="Type lidmaatschap 4" id="22"/>
    <tableColumn name="Tarief 4 (excl btw)" id="23"/>
    <tableColumn name="Aantal leden met een jaarabb." id="24"/>
    <tableColumn name="Is hij betaald in deze maand? Vul hieronder het bedrag in. " id="25"/>
    <tableColumn name="Totaal aantal leden" id="26"/>
    <tableColumn name="Kosten per maand" id="27"/>
    <tableColumn name="Inkomsten per maand" id="28"/>
    <tableColumn name="Winst per maand" id="29"/>
  </tableColumns>
  <tableStyleInfo name="Juni-style" showColumnStripes="0" showFirstColumn="1" showLastColumn="1" showRowStripes="1"/>
</table>
</file>

<file path=xl/tables/table31.xml><?xml version="1.0" encoding="utf-8"?>
<table xmlns="http://schemas.openxmlformats.org/spreadsheetml/2006/main" ref="AE2:AG9" displayName="Cijfers_6" name="Cijfers_6" id="31">
  <tableColumns count="3">
    <tableColumn name="Categorie" id="1"/>
    <tableColumn name="Bedrag" id="2"/>
    <tableColumn name="Kolom 1" id="3"/>
  </tableColumns>
  <tableStyleInfo name="Juni-style 2" showColumnStripes="0" showFirstColumn="1" showLastColumn="1" showRowStripes="1"/>
</table>
</file>

<file path=xl/tables/table32.xml><?xml version="1.0" encoding="utf-8"?>
<table xmlns="http://schemas.openxmlformats.org/spreadsheetml/2006/main" ref="A1:AC101" displayName="Juli" name="Juli" id="32">
  <tableColumns count="29">
    <tableColumn name="Lesdag" id="1"/>
    <tableColumn name="Lestijd" id="2"/>
    <tableColumn name="Minuten les" id="3"/>
    <tableColumn name="Naam les" id="4"/>
    <tableColumn name="Aantal lessen deze maand" id="5"/>
    <tableColumn name="Docent" id="6"/>
    <tableColumn name="Tarief docent" id="7"/>
    <tableColumn name="Tarief docent per les" id="8"/>
    <tableColumn name="Locatie" id="9"/>
    <tableColumn name="Zaalhuur per uur" id="10"/>
    <tableColumn name="Zaalhuur per les" id="11"/>
    <tableColumn name="Kolom 12" id="12"/>
    <tableColumn name="Kolom 13" id="13"/>
    <tableColumn name="Tarief 1" id="14"/>
    <tableColumn name="Kolom 15" id="15"/>
    <tableColumn name="Kolom 16" id="16"/>
    <tableColumn name="Tarief 2" id="17"/>
    <tableColumn name="Kolom 18" id="18"/>
    <tableColumn name="Kolom 19" id="19"/>
    <tableColumn name="Tarief 3" id="20"/>
    <tableColumn name="Aantal leden tarief 4" id="21"/>
    <tableColumn name="Type lidmaatschap 4" id="22"/>
    <tableColumn name="Tarief 4 (excl btw)" id="23"/>
    <tableColumn name="Aantal leden met een jaarabb." id="24"/>
    <tableColumn name="Is hij betaald in deze maand? Vul hieronder het bedrag in. " id="25"/>
    <tableColumn name="Totaal aantal leden" id="26"/>
    <tableColumn name="Kosten per maand" id="27"/>
    <tableColumn name="Inkomsten per maand" id="28"/>
    <tableColumn name="Winst per maand" id="29"/>
  </tableColumns>
  <tableStyleInfo name="Juli-style" showColumnStripes="0" showFirstColumn="1" showLastColumn="1" showRowStripes="1"/>
</table>
</file>

<file path=xl/tables/table33.xml><?xml version="1.0" encoding="utf-8"?>
<table xmlns="http://schemas.openxmlformats.org/spreadsheetml/2006/main" ref="AE2:AG9" displayName="Cijfers_5" name="Cijfers_5" id="33">
  <tableColumns count="3">
    <tableColumn name="Categorie" id="1"/>
    <tableColumn name="Bedrag" id="2"/>
    <tableColumn name="Kolom 1" id="3"/>
  </tableColumns>
  <tableStyleInfo name="Juli-style 2" showColumnStripes="0" showFirstColumn="1" showLastColumn="1" showRowStripes="1"/>
</table>
</file>

<file path=xl/tables/table34.xml><?xml version="1.0" encoding="utf-8"?>
<table xmlns="http://schemas.openxmlformats.org/spreadsheetml/2006/main" ref="A1:L101" displayName="Jaaroverzicht" name="Jaaroverzicht" id="34">
  <tableColumns count="12">
    <tableColumn name="Lesdag" id="1"/>
    <tableColumn name="Lestijd" id="2"/>
    <tableColumn name="Naam les" id="3"/>
    <tableColumn name="Docent" id="4"/>
    <tableColumn name="Aantal lessen dit jaar" id="5"/>
    <tableColumn name="Gemiddelde aantal leden dit seizoen" id="6"/>
    <tableColumn name="Kosten dit seizoen" id="7"/>
    <tableColumn name="Inkomsten dit seizoen" id="8"/>
    <tableColumn name="Winst dit seizoen" id="9"/>
    <tableColumn name="Welke les heeft aandacht nodig" id="10"/>
    <tableColumn name="Trend leden" id="11"/>
    <tableColumn name="Daling/stijging ledenaantal" id="12"/>
  </tableColumns>
  <tableStyleInfo name="Jaaroverzich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20.xml"/><Relationship Id="rId5" Type="http://schemas.openxmlformats.org/officeDocument/2006/relationships/table" Target="../tables/table2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22.xml"/><Relationship Id="rId5" Type="http://schemas.openxmlformats.org/officeDocument/2006/relationships/table" Target="../tables/table2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4" Type="http://schemas.openxmlformats.org/officeDocument/2006/relationships/table" Target="../tables/table24.xml"/><Relationship Id="rId5" Type="http://schemas.openxmlformats.org/officeDocument/2006/relationships/table" Target="../tables/table25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26.xml"/><Relationship Id="rId5" Type="http://schemas.openxmlformats.org/officeDocument/2006/relationships/table" Target="../tables/table2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4" Type="http://schemas.openxmlformats.org/officeDocument/2006/relationships/table" Target="../tables/table30.xml"/><Relationship Id="rId5" Type="http://schemas.openxmlformats.org/officeDocument/2006/relationships/table" Target="../tables/table31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4" Type="http://schemas.openxmlformats.org/officeDocument/2006/relationships/table" Target="../tables/table32.xml"/><Relationship Id="rId5" Type="http://schemas.openxmlformats.org/officeDocument/2006/relationships/table" Target="../tables/table3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3.89"/>
    <col customWidth="1" min="2" max="2" width="14.67"/>
    <col customWidth="1" min="3" max="3" width="17.44"/>
    <col customWidth="1" min="4" max="4" width="16.44"/>
    <col customWidth="1" min="5" max="5" width="17.44"/>
    <col customWidth="1" min="6" max="6" width="16.22"/>
    <col customWidth="1" min="7" max="7" width="15.89"/>
    <col customWidth="1" min="8" max="8" width="16.56"/>
    <col customWidth="1" min="9" max="9" width="16.78"/>
    <col customWidth="1" min="10" max="10" width="16.67"/>
    <col customWidth="1" min="11" max="12" width="16.33"/>
    <col customWidth="1" min="13" max="13" width="16.44"/>
    <col customWidth="1" min="14" max="14" width="14.0"/>
    <col customWidth="1" min="15" max="15" width="18.44"/>
    <col customWidth="1" min="16" max="16" width="17.78"/>
    <col customWidth="1" min="17" max="18" width="13.33"/>
  </cols>
  <sheetData>
    <row r="1" ht="22.5" customHeight="1">
      <c r="A1" s="2" t="s">
        <v>2</v>
      </c>
      <c r="B1" s="3" t="s">
        <v>6</v>
      </c>
      <c r="C1" s="4" t="s">
        <v>10</v>
      </c>
      <c r="D1" s="4" t="s">
        <v>11</v>
      </c>
      <c r="E1" s="4" t="s">
        <v>14</v>
      </c>
      <c r="F1" s="4" t="s">
        <v>19</v>
      </c>
      <c r="G1" s="6" t="s">
        <v>23</v>
      </c>
      <c r="H1" s="6" t="s">
        <v>26</v>
      </c>
      <c r="I1" s="4" t="s">
        <v>30</v>
      </c>
      <c r="J1" s="4" t="s">
        <v>33</v>
      </c>
      <c r="K1" s="3" t="s">
        <v>35</v>
      </c>
      <c r="L1" s="3" t="s">
        <v>37</v>
      </c>
      <c r="M1" s="12" t="s">
        <v>39</v>
      </c>
      <c r="N1" s="18" t="s">
        <v>40</v>
      </c>
      <c r="O1" s="22" t="s">
        <v>41</v>
      </c>
      <c r="P1" s="5" t="s">
        <v>43</v>
      </c>
    </row>
    <row r="2" ht="22.5" customHeight="1">
      <c r="A2" s="26" t="s">
        <v>44</v>
      </c>
      <c r="B2" s="28">
        <v>3000.0</v>
      </c>
      <c r="C2" s="29">
        <v>197.0</v>
      </c>
      <c r="D2" s="31">
        <v>200.0</v>
      </c>
      <c r="E2" s="31">
        <v>340.0</v>
      </c>
      <c r="F2" s="34">
        <f>Augustus!AF9</f>
        <v>390</v>
      </c>
      <c r="G2" s="35">
        <f>Augustus!$AF$3+'Extra activiteiten'!K2+Jaarbetalingen!AI3</f>
        <v>59241.19</v>
      </c>
      <c r="H2" s="36">
        <f>Augustus!$AF$5+Augustus!$AF$6</f>
        <v>4644.58</v>
      </c>
      <c r="I2" s="37">
        <f t="shared" ref="I2:I14" si="1">SUM(H2/G2)*1</f>
        <v>0.07840119349</v>
      </c>
      <c r="J2" s="38"/>
      <c r="K2" s="39">
        <f t="shared" ref="K2:K13" si="2">G2-H2</f>
        <v>54596.61</v>
      </c>
      <c r="L2" s="42">
        <f>IF((K2 / 1) *Inkomstenbelasting!$H$19  &lt; 0, 0, (K2 / 1) * Inkomstenbelasting!$H$19)</f>
        <v>17696.97195</v>
      </c>
      <c r="M2" s="44">
        <f t="shared" ref="M2:M13" si="3">K2-L2</f>
        <v>36899.63805</v>
      </c>
      <c r="N2" s="46">
        <f t="shared" ref="N2:N13" si="4">B2</f>
        <v>3000</v>
      </c>
      <c r="O2" s="48">
        <f>M2-N2-P2</f>
        <v>23899.63805</v>
      </c>
      <c r="P2" s="50">
        <v>10000.0</v>
      </c>
    </row>
    <row r="3" ht="22.5" customHeight="1">
      <c r="A3" s="26" t="s">
        <v>53</v>
      </c>
      <c r="B3" s="28">
        <v>3250.0</v>
      </c>
      <c r="C3" s="29"/>
      <c r="D3" s="31">
        <v>220.0</v>
      </c>
      <c r="E3" s="31">
        <v>360.0</v>
      </c>
      <c r="F3" s="34">
        <f>September!AF9</f>
        <v>387</v>
      </c>
      <c r="G3" s="65">
        <f>September!$AF$3+'Extra activiteiten'!K3</f>
        <v>18365.928</v>
      </c>
      <c r="H3" s="36">
        <f>September!$AF$5+September!$AF$6</f>
        <v>14419.3</v>
      </c>
      <c r="I3" s="37">
        <f t="shared" si="1"/>
        <v>0.7851114303</v>
      </c>
      <c r="J3" s="66"/>
      <c r="K3" s="67">
        <f t="shared" si="2"/>
        <v>3946.628</v>
      </c>
      <c r="L3" s="42">
        <f>IF((K3 / 1) *Inkomstenbelasting!$H$19  &lt; 0, 0, (K3 / 1) * Inkomstenbelasting!$H$19)</f>
        <v>1279.261936</v>
      </c>
      <c r="M3" s="44">
        <f t="shared" si="3"/>
        <v>2667.366064</v>
      </c>
      <c r="N3" s="46">
        <f t="shared" si="4"/>
        <v>3250</v>
      </c>
      <c r="O3" s="48">
        <f t="shared" ref="O3:O13" si="5">(O2+M3)-N3-P3</f>
        <v>23317.00412</v>
      </c>
      <c r="P3" s="50"/>
    </row>
    <row r="4" ht="22.5" customHeight="1">
      <c r="A4" s="26" t="s">
        <v>65</v>
      </c>
      <c r="B4" s="28">
        <v>3250.0</v>
      </c>
      <c r="C4" s="29"/>
      <c r="D4" s="31">
        <v>230.0</v>
      </c>
      <c r="E4" s="31">
        <v>370.0</v>
      </c>
      <c r="F4" s="34">
        <f>Oktober!AF9</f>
        <v>395</v>
      </c>
      <c r="G4" s="65">
        <f>Oktober!$AF$3+'Extra activiteiten'!K4</f>
        <v>7428.878</v>
      </c>
      <c r="H4" s="36">
        <f>Oktober!$AF$5+Oktober!$AF$6</f>
        <v>8730.34</v>
      </c>
      <c r="I4" s="37">
        <f t="shared" si="1"/>
        <v>1.175189578</v>
      </c>
      <c r="J4" s="38"/>
      <c r="K4" s="74">
        <f t="shared" si="2"/>
        <v>-1301.462</v>
      </c>
      <c r="L4" s="42">
        <f>IF((K4 / 1) *Inkomstenbelasting!$H$19  &lt; 0, 0, (K4 / 1) * Inkomstenbelasting!$H$19)</f>
        <v>0</v>
      </c>
      <c r="M4" s="44">
        <f t="shared" si="3"/>
        <v>-1301.462</v>
      </c>
      <c r="N4" s="46">
        <f t="shared" si="4"/>
        <v>3250</v>
      </c>
      <c r="O4" s="48">
        <f t="shared" si="5"/>
        <v>9638.542118</v>
      </c>
      <c r="P4" s="50">
        <v>9127.0</v>
      </c>
    </row>
    <row r="5" ht="22.5" customHeight="1">
      <c r="A5" s="26" t="s">
        <v>73</v>
      </c>
      <c r="B5" s="28">
        <v>3250.0</v>
      </c>
      <c r="C5" s="29"/>
      <c r="D5" s="31">
        <v>240.0</v>
      </c>
      <c r="E5" s="31">
        <v>380.0</v>
      </c>
      <c r="F5" s="34">
        <f>November!AF9</f>
        <v>423</v>
      </c>
      <c r="G5" s="65">
        <f>November!$AF$3+'Extra activiteiten'!K5</f>
        <v>7399.353667</v>
      </c>
      <c r="H5" s="36">
        <f>November!$AF$5+November!$AF$6</f>
        <v>7159.92</v>
      </c>
      <c r="I5" s="37">
        <f t="shared" si="1"/>
        <v>0.9676412728</v>
      </c>
      <c r="J5" s="81"/>
      <c r="K5" s="74">
        <f t="shared" si="2"/>
        <v>239.4336667</v>
      </c>
      <c r="L5" s="42">
        <f>IF((K5 / 1) *Inkomstenbelasting!$H$19  &lt; 0, 0, (K5 / 1) * Inkomstenbelasting!$H$19)</f>
        <v>77.61014616</v>
      </c>
      <c r="M5" s="44">
        <f t="shared" si="3"/>
        <v>161.8235205</v>
      </c>
      <c r="N5" s="46">
        <f t="shared" si="4"/>
        <v>3250</v>
      </c>
      <c r="O5" s="48">
        <f t="shared" si="5"/>
        <v>6550.365638</v>
      </c>
      <c r="P5" s="82"/>
    </row>
    <row r="6" ht="22.5" customHeight="1">
      <c r="A6" s="26" t="s">
        <v>80</v>
      </c>
      <c r="B6" s="28">
        <v>3250.0</v>
      </c>
      <c r="C6" s="29"/>
      <c r="D6" s="31">
        <v>245.0</v>
      </c>
      <c r="E6" s="31">
        <v>385.0</v>
      </c>
      <c r="F6" s="34">
        <f>December!AF9</f>
        <v>411</v>
      </c>
      <c r="G6" s="65">
        <f>December!$AF$3+'Extra activiteiten'!K6</f>
        <v>16530.10367</v>
      </c>
      <c r="H6" s="36">
        <f>December!$AF$5+December!$AF$6</f>
        <v>7754.54</v>
      </c>
      <c r="I6" s="37">
        <f t="shared" si="1"/>
        <v>0.4691162352</v>
      </c>
      <c r="J6" s="38"/>
      <c r="K6" s="74">
        <f t="shared" si="2"/>
        <v>8775.563667</v>
      </c>
      <c r="L6" s="42">
        <f>IF((K6 / 1) *Inkomstenbelasting!$H$19  &lt; 0, 0, (K6 / 1) * Inkomstenbelasting!$H$19)</f>
        <v>2844.515512</v>
      </c>
      <c r="M6" s="44">
        <f t="shared" si="3"/>
        <v>5931.048155</v>
      </c>
      <c r="N6" s="46">
        <f t="shared" si="4"/>
        <v>3250</v>
      </c>
      <c r="O6" s="48">
        <f t="shared" si="5"/>
        <v>9231.413793</v>
      </c>
      <c r="P6" s="82"/>
    </row>
    <row r="7" ht="22.5" customHeight="1">
      <c r="A7" s="26" t="s">
        <v>83</v>
      </c>
      <c r="B7" s="28">
        <v>3250.0</v>
      </c>
      <c r="C7" s="29"/>
      <c r="D7" s="31">
        <v>250.0</v>
      </c>
      <c r="E7" s="31">
        <v>390.0</v>
      </c>
      <c r="F7" s="34">
        <f>Januari!AF9</f>
        <v>459</v>
      </c>
      <c r="G7" s="65">
        <f>Januari!$AF$3+'Extra activiteiten'!K7</f>
        <v>10154.22033</v>
      </c>
      <c r="H7" s="36">
        <f>Januari!$AF$5+Januari!$AF$6</f>
        <v>10118.52</v>
      </c>
      <c r="I7" s="37">
        <f t="shared" si="1"/>
        <v>0.9964841876</v>
      </c>
      <c r="J7" s="86"/>
      <c r="K7" s="67">
        <f t="shared" si="2"/>
        <v>35.70033333</v>
      </c>
      <c r="L7" s="42">
        <f>IF((K7 / 1) *Inkomstenbelasting!$H$19  &lt; 0, 0, (K7 / 1) * Inkomstenbelasting!$H$19)</f>
        <v>11.57192356</v>
      </c>
      <c r="M7" s="44">
        <f t="shared" si="3"/>
        <v>24.12840977</v>
      </c>
      <c r="N7" s="46">
        <f t="shared" si="4"/>
        <v>3250</v>
      </c>
      <c r="O7" s="48">
        <f t="shared" si="5"/>
        <v>6005.542203</v>
      </c>
      <c r="P7" s="82"/>
    </row>
    <row r="8" ht="22.5" customHeight="1">
      <c r="A8" s="26" t="s">
        <v>86</v>
      </c>
      <c r="B8" s="28">
        <v>3250.0</v>
      </c>
      <c r="C8" s="29"/>
      <c r="D8" s="31">
        <v>260.0</v>
      </c>
      <c r="E8" s="31">
        <v>400.0</v>
      </c>
      <c r="F8" s="34">
        <f>Februari!AF9</f>
        <v>465</v>
      </c>
      <c r="G8" s="65">
        <f>Februari!$AF$3+'Extra activiteiten'!K8</f>
        <v>8500.420333</v>
      </c>
      <c r="H8" s="36">
        <f>Februari!$AF$5+Februari!$AF$6</f>
        <v>7697.52</v>
      </c>
      <c r="I8" s="37">
        <f t="shared" si="1"/>
        <v>0.9055458081</v>
      </c>
      <c r="J8" s="89"/>
      <c r="K8" s="74">
        <f t="shared" si="2"/>
        <v>802.9003333</v>
      </c>
      <c r="L8" s="42">
        <f>IF((K8 / 1) *Inkomstenbelasting!$H$19  &lt; 0, 0, (K8 / 1) * Inkomstenbelasting!$H$19)</f>
        <v>260.2525079</v>
      </c>
      <c r="M8" s="44">
        <f t="shared" si="3"/>
        <v>542.6478254</v>
      </c>
      <c r="N8" s="46">
        <f t="shared" si="4"/>
        <v>3250</v>
      </c>
      <c r="O8" s="48">
        <f t="shared" si="5"/>
        <v>3298.190028</v>
      </c>
      <c r="P8" s="82"/>
    </row>
    <row r="9" ht="22.5" customHeight="1">
      <c r="A9" s="26" t="s">
        <v>90</v>
      </c>
      <c r="B9" s="28">
        <v>3250.0</v>
      </c>
      <c r="C9" s="29"/>
      <c r="D9" s="31">
        <v>280.0</v>
      </c>
      <c r="E9" s="31">
        <v>420.0</v>
      </c>
      <c r="F9" s="34">
        <f>Maart!AF9</f>
        <v>468</v>
      </c>
      <c r="G9" s="65">
        <f>Maart!$AF$3+'Extra activiteiten'!K9</f>
        <v>10556.35033</v>
      </c>
      <c r="H9" s="36">
        <f>Maart!$AF$5+Maart!$AF$6</f>
        <v>11061.67</v>
      </c>
      <c r="I9" s="37">
        <f t="shared" si="1"/>
        <v>1.047868785</v>
      </c>
      <c r="J9" s="90"/>
      <c r="K9" s="74">
        <f t="shared" si="2"/>
        <v>-505.3196667</v>
      </c>
      <c r="L9" s="42">
        <f>IF((K9 / 1) *Inkomstenbelasting!$H$19  &lt; 0, 0, (K9 / 1) * Inkomstenbelasting!$H$19)</f>
        <v>0</v>
      </c>
      <c r="M9" s="44">
        <f t="shared" si="3"/>
        <v>-505.3196667</v>
      </c>
      <c r="N9" s="46">
        <f t="shared" si="4"/>
        <v>3250</v>
      </c>
      <c r="O9" s="48">
        <f t="shared" si="5"/>
        <v>-457.1296383</v>
      </c>
      <c r="P9" s="82"/>
    </row>
    <row r="10" ht="22.5" customHeight="1">
      <c r="A10" s="26" t="s">
        <v>93</v>
      </c>
      <c r="B10" s="28">
        <v>3250.0</v>
      </c>
      <c r="C10" s="29"/>
      <c r="D10" s="31">
        <v>287.0</v>
      </c>
      <c r="E10" s="31">
        <v>427.0</v>
      </c>
      <c r="F10" s="34">
        <f>April!AF9</f>
        <v>468</v>
      </c>
      <c r="G10" s="65">
        <f>April!$AF$3+'Extra activiteiten'!K10</f>
        <v>8648.350333</v>
      </c>
      <c r="H10" s="36">
        <f>April!$AF$5+April!$AF$6</f>
        <v>6342.34</v>
      </c>
      <c r="I10" s="37">
        <f t="shared" si="1"/>
        <v>0.733358358</v>
      </c>
      <c r="J10" s="89"/>
      <c r="K10" s="74">
        <f t="shared" si="2"/>
        <v>2306.010333</v>
      </c>
      <c r="L10" s="42">
        <f>IF((K10 / 1) *Inkomstenbelasting!$H$19  &lt; 0, 0, (K10 / 1) * Inkomstenbelasting!$H$19)</f>
        <v>747.4713206</v>
      </c>
      <c r="M10" s="44">
        <f t="shared" si="3"/>
        <v>1558.539013</v>
      </c>
      <c r="N10" s="46">
        <f t="shared" si="4"/>
        <v>3250</v>
      </c>
      <c r="O10" s="48">
        <f t="shared" si="5"/>
        <v>-2148.590626</v>
      </c>
      <c r="P10" s="82"/>
    </row>
    <row r="11" ht="22.5" customHeight="1">
      <c r="A11" s="26" t="s">
        <v>106</v>
      </c>
      <c r="B11" s="28">
        <v>3250.0</v>
      </c>
      <c r="C11" s="29"/>
      <c r="D11" s="31">
        <v>287.0</v>
      </c>
      <c r="E11" s="31">
        <v>427.0</v>
      </c>
      <c r="F11" s="34">
        <f>Mei!AF9</f>
        <v>461</v>
      </c>
      <c r="G11" s="65">
        <f>Mei!$AF$3+'Extra activiteiten'!K11</f>
        <v>49171.35033</v>
      </c>
      <c r="H11" s="36">
        <f>Mei!$AF$5+Mei!$AF$6</f>
        <v>31658.94</v>
      </c>
      <c r="I11" s="37">
        <f t="shared" si="1"/>
        <v>0.6438493103</v>
      </c>
      <c r="J11" s="90"/>
      <c r="K11" s="67">
        <f t="shared" si="2"/>
        <v>17512.41033</v>
      </c>
      <c r="L11" s="42">
        <f>IF((K11 / 1) *Inkomstenbelasting!$H$19  &lt; 0, 0, (K11 / 1) * Inkomstenbelasting!$H$19)</f>
        <v>5676.481276</v>
      </c>
      <c r="M11" s="44">
        <f t="shared" si="3"/>
        <v>11835.92906</v>
      </c>
      <c r="N11" s="46">
        <f t="shared" si="4"/>
        <v>3250</v>
      </c>
      <c r="O11" s="100">
        <f t="shared" si="5"/>
        <v>6437.338432</v>
      </c>
      <c r="P11" s="82"/>
    </row>
    <row r="12" ht="22.5" customHeight="1">
      <c r="A12" s="26" t="s">
        <v>110</v>
      </c>
      <c r="B12" s="28">
        <v>3250.0</v>
      </c>
      <c r="C12" s="29"/>
      <c r="D12" s="31">
        <v>295.0</v>
      </c>
      <c r="E12" s="31">
        <v>435.0</v>
      </c>
      <c r="F12" s="34">
        <f>Juni!AF9</f>
        <v>461</v>
      </c>
      <c r="G12" s="65">
        <f>Juni!$AF$3+'Extra activiteiten'!K12</f>
        <v>8713.850333</v>
      </c>
      <c r="H12" s="36">
        <f>Juni!$AF$5+Juni!$AF$6</f>
        <v>6642.78</v>
      </c>
      <c r="I12" s="37">
        <f t="shared" si="1"/>
        <v>0.7623243166</v>
      </c>
      <c r="J12" s="89"/>
      <c r="K12" s="74">
        <f t="shared" si="2"/>
        <v>2071.070333</v>
      </c>
      <c r="L12" s="42">
        <f>IF((K12 / 1) *Inkomstenbelasting!$H$19  &lt; 0, 0, (K12 / 1) * Inkomstenbelasting!$H$19)</f>
        <v>671.3177538</v>
      </c>
      <c r="M12" s="44">
        <f t="shared" si="3"/>
        <v>1399.75258</v>
      </c>
      <c r="N12" s="46">
        <f t="shared" si="4"/>
        <v>3250</v>
      </c>
      <c r="O12" s="44">
        <f t="shared" si="5"/>
        <v>4587.091012</v>
      </c>
      <c r="P12" s="82"/>
    </row>
    <row r="13" ht="22.5" customHeight="1">
      <c r="A13" s="26" t="s">
        <v>115</v>
      </c>
      <c r="B13" s="28">
        <v>3250.0</v>
      </c>
      <c r="C13" s="29"/>
      <c r="D13" s="31"/>
      <c r="E13" s="31"/>
      <c r="F13" s="34">
        <f>Juli!AF9</f>
        <v>461</v>
      </c>
      <c r="G13" s="65">
        <f>Juli!$AF$3+'Extra activiteiten'!K13</f>
        <v>400</v>
      </c>
      <c r="H13" s="36">
        <f>Juli!$AF$5+Juli!$AF$6</f>
        <v>2424.99</v>
      </c>
      <c r="I13" s="37">
        <f t="shared" si="1"/>
        <v>6.062475</v>
      </c>
      <c r="J13" s="90"/>
      <c r="K13" s="67">
        <f t="shared" si="2"/>
        <v>-2024.99</v>
      </c>
      <c r="L13" s="42">
        <f>IF((K13 / 1) *Inkomstenbelasting!$H$19  &lt; 0, 0, (K13 / 1) * Inkomstenbelasting!$H$19)</f>
        <v>0</v>
      </c>
      <c r="M13" s="44">
        <f t="shared" si="3"/>
        <v>-2024.99</v>
      </c>
      <c r="N13" s="46">
        <f t="shared" si="4"/>
        <v>3250</v>
      </c>
      <c r="O13" s="44">
        <f t="shared" si="5"/>
        <v>-687.8989884</v>
      </c>
      <c r="P13" s="82"/>
    </row>
    <row r="14" ht="22.5" customHeight="1">
      <c r="A14" s="114" t="s">
        <v>135</v>
      </c>
      <c r="B14" s="117">
        <f>SUM(B2:B13)</f>
        <v>38750</v>
      </c>
      <c r="C14" s="118"/>
      <c r="D14" s="119"/>
      <c r="E14" s="119"/>
      <c r="F14" s="118" t="str">
        <f>September!AF20</f>
        <v/>
      </c>
      <c r="G14" s="117">
        <f t="shared" ref="G14:H14" si="6">SUM(G2:G13)</f>
        <v>205109.9953</v>
      </c>
      <c r="H14" s="122">
        <f t="shared" si="6"/>
        <v>118655.44</v>
      </c>
      <c r="I14" s="124">
        <f t="shared" si="1"/>
        <v>0.5784966247</v>
      </c>
      <c r="J14" s="126"/>
      <c r="K14" s="117">
        <f t="shared" ref="K14:N14" si="7">SUM(K2:K13)</f>
        <v>86454.55533</v>
      </c>
      <c r="L14" s="117">
        <f t="shared" si="7"/>
        <v>29265.45432</v>
      </c>
      <c r="M14" s="127">
        <f t="shared" si="7"/>
        <v>57189.10101</v>
      </c>
      <c r="N14" s="127">
        <f t="shared" si="7"/>
        <v>38750</v>
      </c>
      <c r="O14" s="127" t="str">
        <f>C14</f>
        <v/>
      </c>
      <c r="P14" s="127">
        <f>SUM(P2:P13)</f>
        <v>19127</v>
      </c>
    </row>
    <row r="16">
      <c r="E16" s="130" t="s">
        <v>144</v>
      </c>
      <c r="F16" s="131">
        <v>0.18</v>
      </c>
      <c r="G16" s="130">
        <v>403.56</v>
      </c>
    </row>
    <row r="17">
      <c r="B17" s="130" t="s">
        <v>145</v>
      </c>
      <c r="E17" s="130" t="s">
        <v>146</v>
      </c>
      <c r="F17" s="132">
        <v>0.234</v>
      </c>
      <c r="G17" s="130">
        <v>422.028</v>
      </c>
    </row>
    <row r="18">
      <c r="B18" s="130" t="s">
        <v>147</v>
      </c>
      <c r="E18" s="130" t="s">
        <v>148</v>
      </c>
      <c r="F18" s="131">
        <v>0.3</v>
      </c>
      <c r="G18" s="130">
        <v>444.6</v>
      </c>
    </row>
    <row r="19">
      <c r="B19" s="130" t="s">
        <v>149</v>
      </c>
    </row>
  </sheetData>
  <conditionalFormatting sqref="G2:H13">
    <cfRule type="cellIs" dxfId="7" priority="1" operator="lessThanOrEqual">
      <formula>0</formula>
    </cfRule>
  </conditionalFormatting>
  <conditionalFormatting sqref="K2:O13">
    <cfRule type="cellIs" dxfId="7" priority="2" operator="lessThan">
      <formula>0</formula>
    </cfRule>
  </conditionalFormatting>
  <dataValidations>
    <dataValidation type="list" allowBlank="1" sqref="A2:A14">
      <formula1>"augustus,september,oktober,november,december,januari,februari,maart,april,mei,juni,juli,Totaal:"</formula1>
    </dataValidation>
    <dataValidation type="list" allowBlank="1" sqref="J2:J14">
      <formula1>"Goed,Redelijk,Minder"</formula1>
    </dataValidation>
    <dataValidation type="custom" allowBlank="1" showDropDown="1" sqref="B2:C14 E2:G14 I2:I14 K2:M14 O2:P1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44"/>
    <col customWidth="1" min="2" max="2" width="19.33"/>
    <col customWidth="1" min="3" max="3" width="14.0"/>
    <col customWidth="1" min="4" max="4" width="16.44"/>
    <col customWidth="1" min="5" max="5" width="21.78"/>
    <col customWidth="1" min="6" max="6" width="19.56"/>
    <col customWidth="1" min="7" max="7" width="18.78"/>
  </cols>
  <sheetData>
    <row r="1" ht="22.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13</v>
      </c>
      <c r="G1" s="5" t="s">
        <v>17</v>
      </c>
    </row>
    <row r="2" ht="22.5" customHeight="1">
      <c r="A2" s="7" t="s">
        <v>25</v>
      </c>
      <c r="B2" s="9" t="s">
        <v>32</v>
      </c>
      <c r="C2" s="14">
        <v>0.0</v>
      </c>
      <c r="D2" s="14">
        <v>0.0</v>
      </c>
      <c r="E2" s="23" t="s">
        <v>42</v>
      </c>
      <c r="F2" s="25">
        <v>44197.0</v>
      </c>
      <c r="G2" s="27">
        <f t="shared" ref="G2:G30" si="1">(C2*B2+D2)/B2</f>
        <v>0</v>
      </c>
    </row>
    <row r="3" ht="22.5" customHeight="1">
      <c r="A3" s="40" t="s">
        <v>45</v>
      </c>
      <c r="B3" s="41" t="s">
        <v>47</v>
      </c>
      <c r="C3" s="43">
        <v>22.5</v>
      </c>
      <c r="D3" s="45">
        <v>0.0</v>
      </c>
      <c r="E3" s="47" t="s">
        <v>42</v>
      </c>
      <c r="F3" s="49">
        <v>45170.0</v>
      </c>
      <c r="G3" s="27">
        <f t="shared" si="1"/>
        <v>22.5</v>
      </c>
    </row>
    <row r="4" ht="22.5" customHeight="1">
      <c r="A4" s="8" t="s">
        <v>49</v>
      </c>
      <c r="B4" s="9" t="s">
        <v>50</v>
      </c>
      <c r="C4" s="10">
        <v>12.5</v>
      </c>
      <c r="D4" s="14">
        <v>0.0</v>
      </c>
      <c r="E4" s="57" t="s">
        <v>52</v>
      </c>
      <c r="F4" s="25">
        <v>45536.0</v>
      </c>
      <c r="G4" s="27">
        <f t="shared" si="1"/>
        <v>12.5</v>
      </c>
    </row>
    <row r="5" ht="22.5" customHeight="1">
      <c r="A5" s="40" t="s">
        <v>55</v>
      </c>
      <c r="B5" s="41" t="s">
        <v>50</v>
      </c>
      <c r="C5" s="43">
        <v>15.0</v>
      </c>
      <c r="D5" s="45">
        <v>0.0</v>
      </c>
      <c r="E5" s="64" t="s">
        <v>52</v>
      </c>
      <c r="F5" s="49">
        <v>45536.0</v>
      </c>
      <c r="G5" s="27">
        <f t="shared" si="1"/>
        <v>15</v>
      </c>
    </row>
    <row r="6" ht="22.5" customHeight="1">
      <c r="A6" s="68" t="s">
        <v>56</v>
      </c>
      <c r="B6" s="68" t="s">
        <v>58</v>
      </c>
      <c r="C6" s="69">
        <v>22.5</v>
      </c>
      <c r="D6" s="69">
        <v>0.0</v>
      </c>
      <c r="E6" s="70" t="s">
        <v>42</v>
      </c>
      <c r="F6" s="71">
        <v>45901.0</v>
      </c>
      <c r="G6" s="27">
        <f t="shared" si="1"/>
        <v>22.5</v>
      </c>
    </row>
    <row r="7" ht="22.5" customHeight="1">
      <c r="A7" s="68" t="s">
        <v>59</v>
      </c>
      <c r="B7" s="68" t="s">
        <v>60</v>
      </c>
      <c r="C7" s="69">
        <v>20.0</v>
      </c>
      <c r="D7" s="69">
        <v>0.0</v>
      </c>
      <c r="E7" s="70" t="s">
        <v>61</v>
      </c>
      <c r="F7" s="71">
        <v>45901.0</v>
      </c>
      <c r="G7" s="27">
        <f t="shared" si="1"/>
        <v>20</v>
      </c>
    </row>
    <row r="8" ht="22.5" customHeight="1">
      <c r="A8" s="68" t="s">
        <v>64</v>
      </c>
      <c r="B8" s="68" t="s">
        <v>58</v>
      </c>
      <c r="C8" s="69">
        <v>17.5</v>
      </c>
      <c r="D8" s="69">
        <v>0.0</v>
      </c>
      <c r="E8" s="70" t="s">
        <v>52</v>
      </c>
      <c r="F8" s="71">
        <v>45901.0</v>
      </c>
      <c r="G8" s="27">
        <f t="shared" si="1"/>
        <v>17.5</v>
      </c>
    </row>
    <row r="9" ht="22.5" customHeight="1">
      <c r="A9" s="68" t="s">
        <v>66</v>
      </c>
      <c r="B9" s="68" t="s">
        <v>67</v>
      </c>
      <c r="C9" s="69">
        <v>45.0</v>
      </c>
      <c r="D9" s="69">
        <v>0.0</v>
      </c>
      <c r="E9" s="70" t="s">
        <v>69</v>
      </c>
      <c r="F9" s="71">
        <v>45901.0</v>
      </c>
      <c r="G9" s="27">
        <f t="shared" si="1"/>
        <v>45</v>
      </c>
    </row>
    <row r="10" ht="22.5" customHeight="1">
      <c r="A10" s="68" t="s">
        <v>70</v>
      </c>
      <c r="B10" s="68" t="s">
        <v>67</v>
      </c>
      <c r="C10" s="69">
        <v>18.0</v>
      </c>
      <c r="D10" s="69">
        <v>0.0</v>
      </c>
      <c r="E10" s="70" t="s">
        <v>52</v>
      </c>
      <c r="F10" s="76"/>
      <c r="G10" s="27">
        <f t="shared" si="1"/>
        <v>18</v>
      </c>
    </row>
    <row r="11" ht="22.5" customHeight="1">
      <c r="A11" s="68" t="s">
        <v>72</v>
      </c>
      <c r="B11" s="68" t="s">
        <v>67</v>
      </c>
      <c r="C11" s="69">
        <v>5.5</v>
      </c>
      <c r="D11" s="69">
        <v>0.0</v>
      </c>
      <c r="E11" s="70" t="s">
        <v>52</v>
      </c>
      <c r="F11" s="76"/>
      <c r="G11" s="27">
        <f t="shared" si="1"/>
        <v>5.5</v>
      </c>
    </row>
    <row r="12" ht="22.5" customHeight="1">
      <c r="A12" s="68" t="s">
        <v>75</v>
      </c>
      <c r="B12" s="68" t="s">
        <v>67</v>
      </c>
      <c r="C12" s="69">
        <v>21.5</v>
      </c>
      <c r="D12" s="69">
        <v>0.0</v>
      </c>
      <c r="E12" s="70" t="s">
        <v>61</v>
      </c>
      <c r="F12" s="76"/>
      <c r="G12" s="27">
        <f t="shared" si="1"/>
        <v>21.5</v>
      </c>
    </row>
    <row r="13" ht="22.5" customHeight="1">
      <c r="A13" s="68" t="s">
        <v>76</v>
      </c>
      <c r="B13" s="68" t="s">
        <v>67</v>
      </c>
      <c r="C13" s="69" t="s">
        <v>77</v>
      </c>
      <c r="D13" s="69">
        <v>0.0</v>
      </c>
      <c r="E13" s="70" t="s">
        <v>42</v>
      </c>
      <c r="F13" s="76"/>
      <c r="G13" s="27" t="str">
        <f t="shared" si="1"/>
        <v>#VALUE!</v>
      </c>
    </row>
    <row r="14" ht="22.5" customHeight="1">
      <c r="A14" s="68" t="s">
        <v>79</v>
      </c>
      <c r="B14" s="68" t="s">
        <v>58</v>
      </c>
      <c r="C14" s="69">
        <v>34.0</v>
      </c>
      <c r="D14" s="69">
        <v>0.0</v>
      </c>
      <c r="E14" s="70" t="s">
        <v>42</v>
      </c>
      <c r="F14" s="76"/>
      <c r="G14" s="27">
        <f t="shared" si="1"/>
        <v>34</v>
      </c>
    </row>
    <row r="15" ht="22.5" customHeight="1">
      <c r="A15" s="24"/>
      <c r="B15" s="24"/>
      <c r="C15" s="78"/>
      <c r="D15" s="78"/>
      <c r="E15" s="85"/>
      <c r="F15" s="76"/>
      <c r="G15" s="27" t="str">
        <f t="shared" si="1"/>
        <v>#DIV/0!</v>
      </c>
    </row>
    <row r="16" ht="22.5" customHeight="1">
      <c r="A16" s="24"/>
      <c r="B16" s="24"/>
      <c r="C16" s="78"/>
      <c r="D16" s="78"/>
      <c r="E16" s="85"/>
      <c r="F16" s="76"/>
      <c r="G16" s="27" t="str">
        <f t="shared" si="1"/>
        <v>#DIV/0!</v>
      </c>
    </row>
    <row r="17" ht="22.5" customHeight="1">
      <c r="A17" s="24"/>
      <c r="B17" s="24"/>
      <c r="C17" s="78"/>
      <c r="D17" s="78"/>
      <c r="E17" s="85"/>
      <c r="F17" s="76"/>
      <c r="G17" s="27" t="str">
        <f t="shared" si="1"/>
        <v>#DIV/0!</v>
      </c>
    </row>
    <row r="18" ht="22.5" customHeight="1">
      <c r="A18" s="24"/>
      <c r="B18" s="24"/>
      <c r="C18" s="78"/>
      <c r="D18" s="78"/>
      <c r="E18" s="85"/>
      <c r="F18" s="76"/>
      <c r="G18" s="27" t="str">
        <f t="shared" si="1"/>
        <v>#DIV/0!</v>
      </c>
    </row>
    <row r="19" ht="22.5" customHeight="1">
      <c r="A19" s="24"/>
      <c r="B19" s="24"/>
      <c r="C19" s="78"/>
      <c r="D19" s="78"/>
      <c r="E19" s="85"/>
      <c r="F19" s="76"/>
      <c r="G19" s="27" t="str">
        <f t="shared" si="1"/>
        <v>#DIV/0!</v>
      </c>
    </row>
    <row r="20" ht="22.5" customHeight="1">
      <c r="A20" s="24"/>
      <c r="B20" s="24"/>
      <c r="C20" s="78"/>
      <c r="D20" s="78"/>
      <c r="E20" s="85"/>
      <c r="F20" s="76"/>
      <c r="G20" s="27" t="str">
        <f t="shared" si="1"/>
        <v>#DIV/0!</v>
      </c>
    </row>
    <row r="21" ht="22.5" customHeight="1">
      <c r="A21" s="24"/>
      <c r="B21" s="24"/>
      <c r="C21" s="78"/>
      <c r="D21" s="78"/>
      <c r="E21" s="85"/>
      <c r="F21" s="76"/>
      <c r="G21" s="27" t="str">
        <f t="shared" si="1"/>
        <v>#DIV/0!</v>
      </c>
    </row>
    <row r="22" ht="22.5" customHeight="1">
      <c r="A22" s="24"/>
      <c r="B22" s="24"/>
      <c r="C22" s="78"/>
      <c r="D22" s="78"/>
      <c r="E22" s="85"/>
      <c r="F22" s="76"/>
      <c r="G22" s="27" t="str">
        <f t="shared" si="1"/>
        <v>#DIV/0!</v>
      </c>
    </row>
    <row r="23" ht="22.5" customHeight="1">
      <c r="A23" s="24"/>
      <c r="B23" s="24"/>
      <c r="C23" s="78"/>
      <c r="D23" s="78"/>
      <c r="E23" s="85"/>
      <c r="F23" s="76"/>
      <c r="G23" s="27" t="str">
        <f t="shared" si="1"/>
        <v>#DIV/0!</v>
      </c>
    </row>
    <row r="24" ht="22.5" customHeight="1">
      <c r="A24" s="24"/>
      <c r="B24" s="24"/>
      <c r="C24" s="78"/>
      <c r="D24" s="78"/>
      <c r="E24" s="85"/>
      <c r="F24" s="76"/>
      <c r="G24" s="27" t="str">
        <f t="shared" si="1"/>
        <v>#DIV/0!</v>
      </c>
    </row>
    <row r="25" ht="22.5" customHeight="1">
      <c r="A25" s="24"/>
      <c r="B25" s="24"/>
      <c r="C25" s="78"/>
      <c r="D25" s="78"/>
      <c r="E25" s="85"/>
      <c r="F25" s="76"/>
      <c r="G25" s="27" t="str">
        <f t="shared" si="1"/>
        <v>#DIV/0!</v>
      </c>
    </row>
    <row r="26" ht="22.5" customHeight="1">
      <c r="A26" s="24"/>
      <c r="B26" s="24"/>
      <c r="C26" s="78"/>
      <c r="D26" s="78"/>
      <c r="E26" s="85"/>
      <c r="F26" s="76"/>
      <c r="G26" s="27" t="str">
        <f t="shared" si="1"/>
        <v>#DIV/0!</v>
      </c>
    </row>
    <row r="27" ht="22.5" customHeight="1">
      <c r="A27" s="24"/>
      <c r="B27" s="24"/>
      <c r="C27" s="78"/>
      <c r="D27" s="78"/>
      <c r="E27" s="85"/>
      <c r="F27" s="76"/>
      <c r="G27" s="27" t="str">
        <f t="shared" si="1"/>
        <v>#DIV/0!</v>
      </c>
    </row>
    <row r="28" ht="22.5" customHeight="1">
      <c r="A28" s="24"/>
      <c r="B28" s="24"/>
      <c r="C28" s="78"/>
      <c r="D28" s="78"/>
      <c r="E28" s="85"/>
      <c r="F28" s="76"/>
      <c r="G28" s="27" t="str">
        <f t="shared" si="1"/>
        <v>#DIV/0!</v>
      </c>
    </row>
    <row r="29" ht="22.5" customHeight="1">
      <c r="A29" s="24"/>
      <c r="B29" s="24"/>
      <c r="C29" s="78"/>
      <c r="D29" s="78"/>
      <c r="E29" s="85"/>
      <c r="F29" s="76"/>
      <c r="G29" s="27" t="str">
        <f t="shared" si="1"/>
        <v>#DIV/0!</v>
      </c>
    </row>
    <row r="30" ht="22.5" customHeight="1">
      <c r="A30" s="24"/>
      <c r="B30" s="24"/>
      <c r="C30" s="78"/>
      <c r="D30" s="78"/>
      <c r="E30" s="85"/>
      <c r="F30" s="76"/>
      <c r="G30" s="27" t="str">
        <f t="shared" si="1"/>
        <v>#DIV/0!</v>
      </c>
    </row>
  </sheetData>
  <dataValidations>
    <dataValidation type="list" allowBlank="1" sqref="E2:E30">
      <formula1>"Starter,Gemiddeld,Ervaren,Inval docent"</formula1>
    </dataValidation>
    <dataValidation type="custom" allowBlank="1" showDropDown="1" sqref="C2:D30">
      <formula1>AND(ISNUMBER(C2),(NOT(OR(NOT(ISERROR(DATEVALUE(C2))), AND(ISNUMBER(C2), LEFT(CELL("format", C2))="D")))))</formula1>
    </dataValidation>
    <dataValidation type="custom" allowBlank="1" showDropDown="1" sqref="F2:F30">
      <formula1>OR(NOT(ISERROR(DATEVALUE(F2))), AND(ISNUMBER(F2), LEFT(CELL("format", F2))="D"))</formula1>
    </dataValidation>
    <dataValidation allowBlank="1" showDropDown="1" sqref="A2:B30"/>
    <dataValidation type="custom" allowBlank="1" showDropDown="1" sqref="G2:G30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5.11"/>
    <col customWidth="1" min="2" max="2" width="15.22"/>
    <col customWidth="1" min="3" max="3" width="16.78"/>
    <col customWidth="1" min="4" max="4" width="15.67"/>
    <col customWidth="1" min="5" max="5" width="17.11"/>
    <col customWidth="1" min="6" max="6" width="18.33"/>
    <col customWidth="1" min="7" max="7" width="18.78"/>
  </cols>
  <sheetData>
    <row r="1" ht="22.5" customHeight="1">
      <c r="A1" s="1" t="s">
        <v>1</v>
      </c>
      <c r="B1" s="1" t="s">
        <v>9</v>
      </c>
      <c r="C1" s="1" t="s">
        <v>3</v>
      </c>
      <c r="D1" s="1" t="s">
        <v>12</v>
      </c>
      <c r="E1" s="1" t="s">
        <v>16</v>
      </c>
      <c r="F1" s="1" t="s">
        <v>20</v>
      </c>
      <c r="G1" s="1" t="s">
        <v>22</v>
      </c>
    </row>
    <row r="2" ht="22.5" customHeight="1">
      <c r="A2" s="8" t="s">
        <v>28</v>
      </c>
      <c r="B2" s="10">
        <v>14.2</v>
      </c>
      <c r="C2" s="16">
        <v>15.0</v>
      </c>
      <c r="D2" s="20">
        <v>36.0</v>
      </c>
      <c r="E2" s="14">
        <v>0.0</v>
      </c>
      <c r="F2" s="24"/>
      <c r="G2" s="32">
        <f t="shared" ref="G2:G15" si="1">(E2/D2/C2)+B2</f>
        <v>14.2</v>
      </c>
    </row>
    <row r="3" ht="22.5" customHeight="1">
      <c r="A3" s="40" t="s">
        <v>63</v>
      </c>
      <c r="B3" s="43">
        <v>18.9</v>
      </c>
      <c r="C3" s="72">
        <v>18.0</v>
      </c>
      <c r="D3" s="73">
        <v>36.0</v>
      </c>
      <c r="E3" s="45">
        <v>0.0</v>
      </c>
      <c r="F3" s="24"/>
      <c r="G3" s="32">
        <f t="shared" si="1"/>
        <v>18.9</v>
      </c>
    </row>
    <row r="4" ht="22.5" customHeight="1">
      <c r="A4" s="68"/>
      <c r="B4" s="69"/>
      <c r="C4" s="75"/>
      <c r="D4" s="77"/>
      <c r="E4" s="78"/>
      <c r="F4" s="24"/>
      <c r="G4" s="32" t="str">
        <f t="shared" si="1"/>
        <v>#DIV/0!</v>
      </c>
    </row>
    <row r="5" ht="22.5" customHeight="1">
      <c r="A5" s="68"/>
      <c r="B5" s="69"/>
      <c r="C5" s="75"/>
      <c r="D5" s="77"/>
      <c r="E5" s="78"/>
      <c r="F5" s="24"/>
      <c r="G5" s="32" t="str">
        <f t="shared" si="1"/>
        <v>#DIV/0!</v>
      </c>
    </row>
    <row r="6" ht="22.5" customHeight="1">
      <c r="A6" s="68"/>
      <c r="B6" s="69"/>
      <c r="C6" s="75"/>
      <c r="D6" s="77"/>
      <c r="E6" s="78"/>
      <c r="F6" s="24"/>
      <c r="G6" s="32" t="str">
        <f t="shared" si="1"/>
        <v>#DIV/0!</v>
      </c>
    </row>
    <row r="7" ht="22.5" customHeight="1">
      <c r="A7" s="68"/>
      <c r="B7" s="69"/>
      <c r="C7" s="75"/>
      <c r="D7" s="77"/>
      <c r="E7" s="78"/>
      <c r="F7" s="24"/>
      <c r="G7" s="32" t="str">
        <f t="shared" si="1"/>
        <v>#DIV/0!</v>
      </c>
    </row>
    <row r="8" ht="22.5" customHeight="1">
      <c r="A8" s="68"/>
      <c r="B8" s="69"/>
      <c r="C8" s="75"/>
      <c r="D8" s="77"/>
      <c r="E8" s="78"/>
      <c r="F8" s="24"/>
      <c r="G8" s="32" t="str">
        <f t="shared" si="1"/>
        <v>#DIV/0!</v>
      </c>
    </row>
    <row r="9" ht="22.5" customHeight="1">
      <c r="A9" s="68"/>
      <c r="B9" s="69"/>
      <c r="C9" s="75"/>
      <c r="D9" s="77"/>
      <c r="E9" s="78"/>
      <c r="F9" s="24"/>
      <c r="G9" s="32" t="str">
        <f t="shared" si="1"/>
        <v>#DIV/0!</v>
      </c>
    </row>
    <row r="10" ht="22.5" customHeight="1">
      <c r="A10" s="68"/>
      <c r="B10" s="69"/>
      <c r="C10" s="75"/>
      <c r="D10" s="77"/>
      <c r="E10" s="78"/>
      <c r="F10" s="24"/>
      <c r="G10" s="32" t="str">
        <f t="shared" si="1"/>
        <v>#DIV/0!</v>
      </c>
    </row>
    <row r="11" ht="22.5" customHeight="1">
      <c r="A11" s="68"/>
      <c r="B11" s="69"/>
      <c r="C11" s="75"/>
      <c r="D11" s="77"/>
      <c r="E11" s="78"/>
      <c r="F11" s="24"/>
      <c r="G11" s="32" t="str">
        <f t="shared" si="1"/>
        <v>#DIV/0!</v>
      </c>
    </row>
    <row r="12" ht="22.5" customHeight="1">
      <c r="A12" s="68"/>
      <c r="B12" s="69"/>
      <c r="C12" s="75"/>
      <c r="D12" s="77"/>
      <c r="E12" s="78"/>
      <c r="F12" s="24"/>
      <c r="G12" s="32" t="str">
        <f t="shared" si="1"/>
        <v>#DIV/0!</v>
      </c>
    </row>
    <row r="13" ht="22.5" customHeight="1">
      <c r="A13" s="68"/>
      <c r="B13" s="69"/>
      <c r="C13" s="75"/>
      <c r="D13" s="77"/>
      <c r="E13" s="78"/>
      <c r="F13" s="24"/>
      <c r="G13" s="32" t="str">
        <f t="shared" si="1"/>
        <v>#DIV/0!</v>
      </c>
    </row>
    <row r="14" ht="22.5" customHeight="1">
      <c r="A14" s="68"/>
      <c r="B14" s="69"/>
      <c r="C14" s="75"/>
      <c r="D14" s="77"/>
      <c r="E14" s="78"/>
      <c r="F14" s="24"/>
      <c r="G14" s="32" t="str">
        <f t="shared" si="1"/>
        <v>#DIV/0!</v>
      </c>
    </row>
    <row r="15" ht="22.5" customHeight="1">
      <c r="A15" s="68"/>
      <c r="B15" s="69"/>
      <c r="C15" s="75"/>
      <c r="D15" s="77"/>
      <c r="E15" s="78"/>
      <c r="F15" s="24"/>
      <c r="G15" s="32" t="str">
        <f t="shared" si="1"/>
        <v>#DIV/0!</v>
      </c>
    </row>
  </sheetData>
  <dataValidations>
    <dataValidation type="custom" allowBlank="1" showDropDown="1" sqref="B2:D15">
      <formula1>AND(ISNUMBER(B2),(NOT(OR(NOT(ISERROR(DATEVALUE(B2))), AND(ISNUMBER(B2), LEFT(CELL("format", B2))="D")))))</formula1>
    </dataValidation>
    <dataValidation allowBlank="1" showDropDown="1" sqref="A2:A15 F2:F15"/>
    <dataValidation type="custom" allowBlank="1" showDropDown="1" sqref="E2:E15 G2:G15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5.89"/>
    <col customWidth="1" min="2" max="2" width="18.0"/>
    <col customWidth="1" min="3" max="3" width="17.33"/>
    <col customWidth="1" min="4" max="4" width="16.78"/>
    <col customWidth="1" min="5" max="5" width="16.67"/>
    <col customWidth="1" min="6" max="6" width="14.11"/>
    <col customWidth="1" min="7" max="7" width="13.33"/>
    <col customWidth="1" min="8" max="8" width="13.89"/>
    <col customWidth="1" min="9" max="9" width="16.44"/>
    <col customWidth="1" min="10" max="10" width="21.44"/>
  </cols>
  <sheetData>
    <row r="1" ht="22.5" customHeight="1">
      <c r="A1" s="1" t="s">
        <v>8</v>
      </c>
      <c r="B1" s="1" t="s">
        <v>15</v>
      </c>
      <c r="C1" s="1" t="s">
        <v>18</v>
      </c>
      <c r="D1" s="1" t="s">
        <v>21</v>
      </c>
      <c r="E1" s="1" t="s">
        <v>24</v>
      </c>
      <c r="F1" s="1" t="s">
        <v>27</v>
      </c>
      <c r="G1" s="1" t="s">
        <v>29</v>
      </c>
      <c r="H1" s="1" t="s">
        <v>31</v>
      </c>
      <c r="I1" s="1" t="s">
        <v>34</v>
      </c>
      <c r="J1" s="1" t="s">
        <v>36</v>
      </c>
    </row>
    <row r="2" ht="22.5" customHeight="1">
      <c r="A2" s="11" t="s">
        <v>38</v>
      </c>
      <c r="B2" s="13">
        <v>0.0</v>
      </c>
      <c r="C2" s="15">
        <v>1.0</v>
      </c>
      <c r="D2" s="17">
        <v>1.0</v>
      </c>
      <c r="E2" s="19"/>
      <c r="F2" s="21">
        <v>0.0</v>
      </c>
      <c r="G2" s="27">
        <f t="shared" ref="G2:G150" si="1">B2 / 1 * M2</f>
        <v>0</v>
      </c>
      <c r="H2" s="30">
        <f t="shared" ref="H2:H150" si="2">B2-G2</f>
        <v>0</v>
      </c>
      <c r="I2" s="32">
        <f t="shared" ref="I2:I150" si="3">H2/D2</f>
        <v>0</v>
      </c>
      <c r="J2" s="32">
        <f t="shared" ref="J2:J150" si="4">I2/C2</f>
        <v>0</v>
      </c>
      <c r="M2" s="33">
        <f t="shared" ref="M2:M150" si="5">F2</f>
        <v>0</v>
      </c>
    </row>
    <row r="3" ht="22.5" customHeight="1">
      <c r="A3" s="11" t="s">
        <v>46</v>
      </c>
      <c r="B3" s="13"/>
      <c r="C3" s="15">
        <v>1.0</v>
      </c>
      <c r="D3" s="17">
        <v>1.0</v>
      </c>
      <c r="E3" s="19"/>
      <c r="F3" s="21">
        <v>0.0</v>
      </c>
      <c r="G3" s="27">
        <f t="shared" si="1"/>
        <v>0</v>
      </c>
      <c r="H3" s="30">
        <f t="shared" si="2"/>
        <v>0</v>
      </c>
      <c r="I3" s="32">
        <f t="shared" si="3"/>
        <v>0</v>
      </c>
      <c r="J3" s="32">
        <f t="shared" si="4"/>
        <v>0</v>
      </c>
      <c r="M3" s="33">
        <f t="shared" si="5"/>
        <v>0</v>
      </c>
    </row>
    <row r="4" ht="22.5" customHeight="1">
      <c r="A4" s="51" t="s">
        <v>48</v>
      </c>
      <c r="B4" s="52">
        <v>279.0</v>
      </c>
      <c r="C4" s="53">
        <v>1.0</v>
      </c>
      <c r="D4" s="54">
        <v>1.0</v>
      </c>
      <c r="E4" s="55" t="s">
        <v>51</v>
      </c>
      <c r="F4" s="56">
        <v>0.0</v>
      </c>
      <c r="G4" s="27">
        <f t="shared" si="1"/>
        <v>0</v>
      </c>
      <c r="H4" s="30">
        <f t="shared" si="2"/>
        <v>279</v>
      </c>
      <c r="I4" s="32">
        <f t="shared" si="3"/>
        <v>279</v>
      </c>
      <c r="J4" s="32">
        <f t="shared" si="4"/>
        <v>279</v>
      </c>
      <c r="M4" s="33">
        <f t="shared" si="5"/>
        <v>0</v>
      </c>
    </row>
    <row r="5" ht="22.5" customHeight="1">
      <c r="A5" s="58" t="s">
        <v>54</v>
      </c>
      <c r="B5" s="59">
        <v>310.0</v>
      </c>
      <c r="C5" s="60">
        <v>1.0</v>
      </c>
      <c r="D5" s="61">
        <v>10.0</v>
      </c>
      <c r="E5" s="62" t="s">
        <v>51</v>
      </c>
      <c r="F5" s="63">
        <v>0.0</v>
      </c>
      <c r="G5" s="27">
        <f t="shared" si="1"/>
        <v>0</v>
      </c>
      <c r="H5" s="30">
        <f t="shared" si="2"/>
        <v>310</v>
      </c>
      <c r="I5" s="32">
        <f t="shared" si="3"/>
        <v>31</v>
      </c>
      <c r="J5" s="32">
        <f t="shared" si="4"/>
        <v>31</v>
      </c>
      <c r="M5" s="33">
        <f t="shared" si="5"/>
        <v>0</v>
      </c>
    </row>
    <row r="6" ht="22.5" customHeight="1">
      <c r="A6" s="51" t="s">
        <v>57</v>
      </c>
      <c r="B6" s="52">
        <v>558.0</v>
      </c>
      <c r="C6" s="53">
        <v>2.0</v>
      </c>
      <c r="D6" s="54">
        <v>1.0</v>
      </c>
      <c r="E6" s="55" t="s">
        <v>51</v>
      </c>
      <c r="F6" s="56">
        <v>0.0</v>
      </c>
      <c r="G6" s="27">
        <f t="shared" si="1"/>
        <v>0</v>
      </c>
      <c r="H6" s="30">
        <f t="shared" si="2"/>
        <v>558</v>
      </c>
      <c r="I6" s="32">
        <f t="shared" si="3"/>
        <v>558</v>
      </c>
      <c r="J6" s="32">
        <f t="shared" si="4"/>
        <v>279</v>
      </c>
      <c r="M6" s="33">
        <f t="shared" si="5"/>
        <v>0</v>
      </c>
    </row>
    <row r="7" ht="22.5" customHeight="1">
      <c r="A7" s="58" t="s">
        <v>62</v>
      </c>
      <c r="B7" s="59">
        <v>571.0</v>
      </c>
      <c r="C7" s="60">
        <v>2.0</v>
      </c>
      <c r="D7" s="61">
        <v>10.0</v>
      </c>
      <c r="E7" s="62" t="s">
        <v>51</v>
      </c>
      <c r="F7" s="63">
        <v>0.0</v>
      </c>
      <c r="G7" s="27">
        <f t="shared" si="1"/>
        <v>0</v>
      </c>
      <c r="H7" s="30">
        <f t="shared" si="2"/>
        <v>571</v>
      </c>
      <c r="I7" s="32">
        <f t="shared" si="3"/>
        <v>57.1</v>
      </c>
      <c r="J7" s="32">
        <f t="shared" si="4"/>
        <v>28.55</v>
      </c>
      <c r="M7" s="33">
        <f t="shared" si="5"/>
        <v>0</v>
      </c>
    </row>
    <row r="8" ht="22.5" customHeight="1">
      <c r="A8" s="51" t="s">
        <v>68</v>
      </c>
      <c r="B8" s="52">
        <v>837.0</v>
      </c>
      <c r="C8" s="53">
        <v>3.0</v>
      </c>
      <c r="D8" s="54">
        <v>1.0</v>
      </c>
      <c r="E8" s="55" t="s">
        <v>51</v>
      </c>
      <c r="F8" s="56">
        <v>0.0</v>
      </c>
      <c r="G8" s="27">
        <f t="shared" si="1"/>
        <v>0</v>
      </c>
      <c r="H8" s="30">
        <f t="shared" si="2"/>
        <v>837</v>
      </c>
      <c r="I8" s="32">
        <f t="shared" si="3"/>
        <v>837</v>
      </c>
      <c r="J8" s="32">
        <f t="shared" si="4"/>
        <v>279</v>
      </c>
      <c r="M8" s="33">
        <f t="shared" si="5"/>
        <v>0</v>
      </c>
    </row>
    <row r="9" ht="22.5" customHeight="1">
      <c r="A9" s="58" t="s">
        <v>71</v>
      </c>
      <c r="B9" s="59">
        <v>868.0</v>
      </c>
      <c r="C9" s="60">
        <v>3.0</v>
      </c>
      <c r="D9" s="61">
        <v>10.0</v>
      </c>
      <c r="E9" s="62" t="s">
        <v>51</v>
      </c>
      <c r="F9" s="63">
        <v>0.0</v>
      </c>
      <c r="G9" s="27">
        <f t="shared" si="1"/>
        <v>0</v>
      </c>
      <c r="H9" s="30">
        <f t="shared" si="2"/>
        <v>868</v>
      </c>
      <c r="I9" s="32">
        <f t="shared" si="3"/>
        <v>86.8</v>
      </c>
      <c r="J9" s="32">
        <f t="shared" si="4"/>
        <v>28.93333333</v>
      </c>
      <c r="M9" s="33">
        <f t="shared" si="5"/>
        <v>0</v>
      </c>
    </row>
    <row r="10" ht="22.5" customHeight="1">
      <c r="A10" s="51" t="s">
        <v>74</v>
      </c>
      <c r="B10" s="79">
        <v>1054.5</v>
      </c>
      <c r="C10" s="80">
        <v>4.0</v>
      </c>
      <c r="D10" s="54">
        <v>1.0</v>
      </c>
      <c r="E10" s="55" t="s">
        <v>51</v>
      </c>
      <c r="F10" s="56">
        <v>0.0</v>
      </c>
      <c r="G10" s="27">
        <f t="shared" si="1"/>
        <v>0</v>
      </c>
      <c r="H10" s="30">
        <f t="shared" si="2"/>
        <v>1054.5</v>
      </c>
      <c r="I10" s="32">
        <f t="shared" si="3"/>
        <v>1054.5</v>
      </c>
      <c r="J10" s="32">
        <f t="shared" si="4"/>
        <v>263.625</v>
      </c>
      <c r="M10" s="33">
        <f t="shared" si="5"/>
        <v>0</v>
      </c>
    </row>
    <row r="11" ht="22.5" customHeight="1">
      <c r="A11" s="58" t="s">
        <v>78</v>
      </c>
      <c r="B11" s="83">
        <v>1080.0</v>
      </c>
      <c r="C11" s="84">
        <v>4.0</v>
      </c>
      <c r="D11" s="61">
        <v>10.0</v>
      </c>
      <c r="E11" s="62" t="s">
        <v>51</v>
      </c>
      <c r="F11" s="63">
        <v>0.0</v>
      </c>
      <c r="G11" s="27">
        <f t="shared" si="1"/>
        <v>0</v>
      </c>
      <c r="H11" s="30">
        <f t="shared" si="2"/>
        <v>1080</v>
      </c>
      <c r="I11" s="32">
        <f t="shared" si="3"/>
        <v>108</v>
      </c>
      <c r="J11" s="32">
        <f t="shared" si="4"/>
        <v>27</v>
      </c>
      <c r="M11" s="33">
        <f t="shared" si="5"/>
        <v>0</v>
      </c>
    </row>
    <row r="12" ht="22.5" customHeight="1">
      <c r="A12" s="51" t="s">
        <v>81</v>
      </c>
      <c r="B12" s="52">
        <v>300.0</v>
      </c>
      <c r="C12" s="53">
        <v>1.0</v>
      </c>
      <c r="D12" s="54">
        <v>1.0</v>
      </c>
      <c r="E12" s="55" t="s">
        <v>51</v>
      </c>
      <c r="F12" s="56">
        <v>0.0</v>
      </c>
      <c r="G12" s="27">
        <f t="shared" si="1"/>
        <v>0</v>
      </c>
      <c r="H12" s="30">
        <f t="shared" si="2"/>
        <v>300</v>
      </c>
      <c r="I12" s="32">
        <f t="shared" si="3"/>
        <v>300</v>
      </c>
      <c r="J12" s="32">
        <f t="shared" si="4"/>
        <v>300</v>
      </c>
      <c r="M12" s="33">
        <f t="shared" si="5"/>
        <v>0</v>
      </c>
    </row>
    <row r="13" ht="22.5" customHeight="1">
      <c r="A13" s="58" t="s">
        <v>82</v>
      </c>
      <c r="B13" s="59">
        <v>335.0</v>
      </c>
      <c r="C13" s="60">
        <v>1.0</v>
      </c>
      <c r="D13" s="61">
        <v>10.0</v>
      </c>
      <c r="E13" s="62" t="s">
        <v>51</v>
      </c>
      <c r="F13" s="63">
        <v>0.0</v>
      </c>
      <c r="G13" s="27">
        <f t="shared" si="1"/>
        <v>0</v>
      </c>
      <c r="H13" s="30">
        <f t="shared" si="2"/>
        <v>335</v>
      </c>
      <c r="I13" s="32">
        <f t="shared" si="3"/>
        <v>33.5</v>
      </c>
      <c r="J13" s="32">
        <f t="shared" si="4"/>
        <v>33.5</v>
      </c>
      <c r="M13" s="33">
        <f t="shared" si="5"/>
        <v>0</v>
      </c>
    </row>
    <row r="14" ht="22.5" customHeight="1">
      <c r="A14" s="51" t="s">
        <v>84</v>
      </c>
      <c r="B14" s="52">
        <v>579.0</v>
      </c>
      <c r="C14" s="53">
        <v>2.0</v>
      </c>
      <c r="D14" s="54">
        <v>1.0</v>
      </c>
      <c r="E14" s="87" t="s">
        <v>85</v>
      </c>
      <c r="F14" s="56">
        <v>0.0</v>
      </c>
      <c r="G14" s="27">
        <f t="shared" si="1"/>
        <v>0</v>
      </c>
      <c r="H14" s="30">
        <f t="shared" si="2"/>
        <v>579</v>
      </c>
      <c r="I14" s="32">
        <f t="shared" si="3"/>
        <v>579</v>
      </c>
      <c r="J14" s="32">
        <f t="shared" si="4"/>
        <v>289.5</v>
      </c>
      <c r="M14" s="33">
        <f t="shared" si="5"/>
        <v>0</v>
      </c>
    </row>
    <row r="15" ht="22.5" customHeight="1">
      <c r="A15" s="58" t="s">
        <v>87</v>
      </c>
      <c r="B15" s="59">
        <v>645.0</v>
      </c>
      <c r="C15" s="60">
        <v>2.0</v>
      </c>
      <c r="D15" s="61">
        <v>10.0</v>
      </c>
      <c r="E15" s="88" t="s">
        <v>85</v>
      </c>
      <c r="F15" s="63">
        <v>0.0</v>
      </c>
      <c r="G15" s="27">
        <f t="shared" si="1"/>
        <v>0</v>
      </c>
      <c r="H15" s="30">
        <f t="shared" si="2"/>
        <v>645</v>
      </c>
      <c r="I15" s="32">
        <f t="shared" si="3"/>
        <v>64.5</v>
      </c>
      <c r="J15" s="32">
        <f t="shared" si="4"/>
        <v>32.25</v>
      </c>
      <c r="M15" s="33">
        <f t="shared" si="5"/>
        <v>0</v>
      </c>
    </row>
    <row r="16" ht="22.5" customHeight="1">
      <c r="A16" s="51" t="s">
        <v>88</v>
      </c>
      <c r="B16" s="52">
        <v>617.0</v>
      </c>
      <c r="C16" s="53">
        <v>2.0</v>
      </c>
      <c r="D16" s="54">
        <v>1.0</v>
      </c>
      <c r="E16" s="55" t="s">
        <v>85</v>
      </c>
      <c r="F16" s="56">
        <v>0.0</v>
      </c>
      <c r="G16" s="27">
        <f t="shared" si="1"/>
        <v>0</v>
      </c>
      <c r="H16" s="30">
        <f t="shared" si="2"/>
        <v>617</v>
      </c>
      <c r="I16" s="32">
        <f t="shared" si="3"/>
        <v>617</v>
      </c>
      <c r="J16" s="32">
        <f t="shared" si="4"/>
        <v>308.5</v>
      </c>
      <c r="M16" s="33">
        <f t="shared" si="5"/>
        <v>0</v>
      </c>
    </row>
    <row r="17" ht="22.5" customHeight="1">
      <c r="A17" s="58" t="s">
        <v>89</v>
      </c>
      <c r="B17" s="59">
        <v>685.0</v>
      </c>
      <c r="C17" s="60">
        <v>2.0</v>
      </c>
      <c r="D17" s="61">
        <v>10.0</v>
      </c>
      <c r="E17" s="88" t="s">
        <v>85</v>
      </c>
      <c r="F17" s="63">
        <v>0.0</v>
      </c>
      <c r="G17" s="27">
        <f t="shared" si="1"/>
        <v>0</v>
      </c>
      <c r="H17" s="30">
        <f t="shared" si="2"/>
        <v>685</v>
      </c>
      <c r="I17" s="32">
        <f t="shared" si="3"/>
        <v>68.5</v>
      </c>
      <c r="J17" s="32">
        <f t="shared" si="4"/>
        <v>34.25</v>
      </c>
      <c r="M17" s="33">
        <f t="shared" si="5"/>
        <v>0</v>
      </c>
    </row>
    <row r="18" ht="22.5" customHeight="1">
      <c r="A18" s="51" t="s">
        <v>91</v>
      </c>
      <c r="B18" s="52">
        <v>896.0</v>
      </c>
      <c r="C18" s="53">
        <v>3.0</v>
      </c>
      <c r="D18" s="54">
        <v>1.0</v>
      </c>
      <c r="E18" s="55" t="s">
        <v>85</v>
      </c>
      <c r="F18" s="56">
        <v>0.0</v>
      </c>
      <c r="G18" s="27">
        <f t="shared" si="1"/>
        <v>0</v>
      </c>
      <c r="H18" s="30">
        <f t="shared" si="2"/>
        <v>896</v>
      </c>
      <c r="I18" s="32">
        <f t="shared" si="3"/>
        <v>896</v>
      </c>
      <c r="J18" s="32">
        <f t="shared" si="4"/>
        <v>298.6666667</v>
      </c>
      <c r="M18" s="33">
        <f t="shared" si="5"/>
        <v>0</v>
      </c>
    </row>
    <row r="19" ht="22.5" customHeight="1">
      <c r="A19" s="58" t="s">
        <v>92</v>
      </c>
      <c r="B19" s="59">
        <v>946.0</v>
      </c>
      <c r="C19" s="60">
        <v>3.0</v>
      </c>
      <c r="D19" s="61">
        <v>10.0</v>
      </c>
      <c r="E19" s="88" t="s">
        <v>85</v>
      </c>
      <c r="F19" s="63">
        <v>0.0</v>
      </c>
      <c r="G19" s="27">
        <f t="shared" si="1"/>
        <v>0</v>
      </c>
      <c r="H19" s="30">
        <f t="shared" si="2"/>
        <v>946</v>
      </c>
      <c r="I19" s="32">
        <f t="shared" si="3"/>
        <v>94.6</v>
      </c>
      <c r="J19" s="32">
        <f t="shared" si="4"/>
        <v>31.53333333</v>
      </c>
      <c r="M19" s="33">
        <f t="shared" si="5"/>
        <v>0</v>
      </c>
    </row>
    <row r="20" ht="22.5" customHeight="1">
      <c r="A20" s="51" t="s">
        <v>96</v>
      </c>
      <c r="B20" s="52">
        <v>1175.0</v>
      </c>
      <c r="C20" s="53">
        <v>5.0</v>
      </c>
      <c r="D20" s="54">
        <v>1.0</v>
      </c>
      <c r="E20" s="87" t="s">
        <v>85</v>
      </c>
      <c r="F20" s="56">
        <v>0.0</v>
      </c>
      <c r="G20" s="27">
        <f t="shared" si="1"/>
        <v>0</v>
      </c>
      <c r="H20" s="30">
        <f t="shared" si="2"/>
        <v>1175</v>
      </c>
      <c r="I20" s="32">
        <f t="shared" si="3"/>
        <v>1175</v>
      </c>
      <c r="J20" s="32">
        <f t="shared" si="4"/>
        <v>235</v>
      </c>
      <c r="M20" s="33">
        <f t="shared" si="5"/>
        <v>0</v>
      </c>
    </row>
    <row r="21" ht="22.5" customHeight="1">
      <c r="A21" s="58" t="s">
        <v>105</v>
      </c>
      <c r="B21" s="59">
        <v>1243.0</v>
      </c>
      <c r="C21" s="84">
        <v>4.0</v>
      </c>
      <c r="D21" s="61">
        <v>10.0</v>
      </c>
      <c r="E21" s="88" t="s">
        <v>85</v>
      </c>
      <c r="F21" s="63">
        <v>0.0</v>
      </c>
      <c r="G21" s="27">
        <f t="shared" si="1"/>
        <v>0</v>
      </c>
      <c r="H21" s="30">
        <f t="shared" si="2"/>
        <v>1243</v>
      </c>
      <c r="I21" s="32">
        <f t="shared" si="3"/>
        <v>124.3</v>
      </c>
      <c r="J21" s="32">
        <f t="shared" si="4"/>
        <v>31.075</v>
      </c>
      <c r="M21" s="33">
        <f t="shared" si="5"/>
        <v>0</v>
      </c>
    </row>
    <row r="22" ht="22.5" customHeight="1">
      <c r="A22" s="51" t="s">
        <v>107</v>
      </c>
      <c r="B22" s="52">
        <v>337.0</v>
      </c>
      <c r="C22" s="53">
        <v>1.0</v>
      </c>
      <c r="D22" s="54">
        <v>1.0</v>
      </c>
      <c r="E22" s="55" t="s">
        <v>108</v>
      </c>
      <c r="F22" s="99">
        <v>0.21</v>
      </c>
      <c r="G22" s="27">
        <f t="shared" si="1"/>
        <v>70.77</v>
      </c>
      <c r="H22" s="30">
        <f t="shared" si="2"/>
        <v>266.23</v>
      </c>
      <c r="I22" s="32">
        <f t="shared" si="3"/>
        <v>266.23</v>
      </c>
      <c r="J22" s="32">
        <f t="shared" si="4"/>
        <v>266.23</v>
      </c>
      <c r="M22" s="33">
        <f t="shared" si="5"/>
        <v>0.21</v>
      </c>
    </row>
    <row r="23" ht="22.5" customHeight="1">
      <c r="A23" s="58" t="s">
        <v>109</v>
      </c>
      <c r="B23" s="59">
        <v>324.0</v>
      </c>
      <c r="C23" s="60">
        <v>1.0</v>
      </c>
      <c r="D23" s="61">
        <v>10.0</v>
      </c>
      <c r="E23" s="62" t="s">
        <v>108</v>
      </c>
      <c r="F23" s="105">
        <v>0.21</v>
      </c>
      <c r="G23" s="27">
        <f t="shared" si="1"/>
        <v>68.04</v>
      </c>
      <c r="H23" s="30">
        <f t="shared" si="2"/>
        <v>255.96</v>
      </c>
      <c r="I23" s="32">
        <f t="shared" si="3"/>
        <v>25.596</v>
      </c>
      <c r="J23" s="32">
        <f t="shared" si="4"/>
        <v>25.596</v>
      </c>
      <c r="M23" s="33">
        <f t="shared" si="5"/>
        <v>0.21</v>
      </c>
    </row>
    <row r="24" ht="22.5" customHeight="1">
      <c r="A24" s="51" t="s">
        <v>111</v>
      </c>
      <c r="B24" s="52">
        <v>675.0</v>
      </c>
      <c r="C24" s="53">
        <v>2.0</v>
      </c>
      <c r="D24" s="54">
        <v>1.0</v>
      </c>
      <c r="E24" s="55" t="s">
        <v>108</v>
      </c>
      <c r="F24" s="99">
        <v>0.21</v>
      </c>
      <c r="G24" s="27">
        <f t="shared" si="1"/>
        <v>141.75</v>
      </c>
      <c r="H24" s="30">
        <f t="shared" si="2"/>
        <v>533.25</v>
      </c>
      <c r="I24" s="32">
        <f t="shared" si="3"/>
        <v>533.25</v>
      </c>
      <c r="J24" s="32">
        <f t="shared" si="4"/>
        <v>266.625</v>
      </c>
      <c r="M24" s="33">
        <f t="shared" si="5"/>
        <v>0.21</v>
      </c>
    </row>
    <row r="25" ht="22.5" customHeight="1">
      <c r="A25" s="58" t="s">
        <v>114</v>
      </c>
      <c r="B25" s="59">
        <v>690.0</v>
      </c>
      <c r="C25" s="60">
        <v>2.0</v>
      </c>
      <c r="D25" s="61">
        <v>10.0</v>
      </c>
      <c r="E25" s="62" t="s">
        <v>108</v>
      </c>
      <c r="F25" s="105">
        <v>0.21</v>
      </c>
      <c r="G25" s="27">
        <f t="shared" si="1"/>
        <v>144.9</v>
      </c>
      <c r="H25" s="30">
        <f t="shared" si="2"/>
        <v>545.1</v>
      </c>
      <c r="I25" s="32">
        <f t="shared" si="3"/>
        <v>54.51</v>
      </c>
      <c r="J25" s="32">
        <f t="shared" si="4"/>
        <v>27.255</v>
      </c>
      <c r="M25" s="33">
        <f t="shared" si="5"/>
        <v>0.21</v>
      </c>
    </row>
    <row r="26" ht="22.5" customHeight="1">
      <c r="A26" s="51" t="s">
        <v>120</v>
      </c>
      <c r="B26" s="79">
        <v>50.0</v>
      </c>
      <c r="C26" s="53">
        <v>1.0</v>
      </c>
      <c r="D26" s="54">
        <v>1.0</v>
      </c>
      <c r="E26" s="55" t="s">
        <v>124</v>
      </c>
      <c r="F26" s="56">
        <v>0.0</v>
      </c>
      <c r="G26" s="27">
        <f t="shared" si="1"/>
        <v>0</v>
      </c>
      <c r="H26" s="30">
        <f t="shared" si="2"/>
        <v>50</v>
      </c>
      <c r="I26" s="32">
        <f t="shared" si="3"/>
        <v>50</v>
      </c>
      <c r="J26" s="32">
        <f t="shared" si="4"/>
        <v>50</v>
      </c>
      <c r="M26" s="33">
        <f t="shared" si="5"/>
        <v>0</v>
      </c>
    </row>
    <row r="27" ht="22.5" customHeight="1">
      <c r="A27" s="58" t="s">
        <v>134</v>
      </c>
      <c r="B27" s="83">
        <v>60.0</v>
      </c>
      <c r="C27" s="60">
        <v>1.0</v>
      </c>
      <c r="D27" s="61">
        <v>1.0</v>
      </c>
      <c r="E27" s="62" t="s">
        <v>108</v>
      </c>
      <c r="F27" s="105">
        <v>0.21</v>
      </c>
      <c r="G27" s="27">
        <f t="shared" si="1"/>
        <v>12.6</v>
      </c>
      <c r="H27" s="30">
        <f t="shared" si="2"/>
        <v>47.4</v>
      </c>
      <c r="I27" s="32">
        <f t="shared" si="3"/>
        <v>47.4</v>
      </c>
      <c r="J27" s="32">
        <f t="shared" si="4"/>
        <v>47.4</v>
      </c>
      <c r="M27" s="33">
        <f t="shared" si="5"/>
        <v>0.21</v>
      </c>
    </row>
    <row r="28" ht="22.5" customHeight="1">
      <c r="A28" s="51" t="s">
        <v>139</v>
      </c>
      <c r="B28" s="79">
        <v>810.5</v>
      </c>
      <c r="C28" s="53">
        <v>3.0</v>
      </c>
      <c r="D28" s="54">
        <v>1.0</v>
      </c>
      <c r="E28" s="55" t="s">
        <v>85</v>
      </c>
      <c r="F28" s="56">
        <v>0.0</v>
      </c>
      <c r="G28" s="27">
        <f t="shared" si="1"/>
        <v>0</v>
      </c>
      <c r="H28" s="30">
        <f t="shared" si="2"/>
        <v>810.5</v>
      </c>
      <c r="I28" s="32">
        <f t="shared" si="3"/>
        <v>810.5</v>
      </c>
      <c r="J28" s="32">
        <f t="shared" si="4"/>
        <v>270.1666667</v>
      </c>
      <c r="M28" s="33">
        <f t="shared" si="5"/>
        <v>0</v>
      </c>
    </row>
    <row r="29" ht="22.5" customHeight="1">
      <c r="A29" s="58" t="s">
        <v>141</v>
      </c>
      <c r="B29" s="83">
        <v>871.0</v>
      </c>
      <c r="C29" s="60">
        <v>3.0</v>
      </c>
      <c r="D29" s="61">
        <v>10.0</v>
      </c>
      <c r="E29" s="62" t="s">
        <v>85</v>
      </c>
      <c r="F29" s="63">
        <v>0.0</v>
      </c>
      <c r="G29" s="27">
        <f t="shared" si="1"/>
        <v>0</v>
      </c>
      <c r="H29" s="30">
        <f t="shared" si="2"/>
        <v>871</v>
      </c>
      <c r="I29" s="32">
        <f t="shared" si="3"/>
        <v>87.1</v>
      </c>
      <c r="J29" s="32">
        <f t="shared" si="4"/>
        <v>29.03333333</v>
      </c>
      <c r="M29" s="33">
        <f t="shared" si="5"/>
        <v>0</v>
      </c>
    </row>
    <row r="30" ht="22.5" customHeight="1">
      <c r="A30" s="51" t="s">
        <v>151</v>
      </c>
      <c r="B30" s="79">
        <v>261.0</v>
      </c>
      <c r="C30" s="53">
        <v>1.0</v>
      </c>
      <c r="D30" s="54">
        <v>1.0</v>
      </c>
      <c r="E30" s="55" t="s">
        <v>85</v>
      </c>
      <c r="F30" s="56">
        <v>0.0</v>
      </c>
      <c r="G30" s="27">
        <f t="shared" si="1"/>
        <v>0</v>
      </c>
      <c r="H30" s="30">
        <f t="shared" si="2"/>
        <v>261</v>
      </c>
      <c r="I30" s="32">
        <f t="shared" si="3"/>
        <v>261</v>
      </c>
      <c r="J30" s="32">
        <f t="shared" si="4"/>
        <v>261</v>
      </c>
      <c r="M30" s="33">
        <f t="shared" si="5"/>
        <v>0</v>
      </c>
    </row>
    <row r="31" ht="22.5" customHeight="1">
      <c r="A31" s="68" t="s">
        <v>153</v>
      </c>
      <c r="B31" s="69">
        <v>1147.0</v>
      </c>
      <c r="C31" s="138">
        <v>4.0</v>
      </c>
      <c r="D31" s="70">
        <v>1.0</v>
      </c>
      <c r="E31" s="24"/>
      <c r="F31" s="139">
        <v>0.0</v>
      </c>
      <c r="G31" s="27">
        <f t="shared" si="1"/>
        <v>0</v>
      </c>
      <c r="H31" s="30">
        <f t="shared" si="2"/>
        <v>1147</v>
      </c>
      <c r="I31" s="32">
        <f t="shared" si="3"/>
        <v>1147</v>
      </c>
      <c r="J31" s="32">
        <f t="shared" si="4"/>
        <v>286.75</v>
      </c>
      <c r="M31" s="33">
        <f t="shared" si="5"/>
        <v>0</v>
      </c>
    </row>
    <row r="32" ht="22.5" customHeight="1">
      <c r="A32" s="68" t="s">
        <v>157</v>
      </c>
      <c r="B32" s="69">
        <v>1778.0</v>
      </c>
      <c r="C32" s="138">
        <v>4.0</v>
      </c>
      <c r="D32" s="70">
        <v>10.0</v>
      </c>
      <c r="E32" s="24"/>
      <c r="F32" s="139">
        <v>0.0</v>
      </c>
      <c r="G32" s="27">
        <f t="shared" si="1"/>
        <v>0</v>
      </c>
      <c r="H32" s="30">
        <f t="shared" si="2"/>
        <v>1778</v>
      </c>
      <c r="I32" s="32">
        <f t="shared" si="3"/>
        <v>177.8</v>
      </c>
      <c r="J32" s="32">
        <f t="shared" si="4"/>
        <v>44.45</v>
      </c>
      <c r="M32" s="33">
        <f t="shared" si="5"/>
        <v>0</v>
      </c>
    </row>
    <row r="33" ht="22.5" customHeight="1">
      <c r="A33" s="24"/>
      <c r="B33" s="78"/>
      <c r="C33" s="143"/>
      <c r="D33" s="85"/>
      <c r="E33" s="24"/>
      <c r="F33" s="85"/>
      <c r="G33" s="27">
        <f t="shared" si="1"/>
        <v>0</v>
      </c>
      <c r="H33" s="30">
        <f t="shared" si="2"/>
        <v>0</v>
      </c>
      <c r="I33" s="32" t="str">
        <f t="shared" si="3"/>
        <v>#DIV/0!</v>
      </c>
      <c r="J33" s="32" t="str">
        <f t="shared" si="4"/>
        <v>#DIV/0!</v>
      </c>
      <c r="M33" s="33" t="str">
        <f t="shared" si="5"/>
        <v/>
      </c>
    </row>
    <row r="34" ht="22.5" customHeight="1">
      <c r="A34" s="24"/>
      <c r="B34" s="78"/>
      <c r="C34" s="143"/>
      <c r="D34" s="85"/>
      <c r="E34" s="24"/>
      <c r="F34" s="85"/>
      <c r="G34" s="27">
        <f t="shared" si="1"/>
        <v>0</v>
      </c>
      <c r="H34" s="30">
        <f t="shared" si="2"/>
        <v>0</v>
      </c>
      <c r="I34" s="32" t="str">
        <f t="shared" si="3"/>
        <v>#DIV/0!</v>
      </c>
      <c r="J34" s="32" t="str">
        <f t="shared" si="4"/>
        <v>#DIV/0!</v>
      </c>
      <c r="M34" s="33" t="str">
        <f t="shared" si="5"/>
        <v/>
      </c>
    </row>
    <row r="35" ht="22.5" customHeight="1">
      <c r="A35" s="24"/>
      <c r="B35" s="78"/>
      <c r="C35" s="143"/>
      <c r="D35" s="85"/>
      <c r="E35" s="24"/>
      <c r="F35" s="85"/>
      <c r="G35" s="27">
        <f t="shared" si="1"/>
        <v>0</v>
      </c>
      <c r="H35" s="30">
        <f t="shared" si="2"/>
        <v>0</v>
      </c>
      <c r="I35" s="32" t="str">
        <f t="shared" si="3"/>
        <v>#DIV/0!</v>
      </c>
      <c r="J35" s="32" t="str">
        <f t="shared" si="4"/>
        <v>#DIV/0!</v>
      </c>
      <c r="M35" s="33" t="str">
        <f t="shared" si="5"/>
        <v/>
      </c>
    </row>
    <row r="36" ht="22.5" customHeight="1">
      <c r="A36" s="24"/>
      <c r="B36" s="78"/>
      <c r="C36" s="143"/>
      <c r="D36" s="85"/>
      <c r="E36" s="24"/>
      <c r="F36" s="85"/>
      <c r="G36" s="27">
        <f t="shared" si="1"/>
        <v>0</v>
      </c>
      <c r="H36" s="30">
        <f t="shared" si="2"/>
        <v>0</v>
      </c>
      <c r="I36" s="32" t="str">
        <f t="shared" si="3"/>
        <v>#DIV/0!</v>
      </c>
      <c r="J36" s="32" t="str">
        <f t="shared" si="4"/>
        <v>#DIV/0!</v>
      </c>
      <c r="M36" s="33" t="str">
        <f t="shared" si="5"/>
        <v/>
      </c>
    </row>
    <row r="37" ht="22.5" customHeight="1">
      <c r="A37" s="24"/>
      <c r="B37" s="78"/>
      <c r="C37" s="143"/>
      <c r="D37" s="85"/>
      <c r="E37" s="24"/>
      <c r="F37" s="85"/>
      <c r="G37" s="27">
        <f t="shared" si="1"/>
        <v>0</v>
      </c>
      <c r="H37" s="30">
        <f t="shared" si="2"/>
        <v>0</v>
      </c>
      <c r="I37" s="32" t="str">
        <f t="shared" si="3"/>
        <v>#DIV/0!</v>
      </c>
      <c r="J37" s="32" t="str">
        <f t="shared" si="4"/>
        <v>#DIV/0!</v>
      </c>
      <c r="M37" s="33" t="str">
        <f t="shared" si="5"/>
        <v/>
      </c>
    </row>
    <row r="38" ht="22.5" customHeight="1">
      <c r="A38" s="24"/>
      <c r="B38" s="78"/>
      <c r="C38" s="143"/>
      <c r="D38" s="85"/>
      <c r="E38" s="24"/>
      <c r="F38" s="85"/>
      <c r="G38" s="27">
        <f t="shared" si="1"/>
        <v>0</v>
      </c>
      <c r="H38" s="30">
        <f t="shared" si="2"/>
        <v>0</v>
      </c>
      <c r="I38" s="32" t="str">
        <f t="shared" si="3"/>
        <v>#DIV/0!</v>
      </c>
      <c r="J38" s="32" t="str">
        <f t="shared" si="4"/>
        <v>#DIV/0!</v>
      </c>
      <c r="M38" s="33" t="str">
        <f t="shared" si="5"/>
        <v/>
      </c>
    </row>
    <row r="39" ht="22.5" customHeight="1">
      <c r="A39" s="24"/>
      <c r="B39" s="78"/>
      <c r="C39" s="143"/>
      <c r="D39" s="85"/>
      <c r="E39" s="24"/>
      <c r="F39" s="85"/>
      <c r="G39" s="27">
        <f t="shared" si="1"/>
        <v>0</v>
      </c>
      <c r="H39" s="30">
        <f t="shared" si="2"/>
        <v>0</v>
      </c>
      <c r="I39" s="32" t="str">
        <f t="shared" si="3"/>
        <v>#DIV/0!</v>
      </c>
      <c r="J39" s="32" t="str">
        <f t="shared" si="4"/>
        <v>#DIV/0!</v>
      </c>
      <c r="M39" s="33" t="str">
        <f t="shared" si="5"/>
        <v/>
      </c>
    </row>
    <row r="40" ht="22.5" customHeight="1">
      <c r="A40" s="24"/>
      <c r="B40" s="78"/>
      <c r="C40" s="143"/>
      <c r="D40" s="85"/>
      <c r="E40" s="24"/>
      <c r="F40" s="85"/>
      <c r="G40" s="27">
        <f t="shared" si="1"/>
        <v>0</v>
      </c>
      <c r="H40" s="30">
        <f t="shared" si="2"/>
        <v>0</v>
      </c>
      <c r="I40" s="32" t="str">
        <f t="shared" si="3"/>
        <v>#DIV/0!</v>
      </c>
      <c r="J40" s="32" t="str">
        <f t="shared" si="4"/>
        <v>#DIV/0!</v>
      </c>
      <c r="M40" s="33" t="str">
        <f t="shared" si="5"/>
        <v/>
      </c>
    </row>
    <row r="41" ht="22.5" customHeight="1">
      <c r="A41" s="24"/>
      <c r="B41" s="78"/>
      <c r="C41" s="143"/>
      <c r="D41" s="85"/>
      <c r="E41" s="24"/>
      <c r="F41" s="85"/>
      <c r="G41" s="27">
        <f t="shared" si="1"/>
        <v>0</v>
      </c>
      <c r="H41" s="30">
        <f t="shared" si="2"/>
        <v>0</v>
      </c>
      <c r="I41" s="32" t="str">
        <f t="shared" si="3"/>
        <v>#DIV/0!</v>
      </c>
      <c r="J41" s="32" t="str">
        <f t="shared" si="4"/>
        <v>#DIV/0!</v>
      </c>
      <c r="M41" s="33" t="str">
        <f t="shared" si="5"/>
        <v/>
      </c>
    </row>
    <row r="42" ht="22.5" customHeight="1">
      <c r="A42" s="24"/>
      <c r="B42" s="78"/>
      <c r="C42" s="143"/>
      <c r="D42" s="85"/>
      <c r="E42" s="24"/>
      <c r="F42" s="85"/>
      <c r="G42" s="27">
        <f t="shared" si="1"/>
        <v>0</v>
      </c>
      <c r="H42" s="30">
        <f t="shared" si="2"/>
        <v>0</v>
      </c>
      <c r="I42" s="32" t="str">
        <f t="shared" si="3"/>
        <v>#DIV/0!</v>
      </c>
      <c r="J42" s="32" t="str">
        <f t="shared" si="4"/>
        <v>#DIV/0!</v>
      </c>
      <c r="M42" s="33" t="str">
        <f t="shared" si="5"/>
        <v/>
      </c>
    </row>
    <row r="43" ht="22.5" customHeight="1">
      <c r="A43" s="24"/>
      <c r="B43" s="78"/>
      <c r="C43" s="143"/>
      <c r="D43" s="85"/>
      <c r="E43" s="24"/>
      <c r="F43" s="85"/>
      <c r="G43" s="27">
        <f t="shared" si="1"/>
        <v>0</v>
      </c>
      <c r="H43" s="30">
        <f t="shared" si="2"/>
        <v>0</v>
      </c>
      <c r="I43" s="32" t="str">
        <f t="shared" si="3"/>
        <v>#DIV/0!</v>
      </c>
      <c r="J43" s="32" t="str">
        <f t="shared" si="4"/>
        <v>#DIV/0!</v>
      </c>
      <c r="M43" s="33" t="str">
        <f t="shared" si="5"/>
        <v/>
      </c>
    </row>
    <row r="44" ht="22.5" customHeight="1">
      <c r="A44" s="24"/>
      <c r="B44" s="78"/>
      <c r="C44" s="143"/>
      <c r="D44" s="85"/>
      <c r="E44" s="24"/>
      <c r="F44" s="85"/>
      <c r="G44" s="27">
        <f t="shared" si="1"/>
        <v>0</v>
      </c>
      <c r="H44" s="30">
        <f t="shared" si="2"/>
        <v>0</v>
      </c>
      <c r="I44" s="32" t="str">
        <f t="shared" si="3"/>
        <v>#DIV/0!</v>
      </c>
      <c r="J44" s="32" t="str">
        <f t="shared" si="4"/>
        <v>#DIV/0!</v>
      </c>
      <c r="M44" s="33" t="str">
        <f t="shared" si="5"/>
        <v/>
      </c>
    </row>
    <row r="45" ht="22.5" customHeight="1">
      <c r="A45" s="24"/>
      <c r="B45" s="78"/>
      <c r="C45" s="143"/>
      <c r="D45" s="85"/>
      <c r="E45" s="24"/>
      <c r="F45" s="85"/>
      <c r="G45" s="27">
        <f t="shared" si="1"/>
        <v>0</v>
      </c>
      <c r="H45" s="30">
        <f t="shared" si="2"/>
        <v>0</v>
      </c>
      <c r="I45" s="32" t="str">
        <f t="shared" si="3"/>
        <v>#DIV/0!</v>
      </c>
      <c r="J45" s="32" t="str">
        <f t="shared" si="4"/>
        <v>#DIV/0!</v>
      </c>
      <c r="M45" s="33" t="str">
        <f t="shared" si="5"/>
        <v/>
      </c>
    </row>
    <row r="46" ht="22.5" customHeight="1">
      <c r="A46" s="24"/>
      <c r="B46" s="78"/>
      <c r="C46" s="143"/>
      <c r="D46" s="85"/>
      <c r="E46" s="24"/>
      <c r="F46" s="85"/>
      <c r="G46" s="27">
        <f t="shared" si="1"/>
        <v>0</v>
      </c>
      <c r="H46" s="30">
        <f t="shared" si="2"/>
        <v>0</v>
      </c>
      <c r="I46" s="32" t="str">
        <f t="shared" si="3"/>
        <v>#DIV/0!</v>
      </c>
      <c r="J46" s="32" t="str">
        <f t="shared" si="4"/>
        <v>#DIV/0!</v>
      </c>
      <c r="M46" s="33" t="str">
        <f t="shared" si="5"/>
        <v/>
      </c>
    </row>
    <row r="47" ht="22.5" customHeight="1">
      <c r="A47" s="24"/>
      <c r="B47" s="78"/>
      <c r="C47" s="143"/>
      <c r="D47" s="85"/>
      <c r="E47" s="24"/>
      <c r="F47" s="85"/>
      <c r="G47" s="27">
        <f t="shared" si="1"/>
        <v>0</v>
      </c>
      <c r="H47" s="30">
        <f t="shared" si="2"/>
        <v>0</v>
      </c>
      <c r="I47" s="32" t="str">
        <f t="shared" si="3"/>
        <v>#DIV/0!</v>
      </c>
      <c r="J47" s="32" t="str">
        <f t="shared" si="4"/>
        <v>#DIV/0!</v>
      </c>
      <c r="M47" s="33" t="str">
        <f t="shared" si="5"/>
        <v/>
      </c>
    </row>
    <row r="48" ht="22.5" customHeight="1">
      <c r="A48" s="24"/>
      <c r="B48" s="78"/>
      <c r="C48" s="143"/>
      <c r="D48" s="85"/>
      <c r="E48" s="24"/>
      <c r="F48" s="85"/>
      <c r="G48" s="27">
        <f t="shared" si="1"/>
        <v>0</v>
      </c>
      <c r="H48" s="30">
        <f t="shared" si="2"/>
        <v>0</v>
      </c>
      <c r="I48" s="32" t="str">
        <f t="shared" si="3"/>
        <v>#DIV/0!</v>
      </c>
      <c r="J48" s="32" t="str">
        <f t="shared" si="4"/>
        <v>#DIV/0!</v>
      </c>
      <c r="M48" s="33" t="str">
        <f t="shared" si="5"/>
        <v/>
      </c>
    </row>
    <row r="49" ht="22.5" customHeight="1">
      <c r="A49" s="24"/>
      <c r="B49" s="78"/>
      <c r="C49" s="143"/>
      <c r="D49" s="85"/>
      <c r="E49" s="24"/>
      <c r="F49" s="85"/>
      <c r="G49" s="27">
        <f t="shared" si="1"/>
        <v>0</v>
      </c>
      <c r="H49" s="30">
        <f t="shared" si="2"/>
        <v>0</v>
      </c>
      <c r="I49" s="32" t="str">
        <f t="shared" si="3"/>
        <v>#DIV/0!</v>
      </c>
      <c r="J49" s="32" t="str">
        <f t="shared" si="4"/>
        <v>#DIV/0!</v>
      </c>
      <c r="M49" s="33" t="str">
        <f t="shared" si="5"/>
        <v/>
      </c>
    </row>
    <row r="50" ht="22.5" customHeight="1">
      <c r="A50" s="24"/>
      <c r="B50" s="78"/>
      <c r="C50" s="143"/>
      <c r="D50" s="85"/>
      <c r="E50" s="24"/>
      <c r="F50" s="85"/>
      <c r="G50" s="27">
        <f t="shared" si="1"/>
        <v>0</v>
      </c>
      <c r="H50" s="30">
        <f t="shared" si="2"/>
        <v>0</v>
      </c>
      <c r="I50" s="32" t="str">
        <f t="shared" si="3"/>
        <v>#DIV/0!</v>
      </c>
      <c r="J50" s="32" t="str">
        <f t="shared" si="4"/>
        <v>#DIV/0!</v>
      </c>
      <c r="M50" s="33" t="str">
        <f t="shared" si="5"/>
        <v/>
      </c>
    </row>
    <row r="51" ht="22.5" customHeight="1">
      <c r="A51" s="24"/>
      <c r="B51" s="78"/>
      <c r="C51" s="143"/>
      <c r="D51" s="85"/>
      <c r="E51" s="24"/>
      <c r="F51" s="85"/>
      <c r="G51" s="27">
        <f t="shared" si="1"/>
        <v>0</v>
      </c>
      <c r="H51" s="30">
        <f t="shared" si="2"/>
        <v>0</v>
      </c>
      <c r="I51" s="32" t="str">
        <f t="shared" si="3"/>
        <v>#DIV/0!</v>
      </c>
      <c r="J51" s="32" t="str">
        <f t="shared" si="4"/>
        <v>#DIV/0!</v>
      </c>
      <c r="M51" s="33" t="str">
        <f t="shared" si="5"/>
        <v/>
      </c>
    </row>
    <row r="52" ht="22.5" customHeight="1">
      <c r="A52" s="24"/>
      <c r="B52" s="78"/>
      <c r="C52" s="143"/>
      <c r="D52" s="85"/>
      <c r="E52" s="24"/>
      <c r="F52" s="85"/>
      <c r="G52" s="27">
        <f t="shared" si="1"/>
        <v>0</v>
      </c>
      <c r="H52" s="30">
        <f t="shared" si="2"/>
        <v>0</v>
      </c>
      <c r="I52" s="32" t="str">
        <f t="shared" si="3"/>
        <v>#DIV/0!</v>
      </c>
      <c r="J52" s="32" t="str">
        <f t="shared" si="4"/>
        <v>#DIV/0!</v>
      </c>
      <c r="M52" s="33" t="str">
        <f t="shared" si="5"/>
        <v/>
      </c>
    </row>
    <row r="53" ht="22.5" customHeight="1">
      <c r="A53" s="24"/>
      <c r="B53" s="78"/>
      <c r="C53" s="143"/>
      <c r="D53" s="85"/>
      <c r="E53" s="24"/>
      <c r="F53" s="85"/>
      <c r="G53" s="27">
        <f t="shared" si="1"/>
        <v>0</v>
      </c>
      <c r="H53" s="30">
        <f t="shared" si="2"/>
        <v>0</v>
      </c>
      <c r="I53" s="32" t="str">
        <f t="shared" si="3"/>
        <v>#DIV/0!</v>
      </c>
      <c r="J53" s="32" t="str">
        <f t="shared" si="4"/>
        <v>#DIV/0!</v>
      </c>
      <c r="M53" s="33" t="str">
        <f t="shared" si="5"/>
        <v/>
      </c>
    </row>
    <row r="54" ht="22.5" customHeight="1">
      <c r="A54" s="24"/>
      <c r="B54" s="78"/>
      <c r="C54" s="143"/>
      <c r="D54" s="85"/>
      <c r="E54" s="24"/>
      <c r="F54" s="85"/>
      <c r="G54" s="27">
        <f t="shared" si="1"/>
        <v>0</v>
      </c>
      <c r="H54" s="30">
        <f t="shared" si="2"/>
        <v>0</v>
      </c>
      <c r="I54" s="32" t="str">
        <f t="shared" si="3"/>
        <v>#DIV/0!</v>
      </c>
      <c r="J54" s="32" t="str">
        <f t="shared" si="4"/>
        <v>#DIV/0!</v>
      </c>
      <c r="M54" s="33" t="str">
        <f t="shared" si="5"/>
        <v/>
      </c>
    </row>
    <row r="55" ht="22.5" customHeight="1">
      <c r="A55" s="24"/>
      <c r="B55" s="78"/>
      <c r="C55" s="143"/>
      <c r="D55" s="85"/>
      <c r="E55" s="24"/>
      <c r="F55" s="85"/>
      <c r="G55" s="27">
        <f t="shared" si="1"/>
        <v>0</v>
      </c>
      <c r="H55" s="30">
        <f t="shared" si="2"/>
        <v>0</v>
      </c>
      <c r="I55" s="32" t="str">
        <f t="shared" si="3"/>
        <v>#DIV/0!</v>
      </c>
      <c r="J55" s="32" t="str">
        <f t="shared" si="4"/>
        <v>#DIV/0!</v>
      </c>
      <c r="M55" s="33" t="str">
        <f t="shared" si="5"/>
        <v/>
      </c>
    </row>
    <row r="56" ht="22.5" customHeight="1">
      <c r="A56" s="24"/>
      <c r="B56" s="78"/>
      <c r="C56" s="143"/>
      <c r="D56" s="85"/>
      <c r="E56" s="24"/>
      <c r="F56" s="85"/>
      <c r="G56" s="27">
        <f t="shared" si="1"/>
        <v>0</v>
      </c>
      <c r="H56" s="30">
        <f t="shared" si="2"/>
        <v>0</v>
      </c>
      <c r="I56" s="32" t="str">
        <f t="shared" si="3"/>
        <v>#DIV/0!</v>
      </c>
      <c r="J56" s="32" t="str">
        <f t="shared" si="4"/>
        <v>#DIV/0!</v>
      </c>
      <c r="M56" s="33" t="str">
        <f t="shared" si="5"/>
        <v/>
      </c>
    </row>
    <row r="57" ht="22.5" customHeight="1">
      <c r="A57" s="24"/>
      <c r="B57" s="78"/>
      <c r="C57" s="143"/>
      <c r="D57" s="85"/>
      <c r="E57" s="24"/>
      <c r="F57" s="85"/>
      <c r="G57" s="27">
        <f t="shared" si="1"/>
        <v>0</v>
      </c>
      <c r="H57" s="30">
        <f t="shared" si="2"/>
        <v>0</v>
      </c>
      <c r="I57" s="32" t="str">
        <f t="shared" si="3"/>
        <v>#DIV/0!</v>
      </c>
      <c r="J57" s="32" t="str">
        <f t="shared" si="4"/>
        <v>#DIV/0!</v>
      </c>
      <c r="M57" s="33" t="str">
        <f t="shared" si="5"/>
        <v/>
      </c>
    </row>
    <row r="58" ht="22.5" customHeight="1">
      <c r="A58" s="24"/>
      <c r="B58" s="78"/>
      <c r="C58" s="143"/>
      <c r="D58" s="85"/>
      <c r="E58" s="24"/>
      <c r="F58" s="85"/>
      <c r="G58" s="27">
        <f t="shared" si="1"/>
        <v>0</v>
      </c>
      <c r="H58" s="30">
        <f t="shared" si="2"/>
        <v>0</v>
      </c>
      <c r="I58" s="32" t="str">
        <f t="shared" si="3"/>
        <v>#DIV/0!</v>
      </c>
      <c r="J58" s="32" t="str">
        <f t="shared" si="4"/>
        <v>#DIV/0!</v>
      </c>
      <c r="M58" s="33" t="str">
        <f t="shared" si="5"/>
        <v/>
      </c>
    </row>
    <row r="59" ht="22.5" customHeight="1">
      <c r="A59" s="24"/>
      <c r="B59" s="78"/>
      <c r="C59" s="143"/>
      <c r="D59" s="85"/>
      <c r="E59" s="24"/>
      <c r="F59" s="85"/>
      <c r="G59" s="27">
        <f t="shared" si="1"/>
        <v>0</v>
      </c>
      <c r="H59" s="30">
        <f t="shared" si="2"/>
        <v>0</v>
      </c>
      <c r="I59" s="32" t="str">
        <f t="shared" si="3"/>
        <v>#DIV/0!</v>
      </c>
      <c r="J59" s="32" t="str">
        <f t="shared" si="4"/>
        <v>#DIV/0!</v>
      </c>
      <c r="M59" s="33" t="str">
        <f t="shared" si="5"/>
        <v/>
      </c>
    </row>
    <row r="60" ht="22.5" customHeight="1">
      <c r="A60" s="24"/>
      <c r="B60" s="78"/>
      <c r="C60" s="143"/>
      <c r="D60" s="85"/>
      <c r="E60" s="24"/>
      <c r="F60" s="85"/>
      <c r="G60" s="27">
        <f t="shared" si="1"/>
        <v>0</v>
      </c>
      <c r="H60" s="30">
        <f t="shared" si="2"/>
        <v>0</v>
      </c>
      <c r="I60" s="32" t="str">
        <f t="shared" si="3"/>
        <v>#DIV/0!</v>
      </c>
      <c r="J60" s="32" t="str">
        <f t="shared" si="4"/>
        <v>#DIV/0!</v>
      </c>
      <c r="M60" s="33" t="str">
        <f t="shared" si="5"/>
        <v/>
      </c>
    </row>
    <row r="61" ht="22.5" customHeight="1">
      <c r="A61" s="24"/>
      <c r="B61" s="78"/>
      <c r="C61" s="143"/>
      <c r="D61" s="85"/>
      <c r="E61" s="24"/>
      <c r="F61" s="85"/>
      <c r="G61" s="27">
        <f t="shared" si="1"/>
        <v>0</v>
      </c>
      <c r="H61" s="30">
        <f t="shared" si="2"/>
        <v>0</v>
      </c>
      <c r="I61" s="32" t="str">
        <f t="shared" si="3"/>
        <v>#DIV/0!</v>
      </c>
      <c r="J61" s="32" t="str">
        <f t="shared" si="4"/>
        <v>#DIV/0!</v>
      </c>
      <c r="M61" s="33" t="str">
        <f t="shared" si="5"/>
        <v/>
      </c>
    </row>
    <row r="62" ht="22.5" customHeight="1">
      <c r="A62" s="24"/>
      <c r="B62" s="78"/>
      <c r="C62" s="143"/>
      <c r="D62" s="85"/>
      <c r="E62" s="24"/>
      <c r="F62" s="85"/>
      <c r="G62" s="27">
        <f t="shared" si="1"/>
        <v>0</v>
      </c>
      <c r="H62" s="30">
        <f t="shared" si="2"/>
        <v>0</v>
      </c>
      <c r="I62" s="32" t="str">
        <f t="shared" si="3"/>
        <v>#DIV/0!</v>
      </c>
      <c r="J62" s="32" t="str">
        <f t="shared" si="4"/>
        <v>#DIV/0!</v>
      </c>
      <c r="M62" s="33" t="str">
        <f t="shared" si="5"/>
        <v/>
      </c>
    </row>
    <row r="63" ht="22.5" customHeight="1">
      <c r="A63" s="24"/>
      <c r="B63" s="78"/>
      <c r="C63" s="143"/>
      <c r="D63" s="85"/>
      <c r="E63" s="24"/>
      <c r="F63" s="85"/>
      <c r="G63" s="27">
        <f t="shared" si="1"/>
        <v>0</v>
      </c>
      <c r="H63" s="30">
        <f t="shared" si="2"/>
        <v>0</v>
      </c>
      <c r="I63" s="32" t="str">
        <f t="shared" si="3"/>
        <v>#DIV/0!</v>
      </c>
      <c r="J63" s="32" t="str">
        <f t="shared" si="4"/>
        <v>#DIV/0!</v>
      </c>
      <c r="M63" s="33" t="str">
        <f t="shared" si="5"/>
        <v/>
      </c>
    </row>
    <row r="64" ht="22.5" customHeight="1">
      <c r="A64" s="24"/>
      <c r="B64" s="78"/>
      <c r="C64" s="143"/>
      <c r="D64" s="85"/>
      <c r="E64" s="24"/>
      <c r="F64" s="85"/>
      <c r="G64" s="27">
        <f t="shared" si="1"/>
        <v>0</v>
      </c>
      <c r="H64" s="30">
        <f t="shared" si="2"/>
        <v>0</v>
      </c>
      <c r="I64" s="32" t="str">
        <f t="shared" si="3"/>
        <v>#DIV/0!</v>
      </c>
      <c r="J64" s="32" t="str">
        <f t="shared" si="4"/>
        <v>#DIV/0!</v>
      </c>
      <c r="M64" s="33" t="str">
        <f t="shared" si="5"/>
        <v/>
      </c>
    </row>
    <row r="65" ht="22.5" customHeight="1">
      <c r="A65" s="24"/>
      <c r="B65" s="78"/>
      <c r="C65" s="143"/>
      <c r="D65" s="85"/>
      <c r="E65" s="24"/>
      <c r="F65" s="85"/>
      <c r="G65" s="27">
        <f t="shared" si="1"/>
        <v>0</v>
      </c>
      <c r="H65" s="30">
        <f t="shared" si="2"/>
        <v>0</v>
      </c>
      <c r="I65" s="32" t="str">
        <f t="shared" si="3"/>
        <v>#DIV/0!</v>
      </c>
      <c r="J65" s="32" t="str">
        <f t="shared" si="4"/>
        <v>#DIV/0!</v>
      </c>
      <c r="M65" s="33" t="str">
        <f t="shared" si="5"/>
        <v/>
      </c>
    </row>
    <row r="66" ht="22.5" customHeight="1">
      <c r="A66" s="24"/>
      <c r="B66" s="78"/>
      <c r="C66" s="143"/>
      <c r="D66" s="85"/>
      <c r="E66" s="24"/>
      <c r="F66" s="85"/>
      <c r="G66" s="27">
        <f t="shared" si="1"/>
        <v>0</v>
      </c>
      <c r="H66" s="30">
        <f t="shared" si="2"/>
        <v>0</v>
      </c>
      <c r="I66" s="32" t="str">
        <f t="shared" si="3"/>
        <v>#DIV/0!</v>
      </c>
      <c r="J66" s="32" t="str">
        <f t="shared" si="4"/>
        <v>#DIV/0!</v>
      </c>
      <c r="M66" s="33" t="str">
        <f t="shared" si="5"/>
        <v/>
      </c>
    </row>
    <row r="67" ht="22.5" customHeight="1">
      <c r="A67" s="24"/>
      <c r="B67" s="78"/>
      <c r="C67" s="143"/>
      <c r="D67" s="85"/>
      <c r="E67" s="24"/>
      <c r="F67" s="85"/>
      <c r="G67" s="27">
        <f t="shared" si="1"/>
        <v>0</v>
      </c>
      <c r="H67" s="30">
        <f t="shared" si="2"/>
        <v>0</v>
      </c>
      <c r="I67" s="32" t="str">
        <f t="shared" si="3"/>
        <v>#DIV/0!</v>
      </c>
      <c r="J67" s="32" t="str">
        <f t="shared" si="4"/>
        <v>#DIV/0!</v>
      </c>
      <c r="M67" s="33" t="str">
        <f t="shared" si="5"/>
        <v/>
      </c>
    </row>
    <row r="68" ht="22.5" customHeight="1">
      <c r="A68" s="24"/>
      <c r="B68" s="78"/>
      <c r="C68" s="143"/>
      <c r="D68" s="85"/>
      <c r="E68" s="24"/>
      <c r="F68" s="85"/>
      <c r="G68" s="27">
        <f t="shared" si="1"/>
        <v>0</v>
      </c>
      <c r="H68" s="30">
        <f t="shared" si="2"/>
        <v>0</v>
      </c>
      <c r="I68" s="32" t="str">
        <f t="shared" si="3"/>
        <v>#DIV/0!</v>
      </c>
      <c r="J68" s="32" t="str">
        <f t="shared" si="4"/>
        <v>#DIV/0!</v>
      </c>
      <c r="M68" s="33" t="str">
        <f t="shared" si="5"/>
        <v/>
      </c>
    </row>
    <row r="69" ht="22.5" customHeight="1">
      <c r="A69" s="24"/>
      <c r="B69" s="78"/>
      <c r="C69" s="143"/>
      <c r="D69" s="85"/>
      <c r="E69" s="24"/>
      <c r="F69" s="85"/>
      <c r="G69" s="27">
        <f t="shared" si="1"/>
        <v>0</v>
      </c>
      <c r="H69" s="30">
        <f t="shared" si="2"/>
        <v>0</v>
      </c>
      <c r="I69" s="32" t="str">
        <f t="shared" si="3"/>
        <v>#DIV/0!</v>
      </c>
      <c r="J69" s="32" t="str">
        <f t="shared" si="4"/>
        <v>#DIV/0!</v>
      </c>
      <c r="M69" s="33" t="str">
        <f t="shared" si="5"/>
        <v/>
      </c>
    </row>
    <row r="70" ht="22.5" customHeight="1">
      <c r="A70" s="24"/>
      <c r="B70" s="78"/>
      <c r="C70" s="143"/>
      <c r="D70" s="85"/>
      <c r="E70" s="24"/>
      <c r="F70" s="85"/>
      <c r="G70" s="27">
        <f t="shared" si="1"/>
        <v>0</v>
      </c>
      <c r="H70" s="30">
        <f t="shared" si="2"/>
        <v>0</v>
      </c>
      <c r="I70" s="32" t="str">
        <f t="shared" si="3"/>
        <v>#DIV/0!</v>
      </c>
      <c r="J70" s="32" t="str">
        <f t="shared" si="4"/>
        <v>#DIV/0!</v>
      </c>
      <c r="M70" s="33" t="str">
        <f t="shared" si="5"/>
        <v/>
      </c>
    </row>
    <row r="71" ht="22.5" customHeight="1">
      <c r="A71" s="24"/>
      <c r="B71" s="78"/>
      <c r="C71" s="143"/>
      <c r="D71" s="85"/>
      <c r="E71" s="24"/>
      <c r="F71" s="85"/>
      <c r="G71" s="27">
        <f t="shared" si="1"/>
        <v>0</v>
      </c>
      <c r="H71" s="30">
        <f t="shared" si="2"/>
        <v>0</v>
      </c>
      <c r="I71" s="32" t="str">
        <f t="shared" si="3"/>
        <v>#DIV/0!</v>
      </c>
      <c r="J71" s="32" t="str">
        <f t="shared" si="4"/>
        <v>#DIV/0!</v>
      </c>
      <c r="M71" s="33" t="str">
        <f t="shared" si="5"/>
        <v/>
      </c>
    </row>
    <row r="72" ht="22.5" customHeight="1">
      <c r="A72" s="24"/>
      <c r="B72" s="78"/>
      <c r="C72" s="143"/>
      <c r="D72" s="85"/>
      <c r="E72" s="24"/>
      <c r="F72" s="85"/>
      <c r="G72" s="27">
        <f t="shared" si="1"/>
        <v>0</v>
      </c>
      <c r="H72" s="30">
        <f t="shared" si="2"/>
        <v>0</v>
      </c>
      <c r="I72" s="32" t="str">
        <f t="shared" si="3"/>
        <v>#DIV/0!</v>
      </c>
      <c r="J72" s="32" t="str">
        <f t="shared" si="4"/>
        <v>#DIV/0!</v>
      </c>
      <c r="M72" s="33" t="str">
        <f t="shared" si="5"/>
        <v/>
      </c>
    </row>
    <row r="73" ht="22.5" customHeight="1">
      <c r="A73" s="24"/>
      <c r="B73" s="78"/>
      <c r="C73" s="143"/>
      <c r="D73" s="85"/>
      <c r="E73" s="24"/>
      <c r="F73" s="85"/>
      <c r="G73" s="27">
        <f t="shared" si="1"/>
        <v>0</v>
      </c>
      <c r="H73" s="30">
        <f t="shared" si="2"/>
        <v>0</v>
      </c>
      <c r="I73" s="32" t="str">
        <f t="shared" si="3"/>
        <v>#DIV/0!</v>
      </c>
      <c r="J73" s="32" t="str">
        <f t="shared" si="4"/>
        <v>#DIV/0!</v>
      </c>
      <c r="M73" s="33" t="str">
        <f t="shared" si="5"/>
        <v/>
      </c>
    </row>
    <row r="74" ht="22.5" customHeight="1">
      <c r="A74" s="24"/>
      <c r="B74" s="78"/>
      <c r="C74" s="143"/>
      <c r="D74" s="85"/>
      <c r="E74" s="24"/>
      <c r="F74" s="85"/>
      <c r="G74" s="27">
        <f t="shared" si="1"/>
        <v>0</v>
      </c>
      <c r="H74" s="30">
        <f t="shared" si="2"/>
        <v>0</v>
      </c>
      <c r="I74" s="32" t="str">
        <f t="shared" si="3"/>
        <v>#DIV/0!</v>
      </c>
      <c r="J74" s="32" t="str">
        <f t="shared" si="4"/>
        <v>#DIV/0!</v>
      </c>
      <c r="M74" s="33" t="str">
        <f t="shared" si="5"/>
        <v/>
      </c>
    </row>
    <row r="75" ht="22.5" customHeight="1">
      <c r="A75" s="24"/>
      <c r="B75" s="78"/>
      <c r="C75" s="143"/>
      <c r="D75" s="85"/>
      <c r="E75" s="24"/>
      <c r="F75" s="85"/>
      <c r="G75" s="27">
        <f t="shared" si="1"/>
        <v>0</v>
      </c>
      <c r="H75" s="30">
        <f t="shared" si="2"/>
        <v>0</v>
      </c>
      <c r="I75" s="32" t="str">
        <f t="shared" si="3"/>
        <v>#DIV/0!</v>
      </c>
      <c r="J75" s="32" t="str">
        <f t="shared" si="4"/>
        <v>#DIV/0!</v>
      </c>
      <c r="M75" s="33" t="str">
        <f t="shared" si="5"/>
        <v/>
      </c>
    </row>
    <row r="76" ht="22.5" customHeight="1">
      <c r="A76" s="24"/>
      <c r="B76" s="78"/>
      <c r="C76" s="143"/>
      <c r="D76" s="85"/>
      <c r="E76" s="24"/>
      <c r="F76" s="85"/>
      <c r="G76" s="27">
        <f t="shared" si="1"/>
        <v>0</v>
      </c>
      <c r="H76" s="30">
        <f t="shared" si="2"/>
        <v>0</v>
      </c>
      <c r="I76" s="32" t="str">
        <f t="shared" si="3"/>
        <v>#DIV/0!</v>
      </c>
      <c r="J76" s="32" t="str">
        <f t="shared" si="4"/>
        <v>#DIV/0!</v>
      </c>
      <c r="M76" s="33" t="str">
        <f t="shared" si="5"/>
        <v/>
      </c>
    </row>
    <row r="77" ht="22.5" customHeight="1">
      <c r="A77" s="24"/>
      <c r="B77" s="78"/>
      <c r="C77" s="143"/>
      <c r="D77" s="85"/>
      <c r="E77" s="24"/>
      <c r="F77" s="85"/>
      <c r="G77" s="27">
        <f t="shared" si="1"/>
        <v>0</v>
      </c>
      <c r="H77" s="30">
        <f t="shared" si="2"/>
        <v>0</v>
      </c>
      <c r="I77" s="32" t="str">
        <f t="shared" si="3"/>
        <v>#DIV/0!</v>
      </c>
      <c r="J77" s="32" t="str">
        <f t="shared" si="4"/>
        <v>#DIV/0!</v>
      </c>
      <c r="M77" s="33" t="str">
        <f t="shared" si="5"/>
        <v/>
      </c>
    </row>
    <row r="78" ht="22.5" customHeight="1">
      <c r="A78" s="24"/>
      <c r="B78" s="78"/>
      <c r="C78" s="143"/>
      <c r="D78" s="85"/>
      <c r="E78" s="24"/>
      <c r="F78" s="85"/>
      <c r="G78" s="27">
        <f t="shared" si="1"/>
        <v>0</v>
      </c>
      <c r="H78" s="30">
        <f t="shared" si="2"/>
        <v>0</v>
      </c>
      <c r="I78" s="32" t="str">
        <f t="shared" si="3"/>
        <v>#DIV/0!</v>
      </c>
      <c r="J78" s="32" t="str">
        <f t="shared" si="4"/>
        <v>#DIV/0!</v>
      </c>
      <c r="M78" s="33" t="str">
        <f t="shared" si="5"/>
        <v/>
      </c>
    </row>
    <row r="79" ht="22.5" customHeight="1">
      <c r="A79" s="24"/>
      <c r="B79" s="78"/>
      <c r="C79" s="143"/>
      <c r="D79" s="85"/>
      <c r="E79" s="24"/>
      <c r="F79" s="85"/>
      <c r="G79" s="27">
        <f t="shared" si="1"/>
        <v>0</v>
      </c>
      <c r="H79" s="30">
        <f t="shared" si="2"/>
        <v>0</v>
      </c>
      <c r="I79" s="32" t="str">
        <f t="shared" si="3"/>
        <v>#DIV/0!</v>
      </c>
      <c r="J79" s="32" t="str">
        <f t="shared" si="4"/>
        <v>#DIV/0!</v>
      </c>
      <c r="M79" s="33" t="str">
        <f t="shared" si="5"/>
        <v/>
      </c>
    </row>
    <row r="80" ht="22.5" customHeight="1">
      <c r="A80" s="24"/>
      <c r="B80" s="78"/>
      <c r="C80" s="143"/>
      <c r="D80" s="85"/>
      <c r="E80" s="24"/>
      <c r="F80" s="85"/>
      <c r="G80" s="27">
        <f t="shared" si="1"/>
        <v>0</v>
      </c>
      <c r="H80" s="30">
        <f t="shared" si="2"/>
        <v>0</v>
      </c>
      <c r="I80" s="32" t="str">
        <f t="shared" si="3"/>
        <v>#DIV/0!</v>
      </c>
      <c r="J80" s="32" t="str">
        <f t="shared" si="4"/>
        <v>#DIV/0!</v>
      </c>
      <c r="M80" s="33" t="str">
        <f t="shared" si="5"/>
        <v/>
      </c>
    </row>
    <row r="81" ht="22.5" customHeight="1">
      <c r="A81" s="24"/>
      <c r="B81" s="78"/>
      <c r="C81" s="143"/>
      <c r="D81" s="85"/>
      <c r="E81" s="24"/>
      <c r="F81" s="85"/>
      <c r="G81" s="27">
        <f t="shared" si="1"/>
        <v>0</v>
      </c>
      <c r="H81" s="30">
        <f t="shared" si="2"/>
        <v>0</v>
      </c>
      <c r="I81" s="32" t="str">
        <f t="shared" si="3"/>
        <v>#DIV/0!</v>
      </c>
      <c r="J81" s="32" t="str">
        <f t="shared" si="4"/>
        <v>#DIV/0!</v>
      </c>
      <c r="M81" s="33" t="str">
        <f t="shared" si="5"/>
        <v/>
      </c>
    </row>
    <row r="82" ht="22.5" customHeight="1">
      <c r="A82" s="24"/>
      <c r="B82" s="78"/>
      <c r="C82" s="143"/>
      <c r="D82" s="85"/>
      <c r="E82" s="24"/>
      <c r="F82" s="85"/>
      <c r="G82" s="27">
        <f t="shared" si="1"/>
        <v>0</v>
      </c>
      <c r="H82" s="30">
        <f t="shared" si="2"/>
        <v>0</v>
      </c>
      <c r="I82" s="32" t="str">
        <f t="shared" si="3"/>
        <v>#DIV/0!</v>
      </c>
      <c r="J82" s="32" t="str">
        <f t="shared" si="4"/>
        <v>#DIV/0!</v>
      </c>
      <c r="M82" s="33" t="str">
        <f t="shared" si="5"/>
        <v/>
      </c>
    </row>
    <row r="83" ht="22.5" customHeight="1">
      <c r="A83" s="24"/>
      <c r="B83" s="78"/>
      <c r="C83" s="143"/>
      <c r="D83" s="85"/>
      <c r="E83" s="24"/>
      <c r="F83" s="85"/>
      <c r="G83" s="27">
        <f t="shared" si="1"/>
        <v>0</v>
      </c>
      <c r="H83" s="30">
        <f t="shared" si="2"/>
        <v>0</v>
      </c>
      <c r="I83" s="32" t="str">
        <f t="shared" si="3"/>
        <v>#DIV/0!</v>
      </c>
      <c r="J83" s="32" t="str">
        <f t="shared" si="4"/>
        <v>#DIV/0!</v>
      </c>
      <c r="M83" s="33" t="str">
        <f t="shared" si="5"/>
        <v/>
      </c>
    </row>
    <row r="84" ht="22.5" customHeight="1">
      <c r="A84" s="24"/>
      <c r="B84" s="78"/>
      <c r="C84" s="143"/>
      <c r="D84" s="85"/>
      <c r="E84" s="24"/>
      <c r="F84" s="85"/>
      <c r="G84" s="27">
        <f t="shared" si="1"/>
        <v>0</v>
      </c>
      <c r="H84" s="30">
        <f t="shared" si="2"/>
        <v>0</v>
      </c>
      <c r="I84" s="32" t="str">
        <f t="shared" si="3"/>
        <v>#DIV/0!</v>
      </c>
      <c r="J84" s="32" t="str">
        <f t="shared" si="4"/>
        <v>#DIV/0!</v>
      </c>
      <c r="M84" s="33" t="str">
        <f t="shared" si="5"/>
        <v/>
      </c>
    </row>
    <row r="85" ht="22.5" customHeight="1">
      <c r="A85" s="24"/>
      <c r="B85" s="78"/>
      <c r="C85" s="143"/>
      <c r="D85" s="85"/>
      <c r="E85" s="24"/>
      <c r="F85" s="85"/>
      <c r="G85" s="27">
        <f t="shared" si="1"/>
        <v>0</v>
      </c>
      <c r="H85" s="30">
        <f t="shared" si="2"/>
        <v>0</v>
      </c>
      <c r="I85" s="32" t="str">
        <f t="shared" si="3"/>
        <v>#DIV/0!</v>
      </c>
      <c r="J85" s="32" t="str">
        <f t="shared" si="4"/>
        <v>#DIV/0!</v>
      </c>
      <c r="M85" s="33" t="str">
        <f t="shared" si="5"/>
        <v/>
      </c>
    </row>
    <row r="86" ht="22.5" customHeight="1">
      <c r="A86" s="24"/>
      <c r="B86" s="78"/>
      <c r="C86" s="143"/>
      <c r="D86" s="85"/>
      <c r="E86" s="24"/>
      <c r="F86" s="85"/>
      <c r="G86" s="27">
        <f t="shared" si="1"/>
        <v>0</v>
      </c>
      <c r="H86" s="30">
        <f t="shared" si="2"/>
        <v>0</v>
      </c>
      <c r="I86" s="32" t="str">
        <f t="shared" si="3"/>
        <v>#DIV/0!</v>
      </c>
      <c r="J86" s="32" t="str">
        <f t="shared" si="4"/>
        <v>#DIV/0!</v>
      </c>
      <c r="M86" s="33" t="str">
        <f t="shared" si="5"/>
        <v/>
      </c>
    </row>
    <row r="87" ht="22.5" customHeight="1">
      <c r="A87" s="24"/>
      <c r="B87" s="78"/>
      <c r="C87" s="143"/>
      <c r="D87" s="85"/>
      <c r="E87" s="24"/>
      <c r="F87" s="85"/>
      <c r="G87" s="27">
        <f t="shared" si="1"/>
        <v>0</v>
      </c>
      <c r="H87" s="30">
        <f t="shared" si="2"/>
        <v>0</v>
      </c>
      <c r="I87" s="32" t="str">
        <f t="shared" si="3"/>
        <v>#DIV/0!</v>
      </c>
      <c r="J87" s="32" t="str">
        <f t="shared" si="4"/>
        <v>#DIV/0!</v>
      </c>
      <c r="M87" s="33" t="str">
        <f t="shared" si="5"/>
        <v/>
      </c>
    </row>
    <row r="88" ht="22.5" customHeight="1">
      <c r="A88" s="24"/>
      <c r="B88" s="78"/>
      <c r="C88" s="143"/>
      <c r="D88" s="85"/>
      <c r="E88" s="24"/>
      <c r="F88" s="85"/>
      <c r="G88" s="27">
        <f t="shared" si="1"/>
        <v>0</v>
      </c>
      <c r="H88" s="30">
        <f t="shared" si="2"/>
        <v>0</v>
      </c>
      <c r="I88" s="32" t="str">
        <f t="shared" si="3"/>
        <v>#DIV/0!</v>
      </c>
      <c r="J88" s="32" t="str">
        <f t="shared" si="4"/>
        <v>#DIV/0!</v>
      </c>
      <c r="M88" s="33" t="str">
        <f t="shared" si="5"/>
        <v/>
      </c>
    </row>
    <row r="89" ht="22.5" customHeight="1">
      <c r="A89" s="24"/>
      <c r="B89" s="78"/>
      <c r="C89" s="143"/>
      <c r="D89" s="85"/>
      <c r="E89" s="24"/>
      <c r="F89" s="85"/>
      <c r="G89" s="27">
        <f t="shared" si="1"/>
        <v>0</v>
      </c>
      <c r="H89" s="30">
        <f t="shared" si="2"/>
        <v>0</v>
      </c>
      <c r="I89" s="32" t="str">
        <f t="shared" si="3"/>
        <v>#DIV/0!</v>
      </c>
      <c r="J89" s="32" t="str">
        <f t="shared" si="4"/>
        <v>#DIV/0!</v>
      </c>
      <c r="M89" s="33" t="str">
        <f t="shared" si="5"/>
        <v/>
      </c>
    </row>
    <row r="90" ht="22.5" customHeight="1">
      <c r="A90" s="24"/>
      <c r="B90" s="78"/>
      <c r="C90" s="143"/>
      <c r="D90" s="85"/>
      <c r="E90" s="24"/>
      <c r="F90" s="85"/>
      <c r="G90" s="27">
        <f t="shared" si="1"/>
        <v>0</v>
      </c>
      <c r="H90" s="30">
        <f t="shared" si="2"/>
        <v>0</v>
      </c>
      <c r="I90" s="32" t="str">
        <f t="shared" si="3"/>
        <v>#DIV/0!</v>
      </c>
      <c r="J90" s="32" t="str">
        <f t="shared" si="4"/>
        <v>#DIV/0!</v>
      </c>
      <c r="M90" s="33" t="str">
        <f t="shared" si="5"/>
        <v/>
      </c>
    </row>
    <row r="91" ht="22.5" customHeight="1">
      <c r="A91" s="24"/>
      <c r="B91" s="78"/>
      <c r="C91" s="143"/>
      <c r="D91" s="85"/>
      <c r="E91" s="24"/>
      <c r="F91" s="85"/>
      <c r="G91" s="27">
        <f t="shared" si="1"/>
        <v>0</v>
      </c>
      <c r="H91" s="30">
        <f t="shared" si="2"/>
        <v>0</v>
      </c>
      <c r="I91" s="32" t="str">
        <f t="shared" si="3"/>
        <v>#DIV/0!</v>
      </c>
      <c r="J91" s="32" t="str">
        <f t="shared" si="4"/>
        <v>#DIV/0!</v>
      </c>
      <c r="M91" s="33" t="str">
        <f t="shared" si="5"/>
        <v/>
      </c>
    </row>
    <row r="92" ht="22.5" customHeight="1">
      <c r="A92" s="24"/>
      <c r="B92" s="78"/>
      <c r="C92" s="143"/>
      <c r="D92" s="85"/>
      <c r="E92" s="24"/>
      <c r="F92" s="85"/>
      <c r="G92" s="27">
        <f t="shared" si="1"/>
        <v>0</v>
      </c>
      <c r="H92" s="30">
        <f t="shared" si="2"/>
        <v>0</v>
      </c>
      <c r="I92" s="32" t="str">
        <f t="shared" si="3"/>
        <v>#DIV/0!</v>
      </c>
      <c r="J92" s="32" t="str">
        <f t="shared" si="4"/>
        <v>#DIV/0!</v>
      </c>
      <c r="M92" s="33" t="str">
        <f t="shared" si="5"/>
        <v/>
      </c>
    </row>
    <row r="93" ht="22.5" customHeight="1">
      <c r="A93" s="24"/>
      <c r="B93" s="78"/>
      <c r="C93" s="143"/>
      <c r="D93" s="85"/>
      <c r="E93" s="24"/>
      <c r="F93" s="85"/>
      <c r="G93" s="27">
        <f t="shared" si="1"/>
        <v>0</v>
      </c>
      <c r="H93" s="30">
        <f t="shared" si="2"/>
        <v>0</v>
      </c>
      <c r="I93" s="32" t="str">
        <f t="shared" si="3"/>
        <v>#DIV/0!</v>
      </c>
      <c r="J93" s="32" t="str">
        <f t="shared" si="4"/>
        <v>#DIV/0!</v>
      </c>
      <c r="M93" s="33" t="str">
        <f t="shared" si="5"/>
        <v/>
      </c>
    </row>
    <row r="94" ht="22.5" customHeight="1">
      <c r="A94" s="24"/>
      <c r="B94" s="78"/>
      <c r="C94" s="143"/>
      <c r="D94" s="85"/>
      <c r="E94" s="24"/>
      <c r="F94" s="85"/>
      <c r="G94" s="27">
        <f t="shared" si="1"/>
        <v>0</v>
      </c>
      <c r="H94" s="30">
        <f t="shared" si="2"/>
        <v>0</v>
      </c>
      <c r="I94" s="32" t="str">
        <f t="shared" si="3"/>
        <v>#DIV/0!</v>
      </c>
      <c r="J94" s="32" t="str">
        <f t="shared" si="4"/>
        <v>#DIV/0!</v>
      </c>
      <c r="M94" s="33" t="str">
        <f t="shared" si="5"/>
        <v/>
      </c>
    </row>
    <row r="95" ht="22.5" customHeight="1">
      <c r="A95" s="24"/>
      <c r="B95" s="78"/>
      <c r="C95" s="143"/>
      <c r="D95" s="85"/>
      <c r="E95" s="24"/>
      <c r="F95" s="85"/>
      <c r="G95" s="27">
        <f t="shared" si="1"/>
        <v>0</v>
      </c>
      <c r="H95" s="30">
        <f t="shared" si="2"/>
        <v>0</v>
      </c>
      <c r="I95" s="32" t="str">
        <f t="shared" si="3"/>
        <v>#DIV/0!</v>
      </c>
      <c r="J95" s="32" t="str">
        <f t="shared" si="4"/>
        <v>#DIV/0!</v>
      </c>
      <c r="M95" s="33" t="str">
        <f t="shared" si="5"/>
        <v/>
      </c>
    </row>
    <row r="96" ht="22.5" customHeight="1">
      <c r="A96" s="24"/>
      <c r="B96" s="78"/>
      <c r="C96" s="143"/>
      <c r="D96" s="85"/>
      <c r="E96" s="24"/>
      <c r="F96" s="85"/>
      <c r="G96" s="27">
        <f t="shared" si="1"/>
        <v>0</v>
      </c>
      <c r="H96" s="30">
        <f t="shared" si="2"/>
        <v>0</v>
      </c>
      <c r="I96" s="32" t="str">
        <f t="shared" si="3"/>
        <v>#DIV/0!</v>
      </c>
      <c r="J96" s="32" t="str">
        <f t="shared" si="4"/>
        <v>#DIV/0!</v>
      </c>
      <c r="M96" s="33" t="str">
        <f t="shared" si="5"/>
        <v/>
      </c>
    </row>
    <row r="97" ht="22.5" customHeight="1">
      <c r="A97" s="24"/>
      <c r="B97" s="78"/>
      <c r="C97" s="143"/>
      <c r="D97" s="85"/>
      <c r="E97" s="24"/>
      <c r="F97" s="85"/>
      <c r="G97" s="27">
        <f t="shared" si="1"/>
        <v>0</v>
      </c>
      <c r="H97" s="30">
        <f t="shared" si="2"/>
        <v>0</v>
      </c>
      <c r="I97" s="32" t="str">
        <f t="shared" si="3"/>
        <v>#DIV/0!</v>
      </c>
      <c r="J97" s="32" t="str">
        <f t="shared" si="4"/>
        <v>#DIV/0!</v>
      </c>
      <c r="M97" s="33" t="str">
        <f t="shared" si="5"/>
        <v/>
      </c>
    </row>
    <row r="98" ht="22.5" customHeight="1">
      <c r="A98" s="24"/>
      <c r="B98" s="78"/>
      <c r="C98" s="143"/>
      <c r="D98" s="85"/>
      <c r="E98" s="24"/>
      <c r="F98" s="85"/>
      <c r="G98" s="27">
        <f t="shared" si="1"/>
        <v>0</v>
      </c>
      <c r="H98" s="30">
        <f t="shared" si="2"/>
        <v>0</v>
      </c>
      <c r="I98" s="32" t="str">
        <f t="shared" si="3"/>
        <v>#DIV/0!</v>
      </c>
      <c r="J98" s="32" t="str">
        <f t="shared" si="4"/>
        <v>#DIV/0!</v>
      </c>
      <c r="M98" s="33" t="str">
        <f t="shared" si="5"/>
        <v/>
      </c>
    </row>
    <row r="99" ht="22.5" customHeight="1">
      <c r="A99" s="24"/>
      <c r="B99" s="78"/>
      <c r="C99" s="143"/>
      <c r="D99" s="85"/>
      <c r="E99" s="24"/>
      <c r="F99" s="85"/>
      <c r="G99" s="27">
        <f t="shared" si="1"/>
        <v>0</v>
      </c>
      <c r="H99" s="30">
        <f t="shared" si="2"/>
        <v>0</v>
      </c>
      <c r="I99" s="32" t="str">
        <f t="shared" si="3"/>
        <v>#DIV/0!</v>
      </c>
      <c r="J99" s="32" t="str">
        <f t="shared" si="4"/>
        <v>#DIV/0!</v>
      </c>
      <c r="M99" s="33" t="str">
        <f t="shared" si="5"/>
        <v/>
      </c>
    </row>
    <row r="100" ht="22.5" customHeight="1">
      <c r="A100" s="24"/>
      <c r="B100" s="78"/>
      <c r="C100" s="143"/>
      <c r="D100" s="85"/>
      <c r="E100" s="24"/>
      <c r="F100" s="85"/>
      <c r="G100" s="27">
        <f t="shared" si="1"/>
        <v>0</v>
      </c>
      <c r="H100" s="30">
        <f t="shared" si="2"/>
        <v>0</v>
      </c>
      <c r="I100" s="32" t="str">
        <f t="shared" si="3"/>
        <v>#DIV/0!</v>
      </c>
      <c r="J100" s="32" t="str">
        <f t="shared" si="4"/>
        <v>#DIV/0!</v>
      </c>
      <c r="M100" s="33" t="str">
        <f t="shared" si="5"/>
        <v/>
      </c>
    </row>
    <row r="101" ht="22.5" customHeight="1">
      <c r="A101" s="24"/>
      <c r="B101" s="78"/>
      <c r="C101" s="143"/>
      <c r="D101" s="85"/>
      <c r="E101" s="24"/>
      <c r="F101" s="85"/>
      <c r="G101" s="27">
        <f t="shared" si="1"/>
        <v>0</v>
      </c>
      <c r="H101" s="30">
        <f t="shared" si="2"/>
        <v>0</v>
      </c>
      <c r="I101" s="32" t="str">
        <f t="shared" si="3"/>
        <v>#DIV/0!</v>
      </c>
      <c r="J101" s="32" t="str">
        <f t="shared" si="4"/>
        <v>#DIV/0!</v>
      </c>
      <c r="M101" s="33" t="str">
        <f t="shared" si="5"/>
        <v/>
      </c>
    </row>
    <row r="102" ht="22.5" customHeight="1">
      <c r="A102" s="24"/>
      <c r="B102" s="78"/>
      <c r="C102" s="143"/>
      <c r="D102" s="85"/>
      <c r="E102" s="24"/>
      <c r="F102" s="85"/>
      <c r="G102" s="27">
        <f t="shared" si="1"/>
        <v>0</v>
      </c>
      <c r="H102" s="30">
        <f t="shared" si="2"/>
        <v>0</v>
      </c>
      <c r="I102" s="32" t="str">
        <f t="shared" si="3"/>
        <v>#DIV/0!</v>
      </c>
      <c r="J102" s="32" t="str">
        <f t="shared" si="4"/>
        <v>#DIV/0!</v>
      </c>
      <c r="M102" s="33" t="str">
        <f t="shared" si="5"/>
        <v/>
      </c>
    </row>
    <row r="103" ht="22.5" customHeight="1">
      <c r="A103" s="24"/>
      <c r="B103" s="78"/>
      <c r="C103" s="143"/>
      <c r="D103" s="85"/>
      <c r="E103" s="24"/>
      <c r="F103" s="85"/>
      <c r="G103" s="27">
        <f t="shared" si="1"/>
        <v>0</v>
      </c>
      <c r="H103" s="30">
        <f t="shared" si="2"/>
        <v>0</v>
      </c>
      <c r="I103" s="32" t="str">
        <f t="shared" si="3"/>
        <v>#DIV/0!</v>
      </c>
      <c r="J103" s="32" t="str">
        <f t="shared" si="4"/>
        <v>#DIV/0!</v>
      </c>
      <c r="M103" s="33" t="str">
        <f t="shared" si="5"/>
        <v/>
      </c>
    </row>
    <row r="104" ht="22.5" customHeight="1">
      <c r="A104" s="24"/>
      <c r="B104" s="78"/>
      <c r="C104" s="143"/>
      <c r="D104" s="85"/>
      <c r="E104" s="24"/>
      <c r="F104" s="85"/>
      <c r="G104" s="27">
        <f t="shared" si="1"/>
        <v>0</v>
      </c>
      <c r="H104" s="30">
        <f t="shared" si="2"/>
        <v>0</v>
      </c>
      <c r="I104" s="32" t="str">
        <f t="shared" si="3"/>
        <v>#DIV/0!</v>
      </c>
      <c r="J104" s="32" t="str">
        <f t="shared" si="4"/>
        <v>#DIV/0!</v>
      </c>
      <c r="M104" s="33" t="str">
        <f t="shared" si="5"/>
        <v/>
      </c>
    </row>
    <row r="105" ht="22.5" customHeight="1">
      <c r="A105" s="24"/>
      <c r="B105" s="78"/>
      <c r="C105" s="143"/>
      <c r="D105" s="85"/>
      <c r="E105" s="24"/>
      <c r="F105" s="85"/>
      <c r="G105" s="27">
        <f t="shared" si="1"/>
        <v>0</v>
      </c>
      <c r="H105" s="30">
        <f t="shared" si="2"/>
        <v>0</v>
      </c>
      <c r="I105" s="32" t="str">
        <f t="shared" si="3"/>
        <v>#DIV/0!</v>
      </c>
      <c r="J105" s="32" t="str">
        <f t="shared" si="4"/>
        <v>#DIV/0!</v>
      </c>
      <c r="M105" s="33" t="str">
        <f t="shared" si="5"/>
        <v/>
      </c>
    </row>
    <row r="106" ht="22.5" customHeight="1">
      <c r="A106" s="24"/>
      <c r="B106" s="78"/>
      <c r="C106" s="143"/>
      <c r="D106" s="85"/>
      <c r="E106" s="24"/>
      <c r="F106" s="85"/>
      <c r="G106" s="27">
        <f t="shared" si="1"/>
        <v>0</v>
      </c>
      <c r="H106" s="30">
        <f t="shared" si="2"/>
        <v>0</v>
      </c>
      <c r="I106" s="32" t="str">
        <f t="shared" si="3"/>
        <v>#DIV/0!</v>
      </c>
      <c r="J106" s="32" t="str">
        <f t="shared" si="4"/>
        <v>#DIV/0!</v>
      </c>
      <c r="M106" s="33" t="str">
        <f t="shared" si="5"/>
        <v/>
      </c>
    </row>
    <row r="107" ht="22.5" customHeight="1">
      <c r="A107" s="24"/>
      <c r="B107" s="78"/>
      <c r="C107" s="143"/>
      <c r="D107" s="85"/>
      <c r="E107" s="24"/>
      <c r="F107" s="85"/>
      <c r="G107" s="27">
        <f t="shared" si="1"/>
        <v>0</v>
      </c>
      <c r="H107" s="30">
        <f t="shared" si="2"/>
        <v>0</v>
      </c>
      <c r="I107" s="32" t="str">
        <f t="shared" si="3"/>
        <v>#DIV/0!</v>
      </c>
      <c r="J107" s="32" t="str">
        <f t="shared" si="4"/>
        <v>#DIV/0!</v>
      </c>
      <c r="M107" s="33" t="str">
        <f t="shared" si="5"/>
        <v/>
      </c>
    </row>
    <row r="108" ht="22.5" customHeight="1">
      <c r="A108" s="24"/>
      <c r="B108" s="78"/>
      <c r="C108" s="143"/>
      <c r="D108" s="85"/>
      <c r="E108" s="24"/>
      <c r="F108" s="85"/>
      <c r="G108" s="27">
        <f t="shared" si="1"/>
        <v>0</v>
      </c>
      <c r="H108" s="30">
        <f t="shared" si="2"/>
        <v>0</v>
      </c>
      <c r="I108" s="32" t="str">
        <f t="shared" si="3"/>
        <v>#DIV/0!</v>
      </c>
      <c r="J108" s="32" t="str">
        <f t="shared" si="4"/>
        <v>#DIV/0!</v>
      </c>
      <c r="M108" s="33" t="str">
        <f t="shared" si="5"/>
        <v/>
      </c>
    </row>
    <row r="109" ht="22.5" customHeight="1">
      <c r="A109" s="24"/>
      <c r="B109" s="78"/>
      <c r="C109" s="143"/>
      <c r="D109" s="85"/>
      <c r="E109" s="24"/>
      <c r="F109" s="85"/>
      <c r="G109" s="27">
        <f t="shared" si="1"/>
        <v>0</v>
      </c>
      <c r="H109" s="30">
        <f t="shared" si="2"/>
        <v>0</v>
      </c>
      <c r="I109" s="32" t="str">
        <f t="shared" si="3"/>
        <v>#DIV/0!</v>
      </c>
      <c r="J109" s="32" t="str">
        <f t="shared" si="4"/>
        <v>#DIV/0!</v>
      </c>
      <c r="M109" s="33" t="str">
        <f t="shared" si="5"/>
        <v/>
      </c>
    </row>
    <row r="110" ht="22.5" customHeight="1">
      <c r="A110" s="24"/>
      <c r="B110" s="78"/>
      <c r="C110" s="143"/>
      <c r="D110" s="85"/>
      <c r="E110" s="24"/>
      <c r="F110" s="85"/>
      <c r="G110" s="27">
        <f t="shared" si="1"/>
        <v>0</v>
      </c>
      <c r="H110" s="30">
        <f t="shared" si="2"/>
        <v>0</v>
      </c>
      <c r="I110" s="32" t="str">
        <f t="shared" si="3"/>
        <v>#DIV/0!</v>
      </c>
      <c r="J110" s="32" t="str">
        <f t="shared" si="4"/>
        <v>#DIV/0!</v>
      </c>
      <c r="M110" s="33" t="str">
        <f t="shared" si="5"/>
        <v/>
      </c>
    </row>
    <row r="111" ht="22.5" customHeight="1">
      <c r="A111" s="24"/>
      <c r="B111" s="78"/>
      <c r="C111" s="143"/>
      <c r="D111" s="85"/>
      <c r="E111" s="24"/>
      <c r="F111" s="85"/>
      <c r="G111" s="27">
        <f t="shared" si="1"/>
        <v>0</v>
      </c>
      <c r="H111" s="30">
        <f t="shared" si="2"/>
        <v>0</v>
      </c>
      <c r="I111" s="32" t="str">
        <f t="shared" si="3"/>
        <v>#DIV/0!</v>
      </c>
      <c r="J111" s="32" t="str">
        <f t="shared" si="4"/>
        <v>#DIV/0!</v>
      </c>
      <c r="M111" s="33" t="str">
        <f t="shared" si="5"/>
        <v/>
      </c>
    </row>
    <row r="112" ht="22.5" customHeight="1">
      <c r="A112" s="24"/>
      <c r="B112" s="78"/>
      <c r="C112" s="143"/>
      <c r="D112" s="85"/>
      <c r="E112" s="24"/>
      <c r="F112" s="85"/>
      <c r="G112" s="27">
        <f t="shared" si="1"/>
        <v>0</v>
      </c>
      <c r="H112" s="30">
        <f t="shared" si="2"/>
        <v>0</v>
      </c>
      <c r="I112" s="32" t="str">
        <f t="shared" si="3"/>
        <v>#DIV/0!</v>
      </c>
      <c r="J112" s="32" t="str">
        <f t="shared" si="4"/>
        <v>#DIV/0!</v>
      </c>
      <c r="M112" s="33" t="str">
        <f t="shared" si="5"/>
        <v/>
      </c>
    </row>
    <row r="113" ht="22.5" customHeight="1">
      <c r="A113" s="24"/>
      <c r="B113" s="78"/>
      <c r="C113" s="143"/>
      <c r="D113" s="85"/>
      <c r="E113" s="24"/>
      <c r="F113" s="85"/>
      <c r="G113" s="27">
        <f t="shared" si="1"/>
        <v>0</v>
      </c>
      <c r="H113" s="30">
        <f t="shared" si="2"/>
        <v>0</v>
      </c>
      <c r="I113" s="32" t="str">
        <f t="shared" si="3"/>
        <v>#DIV/0!</v>
      </c>
      <c r="J113" s="32" t="str">
        <f t="shared" si="4"/>
        <v>#DIV/0!</v>
      </c>
      <c r="M113" s="33" t="str">
        <f t="shared" si="5"/>
        <v/>
      </c>
    </row>
    <row r="114" ht="22.5" customHeight="1">
      <c r="A114" s="24"/>
      <c r="B114" s="78"/>
      <c r="C114" s="143"/>
      <c r="D114" s="85"/>
      <c r="E114" s="24"/>
      <c r="F114" s="85"/>
      <c r="G114" s="27">
        <f t="shared" si="1"/>
        <v>0</v>
      </c>
      <c r="H114" s="30">
        <f t="shared" si="2"/>
        <v>0</v>
      </c>
      <c r="I114" s="32" t="str">
        <f t="shared" si="3"/>
        <v>#DIV/0!</v>
      </c>
      <c r="J114" s="32" t="str">
        <f t="shared" si="4"/>
        <v>#DIV/0!</v>
      </c>
      <c r="M114" s="33" t="str">
        <f t="shared" si="5"/>
        <v/>
      </c>
    </row>
    <row r="115" ht="22.5" customHeight="1">
      <c r="A115" s="24"/>
      <c r="B115" s="78"/>
      <c r="C115" s="143"/>
      <c r="D115" s="85"/>
      <c r="E115" s="24"/>
      <c r="F115" s="85"/>
      <c r="G115" s="27">
        <f t="shared" si="1"/>
        <v>0</v>
      </c>
      <c r="H115" s="30">
        <f t="shared" si="2"/>
        <v>0</v>
      </c>
      <c r="I115" s="32" t="str">
        <f t="shared" si="3"/>
        <v>#DIV/0!</v>
      </c>
      <c r="J115" s="32" t="str">
        <f t="shared" si="4"/>
        <v>#DIV/0!</v>
      </c>
      <c r="M115" s="33" t="str">
        <f t="shared" si="5"/>
        <v/>
      </c>
    </row>
    <row r="116" ht="22.5" customHeight="1">
      <c r="A116" s="24"/>
      <c r="B116" s="78"/>
      <c r="C116" s="143"/>
      <c r="D116" s="85"/>
      <c r="E116" s="24"/>
      <c r="F116" s="85"/>
      <c r="G116" s="27">
        <f t="shared" si="1"/>
        <v>0</v>
      </c>
      <c r="H116" s="30">
        <f t="shared" si="2"/>
        <v>0</v>
      </c>
      <c r="I116" s="32" t="str">
        <f t="shared" si="3"/>
        <v>#DIV/0!</v>
      </c>
      <c r="J116" s="32" t="str">
        <f t="shared" si="4"/>
        <v>#DIV/0!</v>
      </c>
      <c r="M116" s="33" t="str">
        <f t="shared" si="5"/>
        <v/>
      </c>
    </row>
    <row r="117" ht="22.5" customHeight="1">
      <c r="A117" s="24"/>
      <c r="B117" s="78"/>
      <c r="C117" s="143"/>
      <c r="D117" s="85"/>
      <c r="E117" s="24"/>
      <c r="F117" s="85"/>
      <c r="G117" s="27">
        <f t="shared" si="1"/>
        <v>0</v>
      </c>
      <c r="H117" s="30">
        <f t="shared" si="2"/>
        <v>0</v>
      </c>
      <c r="I117" s="32" t="str">
        <f t="shared" si="3"/>
        <v>#DIV/0!</v>
      </c>
      <c r="J117" s="32" t="str">
        <f t="shared" si="4"/>
        <v>#DIV/0!</v>
      </c>
      <c r="M117" s="33" t="str">
        <f t="shared" si="5"/>
        <v/>
      </c>
    </row>
    <row r="118" ht="22.5" customHeight="1">
      <c r="A118" s="24"/>
      <c r="B118" s="78"/>
      <c r="C118" s="143"/>
      <c r="D118" s="85"/>
      <c r="E118" s="24"/>
      <c r="F118" s="85"/>
      <c r="G118" s="27">
        <f t="shared" si="1"/>
        <v>0</v>
      </c>
      <c r="H118" s="30">
        <f t="shared" si="2"/>
        <v>0</v>
      </c>
      <c r="I118" s="32" t="str">
        <f t="shared" si="3"/>
        <v>#DIV/0!</v>
      </c>
      <c r="J118" s="32" t="str">
        <f t="shared" si="4"/>
        <v>#DIV/0!</v>
      </c>
      <c r="M118" s="33" t="str">
        <f t="shared" si="5"/>
        <v/>
      </c>
    </row>
    <row r="119" ht="22.5" customHeight="1">
      <c r="A119" s="24"/>
      <c r="B119" s="78"/>
      <c r="C119" s="143"/>
      <c r="D119" s="85"/>
      <c r="E119" s="24"/>
      <c r="F119" s="85"/>
      <c r="G119" s="27">
        <f t="shared" si="1"/>
        <v>0</v>
      </c>
      <c r="H119" s="30">
        <f t="shared" si="2"/>
        <v>0</v>
      </c>
      <c r="I119" s="32" t="str">
        <f t="shared" si="3"/>
        <v>#DIV/0!</v>
      </c>
      <c r="J119" s="32" t="str">
        <f t="shared" si="4"/>
        <v>#DIV/0!</v>
      </c>
      <c r="M119" s="33" t="str">
        <f t="shared" si="5"/>
        <v/>
      </c>
    </row>
    <row r="120" ht="22.5" customHeight="1">
      <c r="A120" s="24"/>
      <c r="B120" s="78"/>
      <c r="C120" s="143"/>
      <c r="D120" s="85"/>
      <c r="E120" s="24"/>
      <c r="F120" s="85"/>
      <c r="G120" s="27">
        <f t="shared" si="1"/>
        <v>0</v>
      </c>
      <c r="H120" s="30">
        <f t="shared" si="2"/>
        <v>0</v>
      </c>
      <c r="I120" s="32" t="str">
        <f t="shared" si="3"/>
        <v>#DIV/0!</v>
      </c>
      <c r="J120" s="32" t="str">
        <f t="shared" si="4"/>
        <v>#DIV/0!</v>
      </c>
      <c r="M120" s="33" t="str">
        <f t="shared" si="5"/>
        <v/>
      </c>
    </row>
    <row r="121" ht="22.5" customHeight="1">
      <c r="A121" s="24"/>
      <c r="B121" s="78"/>
      <c r="C121" s="143"/>
      <c r="D121" s="85"/>
      <c r="E121" s="24"/>
      <c r="F121" s="85"/>
      <c r="G121" s="27">
        <f t="shared" si="1"/>
        <v>0</v>
      </c>
      <c r="H121" s="30">
        <f t="shared" si="2"/>
        <v>0</v>
      </c>
      <c r="I121" s="32" t="str">
        <f t="shared" si="3"/>
        <v>#DIV/0!</v>
      </c>
      <c r="J121" s="32" t="str">
        <f t="shared" si="4"/>
        <v>#DIV/0!</v>
      </c>
      <c r="M121" s="33" t="str">
        <f t="shared" si="5"/>
        <v/>
      </c>
    </row>
    <row r="122" ht="22.5" customHeight="1">
      <c r="A122" s="24"/>
      <c r="B122" s="78"/>
      <c r="C122" s="143"/>
      <c r="D122" s="85"/>
      <c r="E122" s="24"/>
      <c r="F122" s="85"/>
      <c r="G122" s="27">
        <f t="shared" si="1"/>
        <v>0</v>
      </c>
      <c r="H122" s="30">
        <f t="shared" si="2"/>
        <v>0</v>
      </c>
      <c r="I122" s="32" t="str">
        <f t="shared" si="3"/>
        <v>#DIV/0!</v>
      </c>
      <c r="J122" s="32" t="str">
        <f t="shared" si="4"/>
        <v>#DIV/0!</v>
      </c>
      <c r="M122" s="33" t="str">
        <f t="shared" si="5"/>
        <v/>
      </c>
    </row>
    <row r="123" ht="22.5" customHeight="1">
      <c r="A123" s="24"/>
      <c r="B123" s="78"/>
      <c r="C123" s="143"/>
      <c r="D123" s="85"/>
      <c r="E123" s="24"/>
      <c r="F123" s="85"/>
      <c r="G123" s="27">
        <f t="shared" si="1"/>
        <v>0</v>
      </c>
      <c r="H123" s="30">
        <f t="shared" si="2"/>
        <v>0</v>
      </c>
      <c r="I123" s="32" t="str">
        <f t="shared" si="3"/>
        <v>#DIV/0!</v>
      </c>
      <c r="J123" s="32" t="str">
        <f t="shared" si="4"/>
        <v>#DIV/0!</v>
      </c>
      <c r="M123" s="33" t="str">
        <f t="shared" si="5"/>
        <v/>
      </c>
    </row>
    <row r="124" ht="22.5" customHeight="1">
      <c r="A124" s="24"/>
      <c r="B124" s="78"/>
      <c r="C124" s="143"/>
      <c r="D124" s="85"/>
      <c r="E124" s="24"/>
      <c r="F124" s="85"/>
      <c r="G124" s="27">
        <f t="shared" si="1"/>
        <v>0</v>
      </c>
      <c r="H124" s="30">
        <f t="shared" si="2"/>
        <v>0</v>
      </c>
      <c r="I124" s="32" t="str">
        <f t="shared" si="3"/>
        <v>#DIV/0!</v>
      </c>
      <c r="J124" s="32" t="str">
        <f t="shared" si="4"/>
        <v>#DIV/0!</v>
      </c>
      <c r="M124" s="33" t="str">
        <f t="shared" si="5"/>
        <v/>
      </c>
    </row>
    <row r="125" ht="22.5" customHeight="1">
      <c r="A125" s="24"/>
      <c r="B125" s="78"/>
      <c r="C125" s="143"/>
      <c r="D125" s="85"/>
      <c r="E125" s="24"/>
      <c r="F125" s="85"/>
      <c r="G125" s="27">
        <f t="shared" si="1"/>
        <v>0</v>
      </c>
      <c r="H125" s="30">
        <f t="shared" si="2"/>
        <v>0</v>
      </c>
      <c r="I125" s="32" t="str">
        <f t="shared" si="3"/>
        <v>#DIV/0!</v>
      </c>
      <c r="J125" s="32" t="str">
        <f t="shared" si="4"/>
        <v>#DIV/0!</v>
      </c>
      <c r="M125" s="33" t="str">
        <f t="shared" si="5"/>
        <v/>
      </c>
    </row>
    <row r="126" ht="22.5" customHeight="1">
      <c r="A126" s="24"/>
      <c r="B126" s="78"/>
      <c r="C126" s="143"/>
      <c r="D126" s="85"/>
      <c r="E126" s="24"/>
      <c r="F126" s="85"/>
      <c r="G126" s="27">
        <f t="shared" si="1"/>
        <v>0</v>
      </c>
      <c r="H126" s="30">
        <f t="shared" si="2"/>
        <v>0</v>
      </c>
      <c r="I126" s="32" t="str">
        <f t="shared" si="3"/>
        <v>#DIV/0!</v>
      </c>
      <c r="J126" s="32" t="str">
        <f t="shared" si="4"/>
        <v>#DIV/0!</v>
      </c>
      <c r="M126" s="33" t="str">
        <f t="shared" si="5"/>
        <v/>
      </c>
    </row>
    <row r="127" ht="22.5" customHeight="1">
      <c r="A127" s="24"/>
      <c r="B127" s="78"/>
      <c r="C127" s="143"/>
      <c r="D127" s="85"/>
      <c r="E127" s="24"/>
      <c r="F127" s="85"/>
      <c r="G127" s="27">
        <f t="shared" si="1"/>
        <v>0</v>
      </c>
      <c r="H127" s="30">
        <f t="shared" si="2"/>
        <v>0</v>
      </c>
      <c r="I127" s="32" t="str">
        <f t="shared" si="3"/>
        <v>#DIV/0!</v>
      </c>
      <c r="J127" s="32" t="str">
        <f t="shared" si="4"/>
        <v>#DIV/0!</v>
      </c>
      <c r="M127" s="33" t="str">
        <f t="shared" si="5"/>
        <v/>
      </c>
    </row>
    <row r="128" ht="22.5" customHeight="1">
      <c r="A128" s="24"/>
      <c r="B128" s="78"/>
      <c r="C128" s="143"/>
      <c r="D128" s="85"/>
      <c r="E128" s="24"/>
      <c r="F128" s="85"/>
      <c r="G128" s="27">
        <f t="shared" si="1"/>
        <v>0</v>
      </c>
      <c r="H128" s="30">
        <f t="shared" si="2"/>
        <v>0</v>
      </c>
      <c r="I128" s="32" t="str">
        <f t="shared" si="3"/>
        <v>#DIV/0!</v>
      </c>
      <c r="J128" s="32" t="str">
        <f t="shared" si="4"/>
        <v>#DIV/0!</v>
      </c>
      <c r="M128" s="33" t="str">
        <f t="shared" si="5"/>
        <v/>
      </c>
    </row>
    <row r="129" ht="22.5" customHeight="1">
      <c r="A129" s="24"/>
      <c r="B129" s="78"/>
      <c r="C129" s="143"/>
      <c r="D129" s="85"/>
      <c r="E129" s="24"/>
      <c r="F129" s="85"/>
      <c r="G129" s="27">
        <f t="shared" si="1"/>
        <v>0</v>
      </c>
      <c r="H129" s="30">
        <f t="shared" si="2"/>
        <v>0</v>
      </c>
      <c r="I129" s="32" t="str">
        <f t="shared" si="3"/>
        <v>#DIV/0!</v>
      </c>
      <c r="J129" s="32" t="str">
        <f t="shared" si="4"/>
        <v>#DIV/0!</v>
      </c>
      <c r="M129" s="33" t="str">
        <f t="shared" si="5"/>
        <v/>
      </c>
    </row>
    <row r="130" ht="22.5" customHeight="1">
      <c r="A130" s="24"/>
      <c r="B130" s="78"/>
      <c r="C130" s="143"/>
      <c r="D130" s="85"/>
      <c r="E130" s="24"/>
      <c r="F130" s="85"/>
      <c r="G130" s="27">
        <f t="shared" si="1"/>
        <v>0</v>
      </c>
      <c r="H130" s="30">
        <f t="shared" si="2"/>
        <v>0</v>
      </c>
      <c r="I130" s="32" t="str">
        <f t="shared" si="3"/>
        <v>#DIV/0!</v>
      </c>
      <c r="J130" s="32" t="str">
        <f t="shared" si="4"/>
        <v>#DIV/0!</v>
      </c>
      <c r="M130" s="33" t="str">
        <f t="shared" si="5"/>
        <v/>
      </c>
    </row>
    <row r="131" ht="22.5" customHeight="1">
      <c r="A131" s="24"/>
      <c r="B131" s="78"/>
      <c r="C131" s="143"/>
      <c r="D131" s="85"/>
      <c r="E131" s="24"/>
      <c r="F131" s="85"/>
      <c r="G131" s="27">
        <f t="shared" si="1"/>
        <v>0</v>
      </c>
      <c r="H131" s="30">
        <f t="shared" si="2"/>
        <v>0</v>
      </c>
      <c r="I131" s="32" t="str">
        <f t="shared" si="3"/>
        <v>#DIV/0!</v>
      </c>
      <c r="J131" s="32" t="str">
        <f t="shared" si="4"/>
        <v>#DIV/0!</v>
      </c>
      <c r="M131" s="33" t="str">
        <f t="shared" si="5"/>
        <v/>
      </c>
    </row>
    <row r="132" ht="22.5" customHeight="1">
      <c r="A132" s="24"/>
      <c r="B132" s="78"/>
      <c r="C132" s="143"/>
      <c r="D132" s="85"/>
      <c r="E132" s="24"/>
      <c r="F132" s="85"/>
      <c r="G132" s="27">
        <f t="shared" si="1"/>
        <v>0</v>
      </c>
      <c r="H132" s="30">
        <f t="shared" si="2"/>
        <v>0</v>
      </c>
      <c r="I132" s="32" t="str">
        <f t="shared" si="3"/>
        <v>#DIV/0!</v>
      </c>
      <c r="J132" s="32" t="str">
        <f t="shared" si="4"/>
        <v>#DIV/0!</v>
      </c>
      <c r="M132" s="33" t="str">
        <f t="shared" si="5"/>
        <v/>
      </c>
    </row>
    <row r="133" ht="22.5" customHeight="1">
      <c r="A133" s="24"/>
      <c r="B133" s="78"/>
      <c r="C133" s="143"/>
      <c r="D133" s="85"/>
      <c r="E133" s="24"/>
      <c r="F133" s="85"/>
      <c r="G133" s="27">
        <f t="shared" si="1"/>
        <v>0</v>
      </c>
      <c r="H133" s="30">
        <f t="shared" si="2"/>
        <v>0</v>
      </c>
      <c r="I133" s="32" t="str">
        <f t="shared" si="3"/>
        <v>#DIV/0!</v>
      </c>
      <c r="J133" s="32" t="str">
        <f t="shared" si="4"/>
        <v>#DIV/0!</v>
      </c>
      <c r="M133" s="33" t="str">
        <f t="shared" si="5"/>
        <v/>
      </c>
    </row>
    <row r="134" ht="22.5" customHeight="1">
      <c r="A134" s="24"/>
      <c r="B134" s="78"/>
      <c r="C134" s="143"/>
      <c r="D134" s="85"/>
      <c r="E134" s="24"/>
      <c r="F134" s="85"/>
      <c r="G134" s="27">
        <f t="shared" si="1"/>
        <v>0</v>
      </c>
      <c r="H134" s="30">
        <f t="shared" si="2"/>
        <v>0</v>
      </c>
      <c r="I134" s="32" t="str">
        <f t="shared" si="3"/>
        <v>#DIV/0!</v>
      </c>
      <c r="J134" s="32" t="str">
        <f t="shared" si="4"/>
        <v>#DIV/0!</v>
      </c>
      <c r="M134" s="33" t="str">
        <f t="shared" si="5"/>
        <v/>
      </c>
    </row>
    <row r="135" ht="22.5" customHeight="1">
      <c r="A135" s="24"/>
      <c r="B135" s="78"/>
      <c r="C135" s="143"/>
      <c r="D135" s="85"/>
      <c r="E135" s="24"/>
      <c r="F135" s="85"/>
      <c r="G135" s="27">
        <f t="shared" si="1"/>
        <v>0</v>
      </c>
      <c r="H135" s="30">
        <f t="shared" si="2"/>
        <v>0</v>
      </c>
      <c r="I135" s="32" t="str">
        <f t="shared" si="3"/>
        <v>#DIV/0!</v>
      </c>
      <c r="J135" s="32" t="str">
        <f t="shared" si="4"/>
        <v>#DIV/0!</v>
      </c>
      <c r="M135" s="33" t="str">
        <f t="shared" si="5"/>
        <v/>
      </c>
    </row>
    <row r="136" ht="22.5" customHeight="1">
      <c r="A136" s="24"/>
      <c r="B136" s="78"/>
      <c r="C136" s="143"/>
      <c r="D136" s="85"/>
      <c r="E136" s="24"/>
      <c r="F136" s="85"/>
      <c r="G136" s="27">
        <f t="shared" si="1"/>
        <v>0</v>
      </c>
      <c r="H136" s="30">
        <f t="shared" si="2"/>
        <v>0</v>
      </c>
      <c r="I136" s="32" t="str">
        <f t="shared" si="3"/>
        <v>#DIV/0!</v>
      </c>
      <c r="J136" s="32" t="str">
        <f t="shared" si="4"/>
        <v>#DIV/0!</v>
      </c>
      <c r="M136" s="33" t="str">
        <f t="shared" si="5"/>
        <v/>
      </c>
    </row>
    <row r="137" ht="22.5" customHeight="1">
      <c r="A137" s="24"/>
      <c r="B137" s="78"/>
      <c r="C137" s="143"/>
      <c r="D137" s="85"/>
      <c r="E137" s="24"/>
      <c r="F137" s="85"/>
      <c r="G137" s="27">
        <f t="shared" si="1"/>
        <v>0</v>
      </c>
      <c r="H137" s="30">
        <f t="shared" si="2"/>
        <v>0</v>
      </c>
      <c r="I137" s="32" t="str">
        <f t="shared" si="3"/>
        <v>#DIV/0!</v>
      </c>
      <c r="J137" s="32" t="str">
        <f t="shared" si="4"/>
        <v>#DIV/0!</v>
      </c>
      <c r="M137" s="33" t="str">
        <f t="shared" si="5"/>
        <v/>
      </c>
    </row>
    <row r="138" ht="22.5" customHeight="1">
      <c r="A138" s="24"/>
      <c r="B138" s="78"/>
      <c r="C138" s="143"/>
      <c r="D138" s="85"/>
      <c r="E138" s="24"/>
      <c r="F138" s="85"/>
      <c r="G138" s="27">
        <f t="shared" si="1"/>
        <v>0</v>
      </c>
      <c r="H138" s="30">
        <f t="shared" si="2"/>
        <v>0</v>
      </c>
      <c r="I138" s="32" t="str">
        <f t="shared" si="3"/>
        <v>#DIV/0!</v>
      </c>
      <c r="J138" s="32" t="str">
        <f t="shared" si="4"/>
        <v>#DIV/0!</v>
      </c>
      <c r="M138" s="33" t="str">
        <f t="shared" si="5"/>
        <v/>
      </c>
    </row>
    <row r="139" ht="22.5" customHeight="1">
      <c r="A139" s="24"/>
      <c r="B139" s="78"/>
      <c r="C139" s="143"/>
      <c r="D139" s="85"/>
      <c r="E139" s="24"/>
      <c r="F139" s="85"/>
      <c r="G139" s="27">
        <f t="shared" si="1"/>
        <v>0</v>
      </c>
      <c r="H139" s="30">
        <f t="shared" si="2"/>
        <v>0</v>
      </c>
      <c r="I139" s="32" t="str">
        <f t="shared" si="3"/>
        <v>#DIV/0!</v>
      </c>
      <c r="J139" s="32" t="str">
        <f t="shared" si="4"/>
        <v>#DIV/0!</v>
      </c>
      <c r="M139" s="33" t="str">
        <f t="shared" si="5"/>
        <v/>
      </c>
    </row>
    <row r="140" ht="22.5" customHeight="1">
      <c r="A140" s="24"/>
      <c r="B140" s="78"/>
      <c r="C140" s="143"/>
      <c r="D140" s="85"/>
      <c r="E140" s="24"/>
      <c r="F140" s="85"/>
      <c r="G140" s="27">
        <f t="shared" si="1"/>
        <v>0</v>
      </c>
      <c r="H140" s="30">
        <f t="shared" si="2"/>
        <v>0</v>
      </c>
      <c r="I140" s="32" t="str">
        <f t="shared" si="3"/>
        <v>#DIV/0!</v>
      </c>
      <c r="J140" s="32" t="str">
        <f t="shared" si="4"/>
        <v>#DIV/0!</v>
      </c>
      <c r="M140" s="33" t="str">
        <f t="shared" si="5"/>
        <v/>
      </c>
    </row>
    <row r="141" ht="22.5" customHeight="1">
      <c r="A141" s="24"/>
      <c r="B141" s="78"/>
      <c r="C141" s="143"/>
      <c r="D141" s="85"/>
      <c r="E141" s="24"/>
      <c r="F141" s="85"/>
      <c r="G141" s="27">
        <f t="shared" si="1"/>
        <v>0</v>
      </c>
      <c r="H141" s="30">
        <f t="shared" si="2"/>
        <v>0</v>
      </c>
      <c r="I141" s="32" t="str">
        <f t="shared" si="3"/>
        <v>#DIV/0!</v>
      </c>
      <c r="J141" s="32" t="str">
        <f t="shared" si="4"/>
        <v>#DIV/0!</v>
      </c>
      <c r="M141" s="33" t="str">
        <f t="shared" si="5"/>
        <v/>
      </c>
    </row>
    <row r="142" ht="22.5" customHeight="1">
      <c r="A142" s="24"/>
      <c r="B142" s="78"/>
      <c r="C142" s="143"/>
      <c r="D142" s="85"/>
      <c r="E142" s="24"/>
      <c r="F142" s="85"/>
      <c r="G142" s="27">
        <f t="shared" si="1"/>
        <v>0</v>
      </c>
      <c r="H142" s="30">
        <f t="shared" si="2"/>
        <v>0</v>
      </c>
      <c r="I142" s="32" t="str">
        <f t="shared" si="3"/>
        <v>#DIV/0!</v>
      </c>
      <c r="J142" s="32" t="str">
        <f t="shared" si="4"/>
        <v>#DIV/0!</v>
      </c>
      <c r="M142" s="33" t="str">
        <f t="shared" si="5"/>
        <v/>
      </c>
    </row>
    <row r="143" ht="22.5" customHeight="1">
      <c r="A143" s="24"/>
      <c r="B143" s="78"/>
      <c r="C143" s="143"/>
      <c r="D143" s="85"/>
      <c r="E143" s="24"/>
      <c r="F143" s="85"/>
      <c r="G143" s="27">
        <f t="shared" si="1"/>
        <v>0</v>
      </c>
      <c r="H143" s="30">
        <f t="shared" si="2"/>
        <v>0</v>
      </c>
      <c r="I143" s="32" t="str">
        <f t="shared" si="3"/>
        <v>#DIV/0!</v>
      </c>
      <c r="J143" s="32" t="str">
        <f t="shared" si="4"/>
        <v>#DIV/0!</v>
      </c>
      <c r="M143" s="33" t="str">
        <f t="shared" si="5"/>
        <v/>
      </c>
    </row>
    <row r="144" ht="22.5" customHeight="1">
      <c r="A144" s="24"/>
      <c r="B144" s="78"/>
      <c r="C144" s="143"/>
      <c r="D144" s="85"/>
      <c r="E144" s="24"/>
      <c r="F144" s="85"/>
      <c r="G144" s="27">
        <f t="shared" si="1"/>
        <v>0</v>
      </c>
      <c r="H144" s="30">
        <f t="shared" si="2"/>
        <v>0</v>
      </c>
      <c r="I144" s="32" t="str">
        <f t="shared" si="3"/>
        <v>#DIV/0!</v>
      </c>
      <c r="J144" s="32" t="str">
        <f t="shared" si="4"/>
        <v>#DIV/0!</v>
      </c>
      <c r="M144" s="33" t="str">
        <f t="shared" si="5"/>
        <v/>
      </c>
    </row>
    <row r="145" ht="22.5" customHeight="1">
      <c r="A145" s="24"/>
      <c r="B145" s="78"/>
      <c r="C145" s="143"/>
      <c r="D145" s="85"/>
      <c r="E145" s="24"/>
      <c r="F145" s="85"/>
      <c r="G145" s="27">
        <f t="shared" si="1"/>
        <v>0</v>
      </c>
      <c r="H145" s="30">
        <f t="shared" si="2"/>
        <v>0</v>
      </c>
      <c r="I145" s="32" t="str">
        <f t="shared" si="3"/>
        <v>#DIV/0!</v>
      </c>
      <c r="J145" s="32" t="str">
        <f t="shared" si="4"/>
        <v>#DIV/0!</v>
      </c>
      <c r="M145" s="33" t="str">
        <f t="shared" si="5"/>
        <v/>
      </c>
    </row>
    <row r="146" ht="22.5" customHeight="1">
      <c r="A146" s="24"/>
      <c r="B146" s="78"/>
      <c r="C146" s="143"/>
      <c r="D146" s="85"/>
      <c r="E146" s="24"/>
      <c r="F146" s="85"/>
      <c r="G146" s="27">
        <f t="shared" si="1"/>
        <v>0</v>
      </c>
      <c r="H146" s="30">
        <f t="shared" si="2"/>
        <v>0</v>
      </c>
      <c r="I146" s="32" t="str">
        <f t="shared" si="3"/>
        <v>#DIV/0!</v>
      </c>
      <c r="J146" s="32" t="str">
        <f t="shared" si="4"/>
        <v>#DIV/0!</v>
      </c>
      <c r="M146" s="33" t="str">
        <f t="shared" si="5"/>
        <v/>
      </c>
    </row>
    <row r="147" ht="22.5" customHeight="1">
      <c r="A147" s="24"/>
      <c r="B147" s="78"/>
      <c r="C147" s="143"/>
      <c r="D147" s="85"/>
      <c r="E147" s="24"/>
      <c r="F147" s="85"/>
      <c r="G147" s="27">
        <f t="shared" si="1"/>
        <v>0</v>
      </c>
      <c r="H147" s="30">
        <f t="shared" si="2"/>
        <v>0</v>
      </c>
      <c r="I147" s="32" t="str">
        <f t="shared" si="3"/>
        <v>#DIV/0!</v>
      </c>
      <c r="J147" s="32" t="str">
        <f t="shared" si="4"/>
        <v>#DIV/0!</v>
      </c>
      <c r="M147" s="33" t="str">
        <f t="shared" si="5"/>
        <v/>
      </c>
    </row>
    <row r="148" ht="22.5" customHeight="1">
      <c r="A148" s="24"/>
      <c r="B148" s="78"/>
      <c r="C148" s="143"/>
      <c r="D148" s="85"/>
      <c r="E148" s="24"/>
      <c r="F148" s="85"/>
      <c r="G148" s="27">
        <f t="shared" si="1"/>
        <v>0</v>
      </c>
      <c r="H148" s="30">
        <f t="shared" si="2"/>
        <v>0</v>
      </c>
      <c r="I148" s="32" t="str">
        <f t="shared" si="3"/>
        <v>#DIV/0!</v>
      </c>
      <c r="J148" s="32" t="str">
        <f t="shared" si="4"/>
        <v>#DIV/0!</v>
      </c>
      <c r="M148" s="33" t="str">
        <f t="shared" si="5"/>
        <v/>
      </c>
    </row>
    <row r="149" ht="22.5" customHeight="1">
      <c r="A149" s="24"/>
      <c r="B149" s="78"/>
      <c r="C149" s="143"/>
      <c r="D149" s="85"/>
      <c r="E149" s="24"/>
      <c r="F149" s="85"/>
      <c r="G149" s="27">
        <f t="shared" si="1"/>
        <v>0</v>
      </c>
      <c r="H149" s="30">
        <f t="shared" si="2"/>
        <v>0</v>
      </c>
      <c r="I149" s="32" t="str">
        <f t="shared" si="3"/>
        <v>#DIV/0!</v>
      </c>
      <c r="J149" s="32" t="str">
        <f t="shared" si="4"/>
        <v>#DIV/0!</v>
      </c>
      <c r="M149" s="33" t="str">
        <f t="shared" si="5"/>
        <v/>
      </c>
    </row>
    <row r="150" ht="22.5" customHeight="1">
      <c r="A150" s="24"/>
      <c r="B150" s="78"/>
      <c r="C150" s="143"/>
      <c r="D150" s="85"/>
      <c r="E150" s="24"/>
      <c r="F150" s="85"/>
      <c r="G150" s="27">
        <f t="shared" si="1"/>
        <v>0</v>
      </c>
      <c r="H150" s="30">
        <f t="shared" si="2"/>
        <v>0</v>
      </c>
      <c r="I150" s="32" t="str">
        <f t="shared" si="3"/>
        <v>#DIV/0!</v>
      </c>
      <c r="J150" s="32" t="str">
        <f t="shared" si="4"/>
        <v>#DIV/0!</v>
      </c>
      <c r="M150" s="33" t="str">
        <f t="shared" si="5"/>
        <v/>
      </c>
    </row>
  </sheetData>
  <dataValidations>
    <dataValidation type="list" allowBlank="1" sqref="F2:F150">
      <formula1>"0%,9%,21%"</formula1>
    </dataValidation>
    <dataValidation type="list" allowBlank="1" sqref="D2:D150">
      <formula1>"1 ,2 ,3 ,10,11,12"</formula1>
    </dataValidation>
    <dataValidation type="custom" allowBlank="1" showDropDown="1" sqref="B2:B150 H2:H150">
      <formula1>AND(ISNUMBER(B2),(NOT(OR(NOT(ISERROR(DATEVALUE(B2))), AND(ISNUMBER(B2), LEFT(CELL("format", B2))="D")))))</formula1>
    </dataValidation>
    <dataValidation allowBlank="1" showDropDown="1" sqref="A2:A150 E2:E150"/>
    <dataValidation type="custom" allowBlank="1" showDropDown="1" sqref="C2:C150 G2:G150 I2:J15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22"/>
    <col customWidth="1" min="2" max="2" width="14.33"/>
    <col customWidth="1" min="3" max="3" width="19.78"/>
    <col customWidth="1" min="4" max="4" width="18.33"/>
    <col customWidth="1" min="5" max="5" width="18.22"/>
    <col customWidth="1" min="6" max="6" width="13.56"/>
    <col customWidth="1" min="7" max="7" width="18.22"/>
    <col customWidth="1" min="8" max="8" width="18.67"/>
    <col customWidth="1" min="9" max="10" width="14.78"/>
  </cols>
  <sheetData>
    <row r="1">
      <c r="C1" s="91"/>
    </row>
    <row r="2" ht="22.5" customHeight="1">
      <c r="A2" s="5" t="s">
        <v>94</v>
      </c>
      <c r="B2" s="5" t="s">
        <v>95</v>
      </c>
      <c r="C2" s="92" t="s">
        <v>97</v>
      </c>
      <c r="D2" s="5" t="s">
        <v>98</v>
      </c>
      <c r="E2" s="5" t="s">
        <v>99</v>
      </c>
      <c r="F2" s="5" t="s">
        <v>100</v>
      </c>
      <c r="G2" s="5" t="s">
        <v>101</v>
      </c>
      <c r="H2" s="5" t="s">
        <v>102</v>
      </c>
      <c r="I2" s="5" t="s">
        <v>103</v>
      </c>
      <c r="J2" s="5" t="s">
        <v>104</v>
      </c>
    </row>
    <row r="3" ht="25.5" customHeight="1">
      <c r="A3" s="93"/>
      <c r="B3" s="94"/>
      <c r="C3" s="95"/>
      <c r="D3" s="41"/>
      <c r="E3" s="96"/>
      <c r="F3" s="32" t="str">
        <f>IFERROR(VLOOKUP(E3, Docenten!$A$2:$G$30, 7, FALSE), "0")</f>
        <v>0</v>
      </c>
      <c r="G3" s="27">
        <f t="shared" ref="G3:G23" si="1">SUM(F3/60)*C3</f>
        <v>0</v>
      </c>
      <c r="H3" s="97"/>
      <c r="I3" s="32" t="str">
        <f>IFERROR(VLOOKUP(H3, Locaties!$A$2:$G$15, 7, FALSE), "0")</f>
        <v>0</v>
      </c>
      <c r="J3" s="32">
        <f t="shared" ref="J3:J100" si="2">SUM(I3/60)*C3</f>
        <v>0</v>
      </c>
      <c r="K3" s="98"/>
    </row>
    <row r="4" ht="22.5" customHeight="1">
      <c r="A4" s="101"/>
      <c r="B4" s="102"/>
      <c r="C4" s="103"/>
      <c r="D4" s="104"/>
      <c r="E4" s="106"/>
      <c r="F4" s="32" t="str">
        <f>IFERROR(VLOOKUP(E4, Docenten!$A$2:$G$30, 7, FALSE), "0")</f>
        <v>0</v>
      </c>
      <c r="G4" s="32">
        <f t="shared" si="1"/>
        <v>0</v>
      </c>
      <c r="H4" s="107"/>
      <c r="I4" s="32" t="str">
        <f>IFERROR(VLOOKUP(H4, Locaties!$A$2:$G$15, 7, FALSE), "0")</f>
        <v>0</v>
      </c>
      <c r="J4" s="32">
        <f t="shared" si="2"/>
        <v>0</v>
      </c>
    </row>
    <row r="5" ht="22.5" customHeight="1">
      <c r="A5" s="93" t="s">
        <v>112</v>
      </c>
      <c r="B5" s="94">
        <v>0.625</v>
      </c>
      <c r="C5" s="95">
        <v>60.0</v>
      </c>
      <c r="D5" s="41" t="s">
        <v>113</v>
      </c>
      <c r="E5" s="96" t="s">
        <v>56</v>
      </c>
      <c r="F5" s="32">
        <f>IFERROR(VLOOKUP(E5, Docenten!$A$2:$G$30, 7, FALSE), "0")</f>
        <v>22.5</v>
      </c>
      <c r="G5" s="32">
        <f t="shared" si="1"/>
        <v>22.5</v>
      </c>
      <c r="H5" s="96" t="s">
        <v>63</v>
      </c>
      <c r="I5" s="32">
        <f>IFERROR(VLOOKUP(H5, Locaties!$A$2:$G$15, 7, FALSE), "0")</f>
        <v>18.9</v>
      </c>
      <c r="J5" s="32">
        <f t="shared" si="2"/>
        <v>18.9</v>
      </c>
    </row>
    <row r="6" ht="22.5" customHeight="1">
      <c r="A6" s="101" t="s">
        <v>112</v>
      </c>
      <c r="B6" s="102">
        <v>0.625</v>
      </c>
      <c r="C6" s="103">
        <v>60.0</v>
      </c>
      <c r="D6" s="104" t="s">
        <v>130</v>
      </c>
      <c r="E6" s="106" t="s">
        <v>56</v>
      </c>
      <c r="F6" s="32">
        <f>IFERROR(VLOOKUP(E6, Docenten!$A$2:$G$30, 7, FALSE), "0")</f>
        <v>22.5</v>
      </c>
      <c r="G6" s="32">
        <f t="shared" si="1"/>
        <v>22.5</v>
      </c>
      <c r="H6" s="113" t="s">
        <v>63</v>
      </c>
      <c r="I6" s="32">
        <f>IFERROR(VLOOKUP(H6, Locaties!$A$2:$G$15, 7, FALSE), "0")</f>
        <v>18.9</v>
      </c>
      <c r="J6" s="32">
        <f t="shared" si="2"/>
        <v>18.9</v>
      </c>
    </row>
    <row r="7" ht="22.5" customHeight="1">
      <c r="A7" s="93" t="s">
        <v>112</v>
      </c>
      <c r="B7" s="94">
        <v>0.6666666666666666</v>
      </c>
      <c r="C7" s="95">
        <v>60.0</v>
      </c>
      <c r="D7" s="41" t="s">
        <v>137</v>
      </c>
      <c r="E7" s="96" t="s">
        <v>56</v>
      </c>
      <c r="F7" s="32">
        <f>IFERROR(VLOOKUP(E7, Docenten!$A$2:$G$30, 7, FALSE), "0")</f>
        <v>22.5</v>
      </c>
      <c r="G7" s="32">
        <f t="shared" si="1"/>
        <v>22.5</v>
      </c>
      <c r="H7" s="125" t="s">
        <v>63</v>
      </c>
      <c r="I7" s="32">
        <f>IFERROR(VLOOKUP(H7, Locaties!$A$2:$G$15, 7, FALSE), "0")</f>
        <v>18.9</v>
      </c>
      <c r="J7" s="32">
        <f t="shared" si="2"/>
        <v>18.9</v>
      </c>
    </row>
    <row r="8" ht="22.5" customHeight="1">
      <c r="A8" s="101" t="s">
        <v>112</v>
      </c>
      <c r="B8" s="102">
        <v>0.7083333333333334</v>
      </c>
      <c r="C8" s="103">
        <v>60.0</v>
      </c>
      <c r="D8" s="104" t="s">
        <v>143</v>
      </c>
      <c r="E8" s="106" t="s">
        <v>45</v>
      </c>
      <c r="F8" s="32">
        <f>IFERROR(VLOOKUP(E8, Docenten!$A$2:$G$30, 7, FALSE), "0")</f>
        <v>22.5</v>
      </c>
      <c r="G8" s="32">
        <f t="shared" si="1"/>
        <v>22.5</v>
      </c>
      <c r="H8" s="113" t="s">
        <v>63</v>
      </c>
      <c r="I8" s="32">
        <f>IFERROR(VLOOKUP(H8, Locaties!$A$2:$G$15, 7, FALSE), "0")</f>
        <v>18.9</v>
      </c>
      <c r="J8" s="32">
        <f t="shared" si="2"/>
        <v>18.9</v>
      </c>
    </row>
    <row r="9" ht="22.5" customHeight="1">
      <c r="A9" s="93" t="s">
        <v>112</v>
      </c>
      <c r="B9" s="94">
        <v>0.75</v>
      </c>
      <c r="C9" s="95">
        <v>60.0</v>
      </c>
      <c r="D9" s="41" t="s">
        <v>154</v>
      </c>
      <c r="E9" s="96" t="s">
        <v>45</v>
      </c>
      <c r="F9" s="32">
        <f>IFERROR(VLOOKUP(E9, Docenten!$A$2:$G$30, 7, FALSE), "0")</f>
        <v>22.5</v>
      </c>
      <c r="G9" s="32">
        <f t="shared" si="1"/>
        <v>22.5</v>
      </c>
      <c r="H9" s="125" t="s">
        <v>63</v>
      </c>
      <c r="I9" s="32">
        <f>IFERROR(VLOOKUP(H9, Locaties!$A$2:$G$15, 7, FALSE), "0")</f>
        <v>18.9</v>
      </c>
      <c r="J9" s="32">
        <f t="shared" si="2"/>
        <v>18.9</v>
      </c>
    </row>
    <row r="10" ht="22.5" customHeight="1">
      <c r="A10" s="101" t="s">
        <v>112</v>
      </c>
      <c r="B10" s="102">
        <v>0.7916666666666666</v>
      </c>
      <c r="C10" s="103">
        <v>60.0</v>
      </c>
      <c r="D10" s="104" t="s">
        <v>158</v>
      </c>
      <c r="E10" s="106" t="s">
        <v>45</v>
      </c>
      <c r="F10" s="32">
        <f>IFERROR(VLOOKUP(E10, Docenten!$A$2:$G$30, 7, FALSE), "0")</f>
        <v>22.5</v>
      </c>
      <c r="G10" s="32">
        <f t="shared" si="1"/>
        <v>22.5</v>
      </c>
      <c r="H10" s="113" t="s">
        <v>63</v>
      </c>
      <c r="I10" s="32">
        <f>IFERROR(VLOOKUP(H10, Locaties!$A$2:$G$15, 7, FALSE), "0")</f>
        <v>18.9</v>
      </c>
      <c r="J10" s="32">
        <f t="shared" si="2"/>
        <v>18.9</v>
      </c>
    </row>
    <row r="11" ht="22.5" customHeight="1">
      <c r="A11" s="144" t="s">
        <v>112</v>
      </c>
      <c r="B11" s="94">
        <v>0.8333333333333334</v>
      </c>
      <c r="C11" s="95">
        <v>60.0</v>
      </c>
      <c r="D11" s="41" t="s">
        <v>161</v>
      </c>
      <c r="E11" s="96" t="s">
        <v>45</v>
      </c>
      <c r="F11" s="32">
        <f>IFERROR(VLOOKUP(E11, Docenten!$A$2:$G$30, 7, FALSE), "0")</f>
        <v>22.5</v>
      </c>
      <c r="G11" s="32">
        <f t="shared" si="1"/>
        <v>22.5</v>
      </c>
      <c r="H11" s="125" t="s">
        <v>63</v>
      </c>
      <c r="I11" s="32">
        <f>IFERROR(VLOOKUP(H11, Locaties!$A$2:$G$15, 7, FALSE), "0")</f>
        <v>18.9</v>
      </c>
      <c r="J11" s="32">
        <f t="shared" si="2"/>
        <v>18.9</v>
      </c>
    </row>
    <row r="12" ht="22.5" customHeight="1">
      <c r="A12" s="146" t="s">
        <v>112</v>
      </c>
      <c r="B12" s="102">
        <v>0.875</v>
      </c>
      <c r="C12" s="103">
        <v>60.0</v>
      </c>
      <c r="D12" s="104" t="s">
        <v>163</v>
      </c>
      <c r="E12" s="106" t="s">
        <v>45</v>
      </c>
      <c r="F12" s="32">
        <f>IFERROR(VLOOKUP(E12, Docenten!$A$2:$G$30, 7, FALSE), "0")</f>
        <v>22.5</v>
      </c>
      <c r="G12" s="32">
        <f t="shared" si="1"/>
        <v>22.5</v>
      </c>
      <c r="H12" s="113" t="s">
        <v>63</v>
      </c>
      <c r="I12" s="32">
        <f>IFERROR(VLOOKUP(H12, Locaties!$A$2:$G$15, 7, FALSE), "0")</f>
        <v>18.9</v>
      </c>
      <c r="J12" s="32">
        <f t="shared" si="2"/>
        <v>18.9</v>
      </c>
    </row>
    <row r="13" ht="22.5" customHeight="1">
      <c r="A13" s="144" t="s">
        <v>112</v>
      </c>
      <c r="B13" s="94">
        <v>0.6666666666666666</v>
      </c>
      <c r="C13" s="95">
        <v>60.0</v>
      </c>
      <c r="D13" s="41" t="s">
        <v>130</v>
      </c>
      <c r="E13" s="96" t="s">
        <v>55</v>
      </c>
      <c r="F13" s="32">
        <f>IFERROR(VLOOKUP(E13, Docenten!$A$2:$G$30, 7, FALSE), "0")</f>
        <v>15</v>
      </c>
      <c r="G13" s="32">
        <f t="shared" si="1"/>
        <v>15</v>
      </c>
      <c r="H13" s="96" t="s">
        <v>28</v>
      </c>
      <c r="I13" s="32">
        <f>IFERROR(VLOOKUP(H13, Locaties!$A$2:$G$15, 7, FALSE), "0")</f>
        <v>14.2</v>
      </c>
      <c r="J13" s="32">
        <f t="shared" si="2"/>
        <v>14.2</v>
      </c>
    </row>
    <row r="14" ht="22.5" customHeight="1">
      <c r="A14" s="146" t="s">
        <v>112</v>
      </c>
      <c r="B14" s="102">
        <v>0.7083333333333334</v>
      </c>
      <c r="C14" s="103">
        <v>60.0</v>
      </c>
      <c r="D14" s="104" t="s">
        <v>177</v>
      </c>
      <c r="E14" s="106" t="s">
        <v>55</v>
      </c>
      <c r="F14" s="32">
        <f>IFERROR(VLOOKUP(E14, Docenten!$A$2:$G$30, 7, FALSE), "0")</f>
        <v>15</v>
      </c>
      <c r="G14" s="32">
        <f t="shared" si="1"/>
        <v>15</v>
      </c>
      <c r="H14" s="106" t="s">
        <v>28</v>
      </c>
      <c r="I14" s="32">
        <f>IFERROR(VLOOKUP(H14, Locaties!$A$2:$G$15, 7, FALSE), "0")</f>
        <v>14.2</v>
      </c>
      <c r="J14" s="32">
        <f t="shared" si="2"/>
        <v>14.2</v>
      </c>
    </row>
    <row r="15" ht="22.5" customHeight="1">
      <c r="A15" s="161" t="s">
        <v>180</v>
      </c>
      <c r="B15" s="94">
        <v>0.6666666666666666</v>
      </c>
      <c r="C15" s="95">
        <v>60.0</v>
      </c>
      <c r="D15" s="41" t="s">
        <v>182</v>
      </c>
      <c r="E15" s="96" t="s">
        <v>25</v>
      </c>
      <c r="F15" s="32">
        <f>IFERROR(VLOOKUP(E15, Docenten!$A$2:$G$30, 7, FALSE), "0")</f>
        <v>0</v>
      </c>
      <c r="G15" s="32">
        <f t="shared" si="1"/>
        <v>0</v>
      </c>
      <c r="H15" s="96" t="s">
        <v>63</v>
      </c>
      <c r="I15" s="32">
        <f>IFERROR(VLOOKUP(H15, Locaties!$A$2:$G$15, 7, FALSE), "0")</f>
        <v>18.9</v>
      </c>
      <c r="J15" s="32">
        <f t="shared" si="2"/>
        <v>18.9</v>
      </c>
    </row>
    <row r="16" ht="22.5" customHeight="1">
      <c r="A16" s="169" t="s">
        <v>180</v>
      </c>
      <c r="B16" s="102">
        <v>0.7083333333333334</v>
      </c>
      <c r="C16" s="103">
        <v>60.0</v>
      </c>
      <c r="D16" s="104" t="s">
        <v>186</v>
      </c>
      <c r="E16" s="106" t="s">
        <v>25</v>
      </c>
      <c r="F16" s="32">
        <f>IFERROR(VLOOKUP(E16, Docenten!$A$2:$G$30, 7, FALSE), "0")</f>
        <v>0</v>
      </c>
      <c r="G16" s="32">
        <f t="shared" si="1"/>
        <v>0</v>
      </c>
      <c r="H16" s="106" t="s">
        <v>63</v>
      </c>
      <c r="I16" s="32">
        <f>IFERROR(VLOOKUP(H16, Locaties!$A$2:$G$15, 7, FALSE), "0")</f>
        <v>18.9</v>
      </c>
      <c r="J16" s="32">
        <f t="shared" si="2"/>
        <v>18.9</v>
      </c>
    </row>
    <row r="17" ht="22.5" customHeight="1">
      <c r="A17" s="161" t="s">
        <v>180</v>
      </c>
      <c r="B17" s="94">
        <v>0.75</v>
      </c>
      <c r="C17" s="95">
        <v>90.0</v>
      </c>
      <c r="D17" s="41" t="s">
        <v>189</v>
      </c>
      <c r="E17" s="96" t="s">
        <v>25</v>
      </c>
      <c r="F17" s="32">
        <f>IFERROR(VLOOKUP(E17, Docenten!$A$2:$G$30, 7, FALSE), "0")</f>
        <v>0</v>
      </c>
      <c r="G17" s="32">
        <f t="shared" si="1"/>
        <v>0</v>
      </c>
      <c r="H17" s="96" t="s">
        <v>63</v>
      </c>
      <c r="I17" s="32">
        <f>IFERROR(VLOOKUP(H17, Locaties!$A$2:$G$15, 7, FALSE), "0")</f>
        <v>18.9</v>
      </c>
      <c r="J17" s="32">
        <f t="shared" si="2"/>
        <v>28.35</v>
      </c>
    </row>
    <row r="18" ht="22.5" customHeight="1">
      <c r="A18" s="169" t="s">
        <v>180</v>
      </c>
      <c r="B18" s="102">
        <v>0.8125</v>
      </c>
      <c r="C18" s="103">
        <v>60.0</v>
      </c>
      <c r="D18" s="104" t="s">
        <v>191</v>
      </c>
      <c r="E18" s="106" t="s">
        <v>25</v>
      </c>
      <c r="F18" s="32">
        <f>IFERROR(VLOOKUP(E18, Docenten!$A$2:$G$30, 7, FALSE), "0")</f>
        <v>0</v>
      </c>
      <c r="G18" s="32">
        <f t="shared" si="1"/>
        <v>0</v>
      </c>
      <c r="H18" s="106" t="s">
        <v>63</v>
      </c>
      <c r="I18" s="32">
        <f>IFERROR(VLOOKUP(H18, Locaties!$A$2:$G$15, 7, FALSE), "0")</f>
        <v>18.9</v>
      </c>
      <c r="J18" s="32">
        <f t="shared" si="2"/>
        <v>18.9</v>
      </c>
    </row>
    <row r="19" ht="22.5" customHeight="1">
      <c r="A19" s="161" t="s">
        <v>193</v>
      </c>
      <c r="B19" s="94">
        <v>0.6041666666666666</v>
      </c>
      <c r="C19" s="95">
        <v>60.0</v>
      </c>
      <c r="D19" s="41" t="s">
        <v>130</v>
      </c>
      <c r="E19" s="96" t="s">
        <v>55</v>
      </c>
      <c r="F19" s="32">
        <f>IFERROR(VLOOKUP(E19, Docenten!$A$2:$G$30, 7, FALSE), "0")</f>
        <v>15</v>
      </c>
      <c r="G19" s="32">
        <f t="shared" si="1"/>
        <v>15</v>
      </c>
      <c r="H19" s="125" t="s">
        <v>28</v>
      </c>
      <c r="I19" s="32">
        <f>IFERROR(VLOOKUP(H19, Locaties!$A$2:$G$15, 7, FALSE), "0")</f>
        <v>14.2</v>
      </c>
      <c r="J19" s="32">
        <f t="shared" si="2"/>
        <v>14.2</v>
      </c>
    </row>
    <row r="20" ht="22.5" customHeight="1">
      <c r="A20" s="188" t="s">
        <v>193</v>
      </c>
      <c r="B20" s="102">
        <v>0.6458333333333334</v>
      </c>
      <c r="C20" s="103">
        <v>60.0</v>
      </c>
      <c r="D20" s="104" t="s">
        <v>177</v>
      </c>
      <c r="E20" s="106" t="s">
        <v>55</v>
      </c>
      <c r="F20" s="32">
        <f>IFERROR(VLOOKUP(E20, Docenten!$A$2:$G$30, 7, FALSE), "0")</f>
        <v>15</v>
      </c>
      <c r="G20" s="32">
        <f t="shared" si="1"/>
        <v>15</v>
      </c>
      <c r="H20" s="106" t="s">
        <v>28</v>
      </c>
      <c r="I20" s="32">
        <f>IFERROR(VLOOKUP(H20, Locaties!$A$2:$G$15, 7, FALSE), "0")</f>
        <v>14.2</v>
      </c>
      <c r="J20" s="32">
        <f t="shared" si="2"/>
        <v>14.2</v>
      </c>
    </row>
    <row r="21" ht="22.5" customHeight="1">
      <c r="A21" s="191" t="s">
        <v>193</v>
      </c>
      <c r="B21" s="94">
        <v>0.6875</v>
      </c>
      <c r="C21" s="95">
        <v>60.0</v>
      </c>
      <c r="D21" s="41" t="s">
        <v>199</v>
      </c>
      <c r="E21" s="96" t="s">
        <v>55</v>
      </c>
      <c r="F21" s="32">
        <f>IFERROR(VLOOKUP(E21, Docenten!$A$2:$G$30, 7, FALSE), "0")</f>
        <v>15</v>
      </c>
      <c r="G21" s="32">
        <f t="shared" si="1"/>
        <v>15</v>
      </c>
      <c r="H21" s="96" t="s">
        <v>28</v>
      </c>
      <c r="I21" s="32">
        <f>IFERROR(VLOOKUP(H21, Locaties!$A$2:$G$15, 7, FALSE), "0")</f>
        <v>14.2</v>
      </c>
      <c r="J21" s="32">
        <f t="shared" si="2"/>
        <v>14.2</v>
      </c>
    </row>
    <row r="22" ht="22.5" customHeight="1">
      <c r="A22" s="188" t="s">
        <v>193</v>
      </c>
      <c r="B22" s="102">
        <v>0.7291666666666666</v>
      </c>
      <c r="C22" s="103">
        <v>60.0</v>
      </c>
      <c r="D22" s="104" t="s">
        <v>202</v>
      </c>
      <c r="E22" s="106" t="s">
        <v>25</v>
      </c>
      <c r="F22" s="32">
        <f>IFERROR(VLOOKUP(E22, Docenten!$A$2:$G$30, 7, FALSE), "0")</f>
        <v>0</v>
      </c>
      <c r="G22" s="32">
        <f t="shared" si="1"/>
        <v>0</v>
      </c>
      <c r="H22" s="106" t="s">
        <v>28</v>
      </c>
      <c r="I22" s="32">
        <f>IFERROR(VLOOKUP(H22, Locaties!$A$2:$G$15, 7, FALSE), "0")</f>
        <v>14.2</v>
      </c>
      <c r="J22" s="32">
        <f t="shared" si="2"/>
        <v>14.2</v>
      </c>
    </row>
    <row r="23" ht="22.5" customHeight="1">
      <c r="A23" s="191" t="s">
        <v>193</v>
      </c>
      <c r="B23" s="94">
        <v>0.7708333333333334</v>
      </c>
      <c r="C23" s="95">
        <v>60.0</v>
      </c>
      <c r="D23" s="41" t="s">
        <v>207</v>
      </c>
      <c r="E23" s="96" t="s">
        <v>25</v>
      </c>
      <c r="F23" s="32">
        <f>IFERROR(VLOOKUP(E23, Docenten!$A$2:$G$30, 7, FALSE), "0")</f>
        <v>0</v>
      </c>
      <c r="G23" s="32">
        <f t="shared" si="1"/>
        <v>0</v>
      </c>
      <c r="H23" s="96" t="s">
        <v>28</v>
      </c>
      <c r="I23" s="32">
        <f>IFERROR(VLOOKUP(H23, Locaties!$A$2:$G$15, 7, FALSE), "0")</f>
        <v>14.2</v>
      </c>
      <c r="J23" s="32">
        <f t="shared" si="2"/>
        <v>14.2</v>
      </c>
    </row>
    <row r="24" ht="22.5" customHeight="1">
      <c r="A24" s="188"/>
      <c r="B24" s="102"/>
      <c r="C24" s="103"/>
      <c r="D24" s="104"/>
      <c r="E24" s="106"/>
      <c r="F24" s="32"/>
      <c r="G24" s="32"/>
      <c r="H24" s="106"/>
      <c r="I24" s="32" t="str">
        <f>IFERROR(VLOOKUP(H24, Locaties!$A$2:$G$15, 7, FALSE), "0")</f>
        <v>0</v>
      </c>
      <c r="J24" s="32">
        <f t="shared" si="2"/>
        <v>0</v>
      </c>
    </row>
    <row r="25" ht="22.5" customHeight="1">
      <c r="A25" s="195" t="s">
        <v>213</v>
      </c>
      <c r="B25" s="94">
        <v>0.6458333333333334</v>
      </c>
      <c r="C25" s="95">
        <v>60.0</v>
      </c>
      <c r="D25" s="41" t="s">
        <v>214</v>
      </c>
      <c r="E25" s="96" t="s">
        <v>25</v>
      </c>
      <c r="F25" s="32">
        <f>IFERROR(VLOOKUP(E25, Docenten!$A$2:$G$30, 7, FALSE), "0")</f>
        <v>0</v>
      </c>
      <c r="G25" s="32">
        <f t="shared" ref="G25:G100" si="3">SUM(F25/60)*C25</f>
        <v>0</v>
      </c>
      <c r="H25" s="96" t="s">
        <v>63</v>
      </c>
      <c r="I25" s="32">
        <f>IFERROR(VLOOKUP(H25, Locaties!$A$2:$G$15, 7, FALSE), "0")</f>
        <v>18.9</v>
      </c>
      <c r="J25" s="32">
        <f t="shared" si="2"/>
        <v>18.9</v>
      </c>
    </row>
    <row r="26" ht="22.5" customHeight="1">
      <c r="A26" s="201" t="s">
        <v>213</v>
      </c>
      <c r="B26" s="102">
        <v>0.6875</v>
      </c>
      <c r="C26" s="103">
        <v>60.0</v>
      </c>
      <c r="D26" s="104" t="s">
        <v>218</v>
      </c>
      <c r="E26" s="106" t="s">
        <v>25</v>
      </c>
      <c r="F26" s="32">
        <f>IFERROR(VLOOKUP(E26, Docenten!$A$2:$G$30, 7, FALSE), "0")</f>
        <v>0</v>
      </c>
      <c r="G26" s="32">
        <f t="shared" si="3"/>
        <v>0</v>
      </c>
      <c r="H26" s="106" t="s">
        <v>63</v>
      </c>
      <c r="I26" s="32">
        <f>IFERROR(VLOOKUP(H26, Locaties!$A$2:$G$15, 7, FALSE), "0")</f>
        <v>18.9</v>
      </c>
      <c r="J26" s="32">
        <f t="shared" si="2"/>
        <v>18.9</v>
      </c>
    </row>
    <row r="27" ht="22.5" customHeight="1">
      <c r="A27" s="195" t="s">
        <v>213</v>
      </c>
      <c r="B27" s="94">
        <v>0.7291666666666666</v>
      </c>
      <c r="C27" s="95">
        <v>60.0</v>
      </c>
      <c r="D27" s="41" t="s">
        <v>221</v>
      </c>
      <c r="E27" s="96" t="s">
        <v>25</v>
      </c>
      <c r="F27" s="32">
        <f>IFERROR(VLOOKUP(E27, Docenten!$A$2:$G$30, 7, FALSE), "0")</f>
        <v>0</v>
      </c>
      <c r="G27" s="32">
        <f t="shared" si="3"/>
        <v>0</v>
      </c>
      <c r="H27" s="96" t="s">
        <v>63</v>
      </c>
      <c r="I27" s="32">
        <f>IFERROR(VLOOKUP(H27, Locaties!$A$2:$G$15, 7, FALSE), "0")</f>
        <v>18.9</v>
      </c>
      <c r="J27" s="32">
        <f t="shared" si="2"/>
        <v>18.9</v>
      </c>
    </row>
    <row r="28" ht="22.5" customHeight="1">
      <c r="A28" s="201" t="s">
        <v>213</v>
      </c>
      <c r="B28" s="102">
        <v>0.7708333333333334</v>
      </c>
      <c r="C28" s="103">
        <v>60.0</v>
      </c>
      <c r="D28" s="104" t="s">
        <v>223</v>
      </c>
      <c r="E28" s="106" t="s">
        <v>45</v>
      </c>
      <c r="F28" s="32">
        <f>IFERROR(VLOOKUP(E28, Docenten!$A$2:$G$30, 7, FALSE), "0")</f>
        <v>22.5</v>
      </c>
      <c r="G28" s="32">
        <f t="shared" si="3"/>
        <v>22.5</v>
      </c>
      <c r="H28" s="106" t="s">
        <v>63</v>
      </c>
      <c r="I28" s="32">
        <f>IFERROR(VLOOKUP(H28, Locaties!$A$2:$G$15, 7, FALSE), "0")</f>
        <v>18.9</v>
      </c>
      <c r="J28" s="32">
        <f t="shared" si="2"/>
        <v>18.9</v>
      </c>
    </row>
    <row r="29" ht="22.5" customHeight="1">
      <c r="A29" s="195" t="s">
        <v>213</v>
      </c>
      <c r="B29" s="94">
        <v>0.8125</v>
      </c>
      <c r="C29" s="95">
        <v>60.0</v>
      </c>
      <c r="D29" s="41" t="s">
        <v>225</v>
      </c>
      <c r="E29" s="96" t="s">
        <v>45</v>
      </c>
      <c r="F29" s="32">
        <f>IFERROR(VLOOKUP(E29, Docenten!$A$2:$G$30, 7, FALSE), "0")</f>
        <v>22.5</v>
      </c>
      <c r="G29" s="32">
        <f t="shared" si="3"/>
        <v>22.5</v>
      </c>
      <c r="H29" s="96" t="s">
        <v>63</v>
      </c>
      <c r="I29" s="32">
        <f>IFERROR(VLOOKUP(H29, Locaties!$A$2:$G$15, 7, FALSE), "0")</f>
        <v>18.9</v>
      </c>
      <c r="J29" s="32">
        <f t="shared" si="2"/>
        <v>18.9</v>
      </c>
    </row>
    <row r="30" ht="22.5" customHeight="1">
      <c r="A30" s="70" t="s">
        <v>213</v>
      </c>
      <c r="B30" s="214">
        <v>0.8541666666666666</v>
      </c>
      <c r="C30" s="138">
        <v>60.0</v>
      </c>
      <c r="D30" s="68" t="s">
        <v>229</v>
      </c>
      <c r="E30" s="70" t="s">
        <v>45</v>
      </c>
      <c r="F30" s="32">
        <f>IFERROR(VLOOKUP(E30, Docenten!$A$2:$G$30, 7, FALSE), "0")</f>
        <v>22.5</v>
      </c>
      <c r="G30" s="32">
        <f t="shared" si="3"/>
        <v>22.5</v>
      </c>
      <c r="H30" s="70" t="s">
        <v>63</v>
      </c>
      <c r="I30" s="32">
        <f>IFERROR(VLOOKUP(H30, Locaties!$A$2:$G$15, 7, FALSE), "0")</f>
        <v>18.9</v>
      </c>
      <c r="J30" s="32">
        <f t="shared" si="2"/>
        <v>18.9</v>
      </c>
    </row>
    <row r="31" ht="22.5" customHeight="1">
      <c r="A31" s="70" t="s">
        <v>231</v>
      </c>
      <c r="B31" s="214">
        <v>0.625</v>
      </c>
      <c r="C31" s="138">
        <v>60.0</v>
      </c>
      <c r="D31" s="68" t="s">
        <v>232</v>
      </c>
      <c r="E31" s="70" t="s">
        <v>25</v>
      </c>
      <c r="F31" s="32">
        <f>IFERROR(VLOOKUP(E31, Docenten!$A$2:$G$30, 7, FALSE), "0")</f>
        <v>0</v>
      </c>
      <c r="G31" s="32">
        <f t="shared" si="3"/>
        <v>0</v>
      </c>
      <c r="H31" s="70" t="s">
        <v>63</v>
      </c>
      <c r="I31" s="32">
        <f>IFERROR(VLOOKUP(H31, Locaties!$A$2:$G$15, 7, FALSE), "0")</f>
        <v>18.9</v>
      </c>
      <c r="J31" s="32">
        <f t="shared" si="2"/>
        <v>18.9</v>
      </c>
    </row>
    <row r="32" ht="22.5" customHeight="1">
      <c r="A32" s="70" t="s">
        <v>231</v>
      </c>
      <c r="B32" s="214">
        <v>0.6666666666666666</v>
      </c>
      <c r="C32" s="138">
        <v>60.0</v>
      </c>
      <c r="D32" s="68" t="s">
        <v>234</v>
      </c>
      <c r="E32" s="70" t="s">
        <v>25</v>
      </c>
      <c r="F32" s="32">
        <f>IFERROR(VLOOKUP(E32, Docenten!$A$2:$G$30, 7, FALSE), "0")</f>
        <v>0</v>
      </c>
      <c r="G32" s="32">
        <f t="shared" si="3"/>
        <v>0</v>
      </c>
      <c r="H32" s="70" t="s">
        <v>63</v>
      </c>
      <c r="I32" s="32">
        <f>IFERROR(VLOOKUP(H32, Locaties!$A$2:$G$15, 7, FALSE), "0")</f>
        <v>18.9</v>
      </c>
      <c r="J32" s="32">
        <f t="shared" si="2"/>
        <v>18.9</v>
      </c>
    </row>
    <row r="33" ht="22.5" customHeight="1">
      <c r="A33" s="70" t="s">
        <v>231</v>
      </c>
      <c r="B33" s="214">
        <v>0.7083333333333334</v>
      </c>
      <c r="C33" s="138">
        <v>60.0</v>
      </c>
      <c r="D33" s="68" t="s">
        <v>235</v>
      </c>
      <c r="E33" s="70" t="s">
        <v>25</v>
      </c>
      <c r="F33" s="32">
        <f>IFERROR(VLOOKUP(E33, Docenten!$A$2:$G$30, 7, FALSE), "0")</f>
        <v>0</v>
      </c>
      <c r="G33" s="32">
        <f t="shared" si="3"/>
        <v>0</v>
      </c>
      <c r="H33" s="70" t="s">
        <v>63</v>
      </c>
      <c r="I33" s="32">
        <f>IFERROR(VLOOKUP(H33, Locaties!$A$2:$G$15, 7, FALSE), "0")</f>
        <v>18.9</v>
      </c>
      <c r="J33" s="32">
        <f t="shared" si="2"/>
        <v>18.9</v>
      </c>
    </row>
    <row r="34" ht="22.5" customHeight="1">
      <c r="A34" s="70" t="s">
        <v>231</v>
      </c>
      <c r="B34" s="214">
        <v>0.75</v>
      </c>
      <c r="C34" s="138">
        <v>60.0</v>
      </c>
      <c r="D34" s="68" t="s">
        <v>236</v>
      </c>
      <c r="E34" s="70" t="s">
        <v>25</v>
      </c>
      <c r="F34" s="32">
        <f>IFERROR(VLOOKUP(E34, Docenten!$A$2:$G$30, 7, FALSE), "0")</f>
        <v>0</v>
      </c>
      <c r="G34" s="32">
        <f t="shared" si="3"/>
        <v>0</v>
      </c>
      <c r="H34" s="70" t="s">
        <v>28</v>
      </c>
      <c r="I34" s="32">
        <f>IFERROR(VLOOKUP(H34, Locaties!$A$2:$G$15, 7, FALSE), "0")</f>
        <v>14.2</v>
      </c>
      <c r="J34" s="32">
        <f t="shared" si="2"/>
        <v>14.2</v>
      </c>
    </row>
    <row r="35" ht="22.5" customHeight="1">
      <c r="A35" s="70" t="s">
        <v>237</v>
      </c>
      <c r="B35" s="214">
        <v>0.375</v>
      </c>
      <c r="C35" s="138">
        <v>60.0</v>
      </c>
      <c r="D35" s="68" t="s">
        <v>238</v>
      </c>
      <c r="E35" s="70" t="s">
        <v>49</v>
      </c>
      <c r="F35" s="32">
        <f>IFERROR(VLOOKUP(E35, Docenten!$A$2:$G$30, 7, FALSE), "0")</f>
        <v>12.5</v>
      </c>
      <c r="G35" s="32">
        <f t="shared" si="3"/>
        <v>12.5</v>
      </c>
      <c r="H35" s="70" t="s">
        <v>28</v>
      </c>
      <c r="I35" s="32">
        <f>IFERROR(VLOOKUP(H35, Locaties!$A$2:$G$15, 7, FALSE), "0")</f>
        <v>14.2</v>
      </c>
      <c r="J35" s="32">
        <f t="shared" si="2"/>
        <v>14.2</v>
      </c>
    </row>
    <row r="36" ht="22.5" customHeight="1">
      <c r="A36" s="70" t="s">
        <v>237</v>
      </c>
      <c r="B36" s="214">
        <v>0.40625</v>
      </c>
      <c r="C36" s="138">
        <v>60.0</v>
      </c>
      <c r="D36" s="68" t="s">
        <v>239</v>
      </c>
      <c r="E36" s="70" t="s">
        <v>49</v>
      </c>
      <c r="F36" s="32">
        <f>IFERROR(VLOOKUP(E36, Docenten!$A$2:$G$30, 7, FALSE), "0")</f>
        <v>12.5</v>
      </c>
      <c r="G36" s="32">
        <f t="shared" si="3"/>
        <v>12.5</v>
      </c>
      <c r="H36" s="70" t="s">
        <v>28</v>
      </c>
      <c r="I36" s="32">
        <f>IFERROR(VLOOKUP(H36, Locaties!$A$2:$G$15, 7, FALSE), "0")</f>
        <v>14.2</v>
      </c>
      <c r="J36" s="32">
        <f t="shared" si="2"/>
        <v>14.2</v>
      </c>
    </row>
    <row r="37" ht="22.5" customHeight="1">
      <c r="A37" s="70" t="s">
        <v>237</v>
      </c>
      <c r="B37" s="214">
        <v>0.4375</v>
      </c>
      <c r="C37" s="138">
        <v>60.0</v>
      </c>
      <c r="D37" s="68" t="s">
        <v>241</v>
      </c>
      <c r="E37" s="70" t="s">
        <v>49</v>
      </c>
      <c r="F37" s="32">
        <f>IFERROR(VLOOKUP(E37, Docenten!$A$2:$G$30, 7, FALSE), "0")</f>
        <v>12.5</v>
      </c>
      <c r="G37" s="32">
        <f t="shared" si="3"/>
        <v>12.5</v>
      </c>
      <c r="H37" s="70" t="s">
        <v>28</v>
      </c>
      <c r="I37" s="32">
        <f>IFERROR(VLOOKUP(H37, Locaties!$A$2:$G$15, 7, FALSE), "0")</f>
        <v>14.2</v>
      </c>
      <c r="J37" s="32">
        <f t="shared" si="2"/>
        <v>14.2</v>
      </c>
    </row>
    <row r="38" ht="22.5" customHeight="1">
      <c r="A38" s="70" t="s">
        <v>237</v>
      </c>
      <c r="B38" s="214">
        <v>0.4791666666666667</v>
      </c>
      <c r="C38" s="138">
        <v>60.0</v>
      </c>
      <c r="D38" s="68" t="s">
        <v>242</v>
      </c>
      <c r="E38" s="70" t="s">
        <v>49</v>
      </c>
      <c r="F38" s="32">
        <f>IFERROR(VLOOKUP(E38, Docenten!$A$2:$G$30, 7, FALSE), "0")</f>
        <v>12.5</v>
      </c>
      <c r="G38" s="32">
        <f t="shared" si="3"/>
        <v>12.5</v>
      </c>
      <c r="H38" s="70" t="s">
        <v>28</v>
      </c>
      <c r="I38" s="32">
        <f>IFERROR(VLOOKUP(H38, Locaties!$A$2:$G$15, 7, FALSE), "0")</f>
        <v>14.2</v>
      </c>
      <c r="J38" s="32">
        <f t="shared" si="2"/>
        <v>14.2</v>
      </c>
    </row>
    <row r="39" ht="22.5" customHeight="1">
      <c r="A39" s="70" t="s">
        <v>237</v>
      </c>
      <c r="B39" s="214">
        <v>0.4166666666666667</v>
      </c>
      <c r="C39" s="138">
        <v>60.0</v>
      </c>
      <c r="D39" s="68" t="s">
        <v>238</v>
      </c>
      <c r="E39" s="70" t="s">
        <v>64</v>
      </c>
      <c r="F39" s="32">
        <f>IFERROR(VLOOKUP(E39, Docenten!$A$2:$G$30, 7, FALSE), "0")</f>
        <v>17.5</v>
      </c>
      <c r="G39" s="32">
        <f t="shared" si="3"/>
        <v>17.5</v>
      </c>
      <c r="H39" s="70" t="s">
        <v>63</v>
      </c>
      <c r="I39" s="32">
        <f>IFERROR(VLOOKUP(H39, Locaties!$A$2:$G$15, 7, FALSE), "0")</f>
        <v>18.9</v>
      </c>
      <c r="J39" s="32">
        <f t="shared" si="2"/>
        <v>18.9</v>
      </c>
    </row>
    <row r="40" ht="22.5" customHeight="1">
      <c r="A40" s="70" t="s">
        <v>237</v>
      </c>
      <c r="B40" s="214">
        <v>0.4479166666666667</v>
      </c>
      <c r="C40" s="138">
        <v>60.0</v>
      </c>
      <c r="D40" s="68" t="s">
        <v>239</v>
      </c>
      <c r="E40" s="70" t="s">
        <v>64</v>
      </c>
      <c r="F40" s="32">
        <f>IFERROR(VLOOKUP(E40, Docenten!$A$2:$G$30, 7, FALSE), "0")</f>
        <v>17.5</v>
      </c>
      <c r="G40" s="32">
        <f t="shared" si="3"/>
        <v>17.5</v>
      </c>
      <c r="H40" s="70" t="s">
        <v>63</v>
      </c>
      <c r="I40" s="32">
        <f>IFERROR(VLOOKUP(H40, Locaties!$A$2:$G$15, 7, FALSE), "0")</f>
        <v>18.9</v>
      </c>
      <c r="J40" s="32">
        <f t="shared" si="2"/>
        <v>18.9</v>
      </c>
    </row>
    <row r="41" ht="22.5" customHeight="1">
      <c r="A41" s="70"/>
      <c r="B41" s="214"/>
      <c r="C41" s="138"/>
      <c r="D41" s="68"/>
      <c r="E41" s="70"/>
      <c r="F41" s="32" t="str">
        <f>IFERROR(VLOOKUP(E41, Docenten!$A$2:$G$30, 7, FALSE), "0")</f>
        <v>0</v>
      </c>
      <c r="G41" s="32">
        <f t="shared" si="3"/>
        <v>0</v>
      </c>
      <c r="H41" s="70"/>
      <c r="I41" s="32" t="str">
        <f>IFERROR(VLOOKUP(H41, Locaties!$A$2:$G$15, 7, FALSE), "0")</f>
        <v>0</v>
      </c>
      <c r="J41" s="32">
        <f t="shared" si="2"/>
        <v>0</v>
      </c>
    </row>
    <row r="42" ht="22.5" customHeight="1">
      <c r="A42" s="85"/>
      <c r="B42" s="249"/>
      <c r="C42" s="143"/>
      <c r="D42" s="24"/>
      <c r="E42" s="85"/>
      <c r="F42" s="32" t="str">
        <f>IFERROR(VLOOKUP(E42, Docenten!$A$2:$G$30, 7, FALSE), "0")</f>
        <v>0</v>
      </c>
      <c r="G42" s="32">
        <f t="shared" si="3"/>
        <v>0</v>
      </c>
      <c r="H42" s="85"/>
      <c r="I42" s="32" t="str">
        <f>IFERROR(VLOOKUP(H42, Locaties!$A$2:$G$15, 7, FALSE), "0")</f>
        <v>0</v>
      </c>
      <c r="J42" s="32">
        <f t="shared" si="2"/>
        <v>0</v>
      </c>
    </row>
    <row r="43" ht="22.5" customHeight="1">
      <c r="A43" s="70" t="s">
        <v>112</v>
      </c>
      <c r="B43" s="214">
        <v>0.3958333333333333</v>
      </c>
      <c r="C43" s="138">
        <v>60.0</v>
      </c>
      <c r="D43" s="68" t="s">
        <v>201</v>
      </c>
      <c r="E43" s="70" t="s">
        <v>66</v>
      </c>
      <c r="F43" s="32">
        <f>IFERROR(VLOOKUP(E43, Docenten!$A$2:$G$30, 7, FALSE), "0")</f>
        <v>45</v>
      </c>
      <c r="G43" s="32">
        <f t="shared" si="3"/>
        <v>45</v>
      </c>
      <c r="H43" s="70"/>
      <c r="I43" s="32" t="str">
        <f>IFERROR(VLOOKUP(H43, Locaties!$A$2:$G$15, 7, FALSE), "0")</f>
        <v>0</v>
      </c>
      <c r="J43" s="32">
        <f t="shared" si="2"/>
        <v>0</v>
      </c>
    </row>
    <row r="44" ht="22.5" customHeight="1">
      <c r="A44" s="70" t="s">
        <v>231</v>
      </c>
      <c r="B44" s="214">
        <v>0.7916666666666666</v>
      </c>
      <c r="C44" s="253">
        <v>0.8333333333333334</v>
      </c>
      <c r="D44" s="68" t="s">
        <v>244</v>
      </c>
      <c r="E44" s="70" t="s">
        <v>25</v>
      </c>
      <c r="F44" s="32">
        <f>IFERROR(VLOOKUP(E44, Docenten!$A$2:$G$30, 7, FALSE), "0")</f>
        <v>0</v>
      </c>
      <c r="G44" s="32">
        <f t="shared" si="3"/>
        <v>0</v>
      </c>
      <c r="H44" s="85"/>
      <c r="I44" s="32" t="str">
        <f>IFERROR(VLOOKUP(H44, Locaties!$A$2:$G$15, 7, FALSE), "0")</f>
        <v>0</v>
      </c>
      <c r="J44" s="32">
        <f t="shared" si="2"/>
        <v>0</v>
      </c>
    </row>
    <row r="45" ht="22.5" customHeight="1">
      <c r="A45" s="70" t="s">
        <v>237</v>
      </c>
      <c r="B45" s="214">
        <v>0.5625</v>
      </c>
      <c r="C45" s="253">
        <v>0.6041666666666666</v>
      </c>
      <c r="D45" s="68" t="s">
        <v>244</v>
      </c>
      <c r="E45" s="70" t="s">
        <v>25</v>
      </c>
      <c r="F45" s="32">
        <f>IFERROR(VLOOKUP(E45, Docenten!$A$2:$G$30, 7, FALSE), "0")</f>
        <v>0</v>
      </c>
      <c r="G45" s="32">
        <f t="shared" si="3"/>
        <v>0</v>
      </c>
      <c r="H45" s="85"/>
      <c r="I45" s="32" t="str">
        <f>IFERROR(VLOOKUP(H45, Locaties!$A$2:$G$15, 7, FALSE), "0")</f>
        <v>0</v>
      </c>
      <c r="J45" s="32">
        <f t="shared" si="2"/>
        <v>0</v>
      </c>
    </row>
    <row r="46" ht="22.5" customHeight="1">
      <c r="A46" s="85"/>
      <c r="B46" s="249"/>
      <c r="C46" s="143"/>
      <c r="D46" s="24"/>
      <c r="E46" s="85"/>
      <c r="F46" s="32" t="str">
        <f>IFERROR(VLOOKUP(E46, Docenten!$A$2:$G$30, 7, FALSE), "0")</f>
        <v>0</v>
      </c>
      <c r="G46" s="32">
        <f t="shared" si="3"/>
        <v>0</v>
      </c>
      <c r="H46" s="85"/>
      <c r="I46" s="32" t="str">
        <f>IFERROR(VLOOKUP(H46, Locaties!$A$2:$G$15, 7, FALSE), "0")</f>
        <v>0</v>
      </c>
      <c r="J46" s="32">
        <f t="shared" si="2"/>
        <v>0</v>
      </c>
    </row>
    <row r="47" ht="22.5" customHeight="1">
      <c r="A47" s="85"/>
      <c r="B47" s="249"/>
      <c r="C47" s="143"/>
      <c r="D47" s="24"/>
      <c r="E47" s="85"/>
      <c r="F47" s="32" t="str">
        <f>IFERROR(VLOOKUP(E47, Docenten!$A$2:$G$30, 7, FALSE), "0")</f>
        <v>0</v>
      </c>
      <c r="G47" s="32">
        <f t="shared" si="3"/>
        <v>0</v>
      </c>
      <c r="H47" s="85"/>
      <c r="I47" s="32" t="str">
        <f>IFERROR(VLOOKUP(H47, Locaties!$A$2:$G$15, 7, FALSE), "0")</f>
        <v>0</v>
      </c>
      <c r="J47" s="32">
        <f t="shared" si="2"/>
        <v>0</v>
      </c>
    </row>
    <row r="48" ht="22.5" customHeight="1">
      <c r="A48" s="70" t="s">
        <v>213</v>
      </c>
      <c r="B48" s="214">
        <v>0.75</v>
      </c>
      <c r="C48" s="138">
        <v>60.0</v>
      </c>
      <c r="D48" s="68" t="s">
        <v>246</v>
      </c>
      <c r="E48" s="70" t="s">
        <v>79</v>
      </c>
      <c r="F48" s="32">
        <f>IFERROR(VLOOKUP(E48, Docenten!$A$2:$G$30, 7, FALSE), "0")</f>
        <v>34</v>
      </c>
      <c r="G48" s="32">
        <f t="shared" si="3"/>
        <v>34</v>
      </c>
      <c r="H48" s="70" t="s">
        <v>28</v>
      </c>
      <c r="I48" s="32">
        <f>IFERROR(VLOOKUP(H48, Locaties!$A$2:$G$15, 7, FALSE), "0")</f>
        <v>14.2</v>
      </c>
      <c r="J48" s="32">
        <f t="shared" si="2"/>
        <v>14.2</v>
      </c>
    </row>
    <row r="49" ht="22.5" customHeight="1">
      <c r="A49" s="70" t="s">
        <v>213</v>
      </c>
      <c r="B49" s="214">
        <v>0.7916666666666666</v>
      </c>
      <c r="C49" s="138">
        <v>60.0</v>
      </c>
      <c r="D49" s="68" t="s">
        <v>247</v>
      </c>
      <c r="E49" s="70" t="s">
        <v>79</v>
      </c>
      <c r="F49" s="32">
        <f>IFERROR(VLOOKUP(E49, Docenten!$A$2:$G$30, 7, FALSE), "0")</f>
        <v>34</v>
      </c>
      <c r="G49" s="32">
        <f t="shared" si="3"/>
        <v>34</v>
      </c>
      <c r="H49" s="70" t="s">
        <v>28</v>
      </c>
      <c r="I49" s="32">
        <f>IFERROR(VLOOKUP(H49, Locaties!$A$2:$G$15, 7, FALSE), "0")</f>
        <v>14.2</v>
      </c>
      <c r="J49" s="32">
        <f t="shared" si="2"/>
        <v>14.2</v>
      </c>
    </row>
    <row r="50" ht="22.5" customHeight="1">
      <c r="A50" s="85"/>
      <c r="B50" s="249"/>
      <c r="C50" s="143"/>
      <c r="D50" s="24"/>
      <c r="E50" s="85"/>
      <c r="F50" s="32" t="str">
        <f>IFERROR(VLOOKUP(E50, Docenten!$A$2:$G$30, 7, FALSE), "0")</f>
        <v>0</v>
      </c>
      <c r="G50" s="32">
        <f t="shared" si="3"/>
        <v>0</v>
      </c>
      <c r="H50" s="85"/>
      <c r="I50" s="32" t="str">
        <f>IFERROR(VLOOKUP(H50, Locaties!$A$2:$G$15, 7, FALSE), "0")</f>
        <v>0</v>
      </c>
      <c r="J50" s="32">
        <f t="shared" si="2"/>
        <v>0</v>
      </c>
    </row>
    <row r="51" ht="22.5" customHeight="1">
      <c r="A51" s="85"/>
      <c r="B51" s="249"/>
      <c r="C51" s="143"/>
      <c r="D51" s="24"/>
      <c r="E51" s="85"/>
      <c r="F51" s="32" t="str">
        <f>IFERROR(VLOOKUP(E51, Docenten!$A$2:$G$30, 7, FALSE), "0")</f>
        <v>0</v>
      </c>
      <c r="G51" s="32">
        <f t="shared" si="3"/>
        <v>0</v>
      </c>
      <c r="H51" s="85"/>
      <c r="I51" s="32" t="str">
        <f>IFERROR(VLOOKUP(H51, Locaties!$A$2:$G$15, 7, FALSE), "0")</f>
        <v>0</v>
      </c>
      <c r="J51" s="32">
        <f t="shared" si="2"/>
        <v>0</v>
      </c>
    </row>
    <row r="52" ht="22.5" customHeight="1">
      <c r="A52" s="85"/>
      <c r="B52" s="249"/>
      <c r="C52" s="143"/>
      <c r="D52" s="24"/>
      <c r="E52" s="85"/>
      <c r="F52" s="32" t="str">
        <f>IFERROR(VLOOKUP(E52, Docenten!$A$2:$G$30, 7, FALSE), "0")</f>
        <v>0</v>
      </c>
      <c r="G52" s="32">
        <f t="shared" si="3"/>
        <v>0</v>
      </c>
      <c r="H52" s="85"/>
      <c r="I52" s="32" t="str">
        <f>IFERROR(VLOOKUP(H52, Locaties!$A$2:$G$15, 7, FALSE), "0")</f>
        <v>0</v>
      </c>
      <c r="J52" s="32">
        <f t="shared" si="2"/>
        <v>0</v>
      </c>
    </row>
    <row r="53" ht="22.5" customHeight="1">
      <c r="A53" s="85"/>
      <c r="B53" s="249"/>
      <c r="C53" s="143"/>
      <c r="D53" s="24"/>
      <c r="E53" s="85"/>
      <c r="F53" s="32" t="str">
        <f>IFERROR(VLOOKUP(E53, Docenten!$A$2:$G$30, 7, FALSE), "0")</f>
        <v>0</v>
      </c>
      <c r="G53" s="32">
        <f t="shared" si="3"/>
        <v>0</v>
      </c>
      <c r="H53" s="85"/>
      <c r="I53" s="32" t="str">
        <f>IFERROR(VLOOKUP(H53, Locaties!$A$2:$G$15, 7, FALSE), "0")</f>
        <v>0</v>
      </c>
      <c r="J53" s="32">
        <f t="shared" si="2"/>
        <v>0</v>
      </c>
    </row>
    <row r="54" ht="22.5" customHeight="1">
      <c r="A54" s="85"/>
      <c r="B54" s="249"/>
      <c r="C54" s="143"/>
      <c r="D54" s="24"/>
      <c r="E54" s="85"/>
      <c r="F54" s="32" t="str">
        <f>IFERROR(VLOOKUP(E54, Docenten!$A$2:$G$30, 7, FALSE), "0")</f>
        <v>0</v>
      </c>
      <c r="G54" s="32">
        <f t="shared" si="3"/>
        <v>0</v>
      </c>
      <c r="H54" s="85"/>
      <c r="I54" s="32" t="str">
        <f>IFERROR(VLOOKUP(H54, Locaties!$A$2:$G$15, 7, FALSE), "0")</f>
        <v>0</v>
      </c>
      <c r="J54" s="32">
        <f t="shared" si="2"/>
        <v>0</v>
      </c>
    </row>
    <row r="55" ht="22.5" customHeight="1">
      <c r="A55" s="85"/>
      <c r="B55" s="249"/>
      <c r="C55" s="143"/>
      <c r="D55" s="24"/>
      <c r="E55" s="85"/>
      <c r="F55" s="32" t="str">
        <f>IFERROR(VLOOKUP(E55, Docenten!$A$2:$G$30, 7, FALSE), "0")</f>
        <v>0</v>
      </c>
      <c r="G55" s="32">
        <f t="shared" si="3"/>
        <v>0</v>
      </c>
      <c r="H55" s="85"/>
      <c r="I55" s="32" t="str">
        <f>IFERROR(VLOOKUP(H55, Locaties!$A$2:$G$15, 7, FALSE), "0")</f>
        <v>0</v>
      </c>
      <c r="J55" s="32">
        <f t="shared" si="2"/>
        <v>0</v>
      </c>
    </row>
    <row r="56" ht="22.5" customHeight="1">
      <c r="A56" s="85"/>
      <c r="B56" s="249"/>
      <c r="C56" s="143"/>
      <c r="D56" s="24"/>
      <c r="E56" s="85"/>
      <c r="F56" s="32" t="str">
        <f>IFERROR(VLOOKUP(E56, Docenten!$A$2:$G$30, 7, FALSE), "0")</f>
        <v>0</v>
      </c>
      <c r="G56" s="32">
        <f t="shared" si="3"/>
        <v>0</v>
      </c>
      <c r="H56" s="85"/>
      <c r="I56" s="32" t="str">
        <f>IFERROR(VLOOKUP(H56, Locaties!$A$2:$G$15, 7, FALSE), "0")</f>
        <v>0</v>
      </c>
      <c r="J56" s="32">
        <f t="shared" si="2"/>
        <v>0</v>
      </c>
    </row>
    <row r="57" ht="22.5" customHeight="1">
      <c r="A57" s="85"/>
      <c r="B57" s="249"/>
      <c r="C57" s="143"/>
      <c r="D57" s="24"/>
      <c r="E57" s="85"/>
      <c r="F57" s="32" t="str">
        <f>IFERROR(VLOOKUP(E57, Docenten!$A$2:$G$30, 7, FALSE), "0")</f>
        <v>0</v>
      </c>
      <c r="G57" s="32">
        <f t="shared" si="3"/>
        <v>0</v>
      </c>
      <c r="H57" s="85"/>
      <c r="I57" s="32" t="str">
        <f>IFERROR(VLOOKUP(H57, Locaties!$A$2:$G$15, 7, FALSE), "0")</f>
        <v>0</v>
      </c>
      <c r="J57" s="32">
        <f t="shared" si="2"/>
        <v>0</v>
      </c>
    </row>
    <row r="58" ht="22.5" customHeight="1">
      <c r="A58" s="85"/>
      <c r="B58" s="249"/>
      <c r="C58" s="143"/>
      <c r="D58" s="24"/>
      <c r="E58" s="85"/>
      <c r="F58" s="32" t="str">
        <f>IFERROR(VLOOKUP(E58, Docenten!$A$2:$G$30, 7, FALSE), "0")</f>
        <v>0</v>
      </c>
      <c r="G58" s="32">
        <f t="shared" si="3"/>
        <v>0</v>
      </c>
      <c r="H58" s="85"/>
      <c r="I58" s="32" t="str">
        <f>IFERROR(VLOOKUP(H58, Locaties!$A$2:$G$15, 7, FALSE), "0")</f>
        <v>0</v>
      </c>
      <c r="J58" s="32">
        <f t="shared" si="2"/>
        <v>0</v>
      </c>
    </row>
    <row r="59" ht="22.5" customHeight="1">
      <c r="A59" s="85"/>
      <c r="B59" s="249"/>
      <c r="C59" s="143"/>
      <c r="D59" s="24"/>
      <c r="E59" s="85"/>
      <c r="F59" s="32" t="str">
        <f>IFERROR(VLOOKUP(E59, Docenten!$A$2:$G$30, 7, FALSE), "0")</f>
        <v>0</v>
      </c>
      <c r="G59" s="32">
        <f t="shared" si="3"/>
        <v>0</v>
      </c>
      <c r="H59" s="85"/>
      <c r="I59" s="32" t="str">
        <f>IFERROR(VLOOKUP(H59, Locaties!$A$2:$G$15, 7, FALSE), "0")</f>
        <v>0</v>
      </c>
      <c r="J59" s="32">
        <f t="shared" si="2"/>
        <v>0</v>
      </c>
    </row>
    <row r="60" ht="22.5" customHeight="1">
      <c r="A60" s="85"/>
      <c r="B60" s="249"/>
      <c r="C60" s="143"/>
      <c r="D60" s="24"/>
      <c r="E60" s="85"/>
      <c r="F60" s="32" t="str">
        <f>IFERROR(VLOOKUP(E60, Docenten!$A$2:$G$30, 7, FALSE), "0")</f>
        <v>0</v>
      </c>
      <c r="G60" s="32">
        <f t="shared" si="3"/>
        <v>0</v>
      </c>
      <c r="H60" s="85"/>
      <c r="I60" s="32" t="str">
        <f>IFERROR(VLOOKUP(H60, Locaties!$A$2:$G$15, 7, FALSE), "0")</f>
        <v>0</v>
      </c>
      <c r="J60" s="32">
        <f t="shared" si="2"/>
        <v>0</v>
      </c>
    </row>
    <row r="61" ht="22.5" customHeight="1">
      <c r="A61" s="85"/>
      <c r="B61" s="249"/>
      <c r="C61" s="143"/>
      <c r="D61" s="24"/>
      <c r="E61" s="85"/>
      <c r="F61" s="32" t="str">
        <f>IFERROR(VLOOKUP(E61, Docenten!$A$2:$G$30, 7, FALSE), "0")</f>
        <v>0</v>
      </c>
      <c r="G61" s="32">
        <f t="shared" si="3"/>
        <v>0</v>
      </c>
      <c r="H61" s="85"/>
      <c r="I61" s="32" t="str">
        <f>IFERROR(VLOOKUP(H61, Locaties!$A$2:$G$15, 7, FALSE), "0")</f>
        <v>0</v>
      </c>
      <c r="J61" s="32">
        <f t="shared" si="2"/>
        <v>0</v>
      </c>
    </row>
    <row r="62" ht="22.5" customHeight="1">
      <c r="A62" s="85"/>
      <c r="B62" s="249"/>
      <c r="C62" s="143"/>
      <c r="D62" s="24"/>
      <c r="E62" s="85"/>
      <c r="F62" s="32" t="str">
        <f>IFERROR(VLOOKUP(E62, Docenten!$A$2:$G$30, 7, FALSE), "0")</f>
        <v>0</v>
      </c>
      <c r="G62" s="32">
        <f t="shared" si="3"/>
        <v>0</v>
      </c>
      <c r="H62" s="85"/>
      <c r="I62" s="32" t="str">
        <f>IFERROR(VLOOKUP(H62, Locaties!$A$2:$G$15, 7, FALSE), "0")</f>
        <v>0</v>
      </c>
      <c r="J62" s="32">
        <f t="shared" si="2"/>
        <v>0</v>
      </c>
    </row>
    <row r="63" ht="22.5" customHeight="1">
      <c r="A63" s="85"/>
      <c r="B63" s="249"/>
      <c r="C63" s="143"/>
      <c r="D63" s="24"/>
      <c r="E63" s="85"/>
      <c r="F63" s="32" t="str">
        <f>IFERROR(VLOOKUP(E63, Docenten!$A$2:$G$30, 7, FALSE), "0")</f>
        <v>0</v>
      </c>
      <c r="G63" s="32">
        <f t="shared" si="3"/>
        <v>0</v>
      </c>
      <c r="H63" s="85"/>
      <c r="I63" s="32" t="str">
        <f>IFERROR(VLOOKUP(H63, Locaties!$A$2:$G$15, 7, FALSE), "0")</f>
        <v>0</v>
      </c>
      <c r="J63" s="32">
        <f t="shared" si="2"/>
        <v>0</v>
      </c>
    </row>
    <row r="64" ht="22.5" customHeight="1">
      <c r="A64" s="85"/>
      <c r="B64" s="249"/>
      <c r="C64" s="143"/>
      <c r="D64" s="24"/>
      <c r="E64" s="85"/>
      <c r="F64" s="32" t="str">
        <f>IFERROR(VLOOKUP(E64, Docenten!$A$2:$G$30, 7, FALSE), "0")</f>
        <v>0</v>
      </c>
      <c r="G64" s="32">
        <f t="shared" si="3"/>
        <v>0</v>
      </c>
      <c r="H64" s="85"/>
      <c r="I64" s="32" t="str">
        <f>IFERROR(VLOOKUP(H64, Locaties!$A$2:$G$15, 7, FALSE), "0")</f>
        <v>0</v>
      </c>
      <c r="J64" s="32">
        <f t="shared" si="2"/>
        <v>0</v>
      </c>
    </row>
    <row r="65" ht="22.5" customHeight="1">
      <c r="A65" s="85"/>
      <c r="B65" s="249"/>
      <c r="C65" s="143"/>
      <c r="D65" s="24"/>
      <c r="E65" s="85"/>
      <c r="F65" s="32" t="str">
        <f>IFERROR(VLOOKUP(E65, Docenten!$A$2:$G$30, 7, FALSE), "0")</f>
        <v>0</v>
      </c>
      <c r="G65" s="32">
        <f t="shared" si="3"/>
        <v>0</v>
      </c>
      <c r="H65" s="85"/>
      <c r="I65" s="32" t="str">
        <f>IFERROR(VLOOKUP(H65, Locaties!$A$2:$G$15, 7, FALSE), "0")</f>
        <v>0</v>
      </c>
      <c r="J65" s="32">
        <f t="shared" si="2"/>
        <v>0</v>
      </c>
    </row>
    <row r="66" ht="22.5" customHeight="1">
      <c r="A66" s="85"/>
      <c r="B66" s="249"/>
      <c r="C66" s="143"/>
      <c r="D66" s="24"/>
      <c r="E66" s="85"/>
      <c r="F66" s="32" t="str">
        <f>IFERROR(VLOOKUP(E66, Docenten!$A$2:$G$30, 7, FALSE), "0")</f>
        <v>0</v>
      </c>
      <c r="G66" s="32">
        <f t="shared" si="3"/>
        <v>0</v>
      </c>
      <c r="H66" s="85"/>
      <c r="I66" s="32" t="str">
        <f>IFERROR(VLOOKUP(H66, Locaties!$A$2:$G$15, 7, FALSE), "0")</f>
        <v>0</v>
      </c>
      <c r="J66" s="32">
        <f t="shared" si="2"/>
        <v>0</v>
      </c>
    </row>
    <row r="67" ht="22.5" customHeight="1">
      <c r="A67" s="85"/>
      <c r="B67" s="249"/>
      <c r="C67" s="143"/>
      <c r="D67" s="24"/>
      <c r="E67" s="85"/>
      <c r="F67" s="32" t="str">
        <f>IFERROR(VLOOKUP(E67, Docenten!$A$2:$G$30, 7, FALSE), "0")</f>
        <v>0</v>
      </c>
      <c r="G67" s="32">
        <f t="shared" si="3"/>
        <v>0</v>
      </c>
      <c r="H67" s="85"/>
      <c r="I67" s="32" t="str">
        <f>IFERROR(VLOOKUP(H67, Locaties!$A$2:$G$15, 7, FALSE), "0")</f>
        <v>0</v>
      </c>
      <c r="J67" s="32">
        <f t="shared" si="2"/>
        <v>0</v>
      </c>
    </row>
    <row r="68" ht="22.5" customHeight="1">
      <c r="A68" s="85"/>
      <c r="B68" s="249"/>
      <c r="C68" s="143"/>
      <c r="D68" s="24"/>
      <c r="E68" s="85"/>
      <c r="F68" s="32" t="str">
        <f>IFERROR(VLOOKUP(E68, Docenten!$A$2:$G$30, 7, FALSE), "0")</f>
        <v>0</v>
      </c>
      <c r="G68" s="32">
        <f t="shared" si="3"/>
        <v>0</v>
      </c>
      <c r="H68" s="85"/>
      <c r="I68" s="32" t="str">
        <f>IFERROR(VLOOKUP(H68, Locaties!$A$2:$G$15, 7, FALSE), "0")</f>
        <v>0</v>
      </c>
      <c r="J68" s="32">
        <f t="shared" si="2"/>
        <v>0</v>
      </c>
    </row>
    <row r="69" ht="22.5" customHeight="1">
      <c r="A69" s="85"/>
      <c r="B69" s="249"/>
      <c r="C69" s="143"/>
      <c r="D69" s="24"/>
      <c r="E69" s="85"/>
      <c r="F69" s="32" t="str">
        <f>IFERROR(VLOOKUP(E69, Docenten!$A$2:$G$30, 7, FALSE), "0")</f>
        <v>0</v>
      </c>
      <c r="G69" s="32">
        <f t="shared" si="3"/>
        <v>0</v>
      </c>
      <c r="H69" s="85"/>
      <c r="I69" s="32" t="str">
        <f>IFERROR(VLOOKUP(H69, Locaties!$A$2:$G$15, 7, FALSE), "0")</f>
        <v>0</v>
      </c>
      <c r="J69" s="32">
        <f t="shared" si="2"/>
        <v>0</v>
      </c>
    </row>
    <row r="70" ht="22.5" customHeight="1">
      <c r="A70" s="85"/>
      <c r="B70" s="249"/>
      <c r="C70" s="143"/>
      <c r="D70" s="24"/>
      <c r="E70" s="85"/>
      <c r="F70" s="32" t="str">
        <f>IFERROR(VLOOKUP(E70, Docenten!$A$2:$G$30, 7, FALSE), "0")</f>
        <v>0</v>
      </c>
      <c r="G70" s="32">
        <f t="shared" si="3"/>
        <v>0</v>
      </c>
      <c r="H70" s="85"/>
      <c r="I70" s="32" t="str">
        <f>IFERROR(VLOOKUP(H70, Locaties!$A$2:$G$15, 7, FALSE), "0")</f>
        <v>0</v>
      </c>
      <c r="J70" s="32">
        <f t="shared" si="2"/>
        <v>0</v>
      </c>
    </row>
    <row r="71" ht="22.5" customHeight="1">
      <c r="A71" s="85"/>
      <c r="B71" s="249"/>
      <c r="C71" s="143"/>
      <c r="D71" s="24"/>
      <c r="E71" s="85"/>
      <c r="F71" s="32" t="str">
        <f>IFERROR(VLOOKUP(E71, Docenten!$A$2:$G$30, 7, FALSE), "0")</f>
        <v>0</v>
      </c>
      <c r="G71" s="32">
        <f t="shared" si="3"/>
        <v>0</v>
      </c>
      <c r="H71" s="85"/>
      <c r="I71" s="32" t="str">
        <f>IFERROR(VLOOKUP(H71, Locaties!$A$2:$G$15, 7, FALSE), "0")</f>
        <v>0</v>
      </c>
      <c r="J71" s="32">
        <f t="shared" si="2"/>
        <v>0</v>
      </c>
    </row>
    <row r="72" ht="22.5" customHeight="1">
      <c r="A72" s="85"/>
      <c r="B72" s="249"/>
      <c r="C72" s="143"/>
      <c r="D72" s="24"/>
      <c r="E72" s="85"/>
      <c r="F72" s="32" t="str">
        <f>IFERROR(VLOOKUP(E72, Docenten!$A$2:$G$30, 7, FALSE), "0")</f>
        <v>0</v>
      </c>
      <c r="G72" s="32">
        <f t="shared" si="3"/>
        <v>0</v>
      </c>
      <c r="H72" s="85"/>
      <c r="I72" s="32" t="str">
        <f>IFERROR(VLOOKUP(H72, Locaties!$A$2:$G$15, 7, FALSE), "0")</f>
        <v>0</v>
      </c>
      <c r="J72" s="32">
        <f t="shared" si="2"/>
        <v>0</v>
      </c>
    </row>
    <row r="73" ht="22.5" customHeight="1">
      <c r="A73" s="85"/>
      <c r="B73" s="249"/>
      <c r="C73" s="143"/>
      <c r="D73" s="24"/>
      <c r="E73" s="85"/>
      <c r="F73" s="32" t="str">
        <f>IFERROR(VLOOKUP(E73, Docenten!$A$2:$G$30, 7, FALSE), "0")</f>
        <v>0</v>
      </c>
      <c r="G73" s="32">
        <f t="shared" si="3"/>
        <v>0</v>
      </c>
      <c r="H73" s="85"/>
      <c r="I73" s="32" t="str">
        <f>IFERROR(VLOOKUP(H73, Locaties!$A$2:$G$15, 7, FALSE), "0")</f>
        <v>0</v>
      </c>
      <c r="J73" s="32">
        <f t="shared" si="2"/>
        <v>0</v>
      </c>
    </row>
    <row r="74" ht="22.5" customHeight="1">
      <c r="A74" s="85"/>
      <c r="B74" s="249"/>
      <c r="C74" s="143"/>
      <c r="D74" s="24"/>
      <c r="E74" s="85"/>
      <c r="F74" s="32" t="str">
        <f>IFERROR(VLOOKUP(E74, Docenten!$A$2:$G$30, 7, FALSE), "0")</f>
        <v>0</v>
      </c>
      <c r="G74" s="32">
        <f t="shared" si="3"/>
        <v>0</v>
      </c>
      <c r="H74" s="85"/>
      <c r="I74" s="32" t="str">
        <f>IFERROR(VLOOKUP(H74, Locaties!$A$2:$G$15, 7, FALSE), "0")</f>
        <v>0</v>
      </c>
      <c r="J74" s="32">
        <f t="shared" si="2"/>
        <v>0</v>
      </c>
    </row>
    <row r="75" ht="22.5" customHeight="1">
      <c r="A75" s="85"/>
      <c r="B75" s="249"/>
      <c r="C75" s="143"/>
      <c r="D75" s="24"/>
      <c r="E75" s="85"/>
      <c r="F75" s="32" t="str">
        <f>IFERROR(VLOOKUP(E75, Docenten!$A$2:$G$30, 7, FALSE), "0")</f>
        <v>0</v>
      </c>
      <c r="G75" s="32">
        <f t="shared" si="3"/>
        <v>0</v>
      </c>
      <c r="H75" s="85"/>
      <c r="I75" s="32" t="str">
        <f>IFERROR(VLOOKUP(H75, Locaties!$A$2:$G$15, 7, FALSE), "0")</f>
        <v>0</v>
      </c>
      <c r="J75" s="32">
        <f t="shared" si="2"/>
        <v>0</v>
      </c>
    </row>
    <row r="76" ht="22.5" customHeight="1">
      <c r="A76" s="85"/>
      <c r="B76" s="249"/>
      <c r="C76" s="143"/>
      <c r="D76" s="24"/>
      <c r="E76" s="85"/>
      <c r="F76" s="32" t="str">
        <f>IFERROR(VLOOKUP(E76, Docenten!$A$2:$G$30, 7, FALSE), "0")</f>
        <v>0</v>
      </c>
      <c r="G76" s="32">
        <f t="shared" si="3"/>
        <v>0</v>
      </c>
      <c r="H76" s="85"/>
      <c r="I76" s="32" t="str">
        <f>IFERROR(VLOOKUP(H76, Locaties!$A$2:$G$15, 7, FALSE), "0")</f>
        <v>0</v>
      </c>
      <c r="J76" s="32">
        <f t="shared" si="2"/>
        <v>0</v>
      </c>
    </row>
    <row r="77" ht="22.5" customHeight="1">
      <c r="A77" s="85"/>
      <c r="B77" s="249"/>
      <c r="C77" s="143"/>
      <c r="D77" s="24"/>
      <c r="E77" s="85"/>
      <c r="F77" s="32" t="str">
        <f>IFERROR(VLOOKUP(E77, Docenten!$A$2:$G$30, 7, FALSE), "0")</f>
        <v>0</v>
      </c>
      <c r="G77" s="32">
        <f t="shared" si="3"/>
        <v>0</v>
      </c>
      <c r="H77" s="85"/>
      <c r="I77" s="32" t="str">
        <f>IFERROR(VLOOKUP(H77, Locaties!$A$2:$G$15, 7, FALSE), "0")</f>
        <v>0</v>
      </c>
      <c r="J77" s="32">
        <f t="shared" si="2"/>
        <v>0</v>
      </c>
    </row>
    <row r="78" ht="22.5" customHeight="1">
      <c r="A78" s="85"/>
      <c r="B78" s="249"/>
      <c r="C78" s="143"/>
      <c r="D78" s="24"/>
      <c r="E78" s="85"/>
      <c r="F78" s="32" t="str">
        <f>IFERROR(VLOOKUP(E78, Docenten!$A$2:$G$30, 7, FALSE), "0")</f>
        <v>0</v>
      </c>
      <c r="G78" s="32">
        <f t="shared" si="3"/>
        <v>0</v>
      </c>
      <c r="H78" s="85"/>
      <c r="I78" s="32" t="str">
        <f>IFERROR(VLOOKUP(H78, Locaties!$A$2:$G$15, 7, FALSE), "0")</f>
        <v>0</v>
      </c>
      <c r="J78" s="32">
        <f t="shared" si="2"/>
        <v>0</v>
      </c>
    </row>
    <row r="79" ht="22.5" customHeight="1">
      <c r="A79" s="85"/>
      <c r="B79" s="249"/>
      <c r="C79" s="143"/>
      <c r="D79" s="24"/>
      <c r="E79" s="85"/>
      <c r="F79" s="32" t="str">
        <f>IFERROR(VLOOKUP(E79, Docenten!$A$2:$G$30, 7, FALSE), "0")</f>
        <v>0</v>
      </c>
      <c r="G79" s="32">
        <f t="shared" si="3"/>
        <v>0</v>
      </c>
      <c r="H79" s="85"/>
      <c r="I79" s="32" t="str">
        <f>IFERROR(VLOOKUP(H79, Locaties!$A$2:$G$15, 7, FALSE), "0")</f>
        <v>0</v>
      </c>
      <c r="J79" s="32">
        <f t="shared" si="2"/>
        <v>0</v>
      </c>
    </row>
    <row r="80" ht="22.5" customHeight="1">
      <c r="A80" s="85"/>
      <c r="B80" s="249"/>
      <c r="C80" s="143"/>
      <c r="D80" s="24"/>
      <c r="E80" s="85"/>
      <c r="F80" s="32" t="str">
        <f>IFERROR(VLOOKUP(E80, Docenten!$A$2:$G$30, 7, FALSE), "0")</f>
        <v>0</v>
      </c>
      <c r="G80" s="32">
        <f t="shared" si="3"/>
        <v>0</v>
      </c>
      <c r="H80" s="85"/>
      <c r="I80" s="32" t="str">
        <f>IFERROR(VLOOKUP(H80, Locaties!$A$2:$G$15, 7, FALSE), "0")</f>
        <v>0</v>
      </c>
      <c r="J80" s="32">
        <f t="shared" si="2"/>
        <v>0</v>
      </c>
    </row>
    <row r="81" ht="22.5" customHeight="1">
      <c r="A81" s="85"/>
      <c r="B81" s="249"/>
      <c r="C81" s="143"/>
      <c r="D81" s="24"/>
      <c r="E81" s="85"/>
      <c r="F81" s="32" t="str">
        <f>IFERROR(VLOOKUP(E81, Docenten!$A$2:$G$30, 7, FALSE), "0")</f>
        <v>0</v>
      </c>
      <c r="G81" s="32">
        <f t="shared" si="3"/>
        <v>0</v>
      </c>
      <c r="H81" s="85"/>
      <c r="I81" s="32" t="str">
        <f>IFERROR(VLOOKUP(H81, Locaties!$A$2:$G$15, 7, FALSE), "0")</f>
        <v>0</v>
      </c>
      <c r="J81" s="32">
        <f t="shared" si="2"/>
        <v>0</v>
      </c>
    </row>
    <row r="82" ht="22.5" customHeight="1">
      <c r="A82" s="85"/>
      <c r="B82" s="249"/>
      <c r="C82" s="143"/>
      <c r="D82" s="24"/>
      <c r="E82" s="85"/>
      <c r="F82" s="32" t="str">
        <f>IFERROR(VLOOKUP(E82, Docenten!$A$2:$G$30, 7, FALSE), "0")</f>
        <v>0</v>
      </c>
      <c r="G82" s="32">
        <f t="shared" si="3"/>
        <v>0</v>
      </c>
      <c r="H82" s="85"/>
      <c r="I82" s="32" t="str">
        <f>IFERROR(VLOOKUP(H82, Locaties!$A$2:$G$15, 7, FALSE), "0")</f>
        <v>0</v>
      </c>
      <c r="J82" s="32">
        <f t="shared" si="2"/>
        <v>0</v>
      </c>
    </row>
    <row r="83" ht="22.5" customHeight="1">
      <c r="A83" s="85"/>
      <c r="B83" s="249"/>
      <c r="C83" s="143"/>
      <c r="D83" s="24"/>
      <c r="E83" s="85"/>
      <c r="F83" s="32" t="str">
        <f>IFERROR(VLOOKUP(E83, Docenten!$A$2:$G$30, 7, FALSE), "0")</f>
        <v>0</v>
      </c>
      <c r="G83" s="32">
        <f t="shared" si="3"/>
        <v>0</v>
      </c>
      <c r="H83" s="85"/>
      <c r="I83" s="32" t="str">
        <f>IFERROR(VLOOKUP(H83, Locaties!$A$2:$G$15, 7, FALSE), "0")</f>
        <v>0</v>
      </c>
      <c r="J83" s="32">
        <f t="shared" si="2"/>
        <v>0</v>
      </c>
    </row>
    <row r="84" ht="22.5" customHeight="1">
      <c r="A84" s="85"/>
      <c r="B84" s="249"/>
      <c r="C84" s="143"/>
      <c r="D84" s="24"/>
      <c r="E84" s="85"/>
      <c r="F84" s="32" t="str">
        <f>IFERROR(VLOOKUP(E84, Docenten!$A$2:$G$30, 7, FALSE), "0")</f>
        <v>0</v>
      </c>
      <c r="G84" s="32">
        <f t="shared" si="3"/>
        <v>0</v>
      </c>
      <c r="H84" s="85"/>
      <c r="I84" s="32" t="str">
        <f>IFERROR(VLOOKUP(H84, Locaties!$A$2:$G$15, 7, FALSE), "0")</f>
        <v>0</v>
      </c>
      <c r="J84" s="32">
        <f t="shared" si="2"/>
        <v>0</v>
      </c>
    </row>
    <row r="85" ht="22.5" customHeight="1">
      <c r="A85" s="85"/>
      <c r="B85" s="249"/>
      <c r="C85" s="143"/>
      <c r="D85" s="24"/>
      <c r="E85" s="85"/>
      <c r="F85" s="32" t="str">
        <f>IFERROR(VLOOKUP(E85, Docenten!$A$2:$G$30, 7, FALSE), "0")</f>
        <v>0</v>
      </c>
      <c r="G85" s="32">
        <f t="shared" si="3"/>
        <v>0</v>
      </c>
      <c r="H85" s="85"/>
      <c r="I85" s="32" t="str">
        <f>IFERROR(VLOOKUP(H85, Locaties!$A$2:$G$15, 7, FALSE), "0")</f>
        <v>0</v>
      </c>
      <c r="J85" s="32">
        <f t="shared" si="2"/>
        <v>0</v>
      </c>
    </row>
    <row r="86" ht="22.5" customHeight="1">
      <c r="A86" s="85"/>
      <c r="B86" s="249"/>
      <c r="C86" s="143"/>
      <c r="D86" s="24"/>
      <c r="E86" s="85"/>
      <c r="F86" s="32" t="str">
        <f>IFERROR(VLOOKUP(E86, Docenten!$A$2:$G$30, 7, FALSE), "0")</f>
        <v>0</v>
      </c>
      <c r="G86" s="32">
        <f t="shared" si="3"/>
        <v>0</v>
      </c>
      <c r="H86" s="85"/>
      <c r="I86" s="32" t="str">
        <f>IFERROR(VLOOKUP(H86, Locaties!$A$2:$G$15, 7, FALSE), "0")</f>
        <v>0</v>
      </c>
      <c r="J86" s="32">
        <f t="shared" si="2"/>
        <v>0</v>
      </c>
    </row>
    <row r="87" ht="22.5" customHeight="1">
      <c r="A87" s="85"/>
      <c r="B87" s="249"/>
      <c r="C87" s="143"/>
      <c r="D87" s="24"/>
      <c r="E87" s="85"/>
      <c r="F87" s="32" t="str">
        <f>IFERROR(VLOOKUP(E87, Docenten!$A$2:$G$30, 7, FALSE), "0")</f>
        <v>0</v>
      </c>
      <c r="G87" s="32">
        <f t="shared" si="3"/>
        <v>0</v>
      </c>
      <c r="H87" s="85"/>
      <c r="I87" s="32" t="str">
        <f>IFERROR(VLOOKUP(H87, Locaties!$A$2:$G$15, 7, FALSE), "0")</f>
        <v>0</v>
      </c>
      <c r="J87" s="32">
        <f t="shared" si="2"/>
        <v>0</v>
      </c>
    </row>
    <row r="88" ht="22.5" customHeight="1">
      <c r="A88" s="85"/>
      <c r="B88" s="249"/>
      <c r="C88" s="143"/>
      <c r="D88" s="24"/>
      <c r="E88" s="85"/>
      <c r="F88" s="32" t="str">
        <f>IFERROR(VLOOKUP(E88, Docenten!$A$2:$G$30, 7, FALSE), "0")</f>
        <v>0</v>
      </c>
      <c r="G88" s="32">
        <f t="shared" si="3"/>
        <v>0</v>
      </c>
      <c r="H88" s="85"/>
      <c r="I88" s="32" t="str">
        <f>IFERROR(VLOOKUP(H88, Locaties!$A$2:$G$15, 7, FALSE), "0")</f>
        <v>0</v>
      </c>
      <c r="J88" s="32">
        <f t="shared" si="2"/>
        <v>0</v>
      </c>
    </row>
    <row r="89" ht="22.5" customHeight="1">
      <c r="A89" s="85"/>
      <c r="B89" s="249"/>
      <c r="C89" s="143"/>
      <c r="D89" s="24"/>
      <c r="E89" s="85"/>
      <c r="F89" s="32" t="str">
        <f>IFERROR(VLOOKUP(E89, Docenten!$A$2:$G$30, 7, FALSE), "0")</f>
        <v>0</v>
      </c>
      <c r="G89" s="32">
        <f t="shared" si="3"/>
        <v>0</v>
      </c>
      <c r="H89" s="85"/>
      <c r="I89" s="32" t="str">
        <f>IFERROR(VLOOKUP(H89, Locaties!$A$2:$G$15, 7, FALSE), "0")</f>
        <v>0</v>
      </c>
      <c r="J89" s="32">
        <f t="shared" si="2"/>
        <v>0</v>
      </c>
    </row>
    <row r="90" ht="22.5" customHeight="1">
      <c r="A90" s="85"/>
      <c r="B90" s="249"/>
      <c r="C90" s="143"/>
      <c r="D90" s="24"/>
      <c r="E90" s="85"/>
      <c r="F90" s="32" t="str">
        <f>IFERROR(VLOOKUP(E90, Docenten!$A$2:$G$30, 7, FALSE), "0")</f>
        <v>0</v>
      </c>
      <c r="G90" s="32">
        <f t="shared" si="3"/>
        <v>0</v>
      </c>
      <c r="H90" s="85"/>
      <c r="I90" s="32" t="str">
        <f>IFERROR(VLOOKUP(H90, Locaties!$A$2:$G$15, 7, FALSE), "0")</f>
        <v>0</v>
      </c>
      <c r="J90" s="32">
        <f t="shared" si="2"/>
        <v>0</v>
      </c>
    </row>
    <row r="91" ht="22.5" customHeight="1">
      <c r="A91" s="85"/>
      <c r="B91" s="249"/>
      <c r="C91" s="143"/>
      <c r="D91" s="24"/>
      <c r="E91" s="85"/>
      <c r="F91" s="32" t="str">
        <f>IFERROR(VLOOKUP(E91, Docenten!$A$2:$G$30, 7, FALSE), "0")</f>
        <v>0</v>
      </c>
      <c r="G91" s="32">
        <f t="shared" si="3"/>
        <v>0</v>
      </c>
      <c r="H91" s="85"/>
      <c r="I91" s="32" t="str">
        <f>IFERROR(VLOOKUP(H91, Locaties!$A$2:$G$15, 7, FALSE), "0")</f>
        <v>0</v>
      </c>
      <c r="J91" s="32">
        <f t="shared" si="2"/>
        <v>0</v>
      </c>
    </row>
    <row r="92" ht="22.5" customHeight="1">
      <c r="A92" s="85"/>
      <c r="B92" s="249"/>
      <c r="C92" s="143"/>
      <c r="D92" s="24"/>
      <c r="E92" s="85"/>
      <c r="F92" s="32" t="str">
        <f>IFERROR(VLOOKUP(E92, Docenten!$A$2:$G$30, 7, FALSE), "0")</f>
        <v>0</v>
      </c>
      <c r="G92" s="32">
        <f t="shared" si="3"/>
        <v>0</v>
      </c>
      <c r="H92" s="85"/>
      <c r="I92" s="32" t="str">
        <f>IFERROR(VLOOKUP(H92, Locaties!$A$2:$G$15, 7, FALSE), "0")</f>
        <v>0</v>
      </c>
      <c r="J92" s="32">
        <f t="shared" si="2"/>
        <v>0</v>
      </c>
    </row>
    <row r="93" ht="22.5" customHeight="1">
      <c r="A93" s="85"/>
      <c r="B93" s="249"/>
      <c r="C93" s="143"/>
      <c r="D93" s="24"/>
      <c r="E93" s="85"/>
      <c r="F93" s="32" t="str">
        <f>IFERROR(VLOOKUP(E93, Docenten!$A$2:$G$30, 7, FALSE), "0")</f>
        <v>0</v>
      </c>
      <c r="G93" s="32">
        <f t="shared" si="3"/>
        <v>0</v>
      </c>
      <c r="H93" s="85"/>
      <c r="I93" s="32" t="str">
        <f>IFERROR(VLOOKUP(H93, Locaties!$A$2:$G$15, 7, FALSE), "0")</f>
        <v>0</v>
      </c>
      <c r="J93" s="32">
        <f t="shared" si="2"/>
        <v>0</v>
      </c>
    </row>
    <row r="94" ht="22.5" customHeight="1">
      <c r="A94" s="85"/>
      <c r="B94" s="249"/>
      <c r="C94" s="143"/>
      <c r="D94" s="24"/>
      <c r="E94" s="85"/>
      <c r="F94" s="32" t="str">
        <f>IFERROR(VLOOKUP(E94, Docenten!$A$2:$G$30, 7, FALSE), "0")</f>
        <v>0</v>
      </c>
      <c r="G94" s="32">
        <f t="shared" si="3"/>
        <v>0</v>
      </c>
      <c r="H94" s="85"/>
      <c r="I94" s="32" t="str">
        <f>IFERROR(VLOOKUP(H94, Locaties!$A$2:$G$15, 7, FALSE), "0")</f>
        <v>0</v>
      </c>
      <c r="J94" s="32">
        <f t="shared" si="2"/>
        <v>0</v>
      </c>
    </row>
    <row r="95" ht="22.5" customHeight="1">
      <c r="A95" s="85"/>
      <c r="B95" s="249"/>
      <c r="C95" s="143"/>
      <c r="D95" s="24"/>
      <c r="E95" s="85"/>
      <c r="F95" s="32" t="str">
        <f>IFERROR(VLOOKUP(E95, Docenten!$A$2:$G$30, 7, FALSE), "0")</f>
        <v>0</v>
      </c>
      <c r="G95" s="32">
        <f t="shared" si="3"/>
        <v>0</v>
      </c>
      <c r="H95" s="85"/>
      <c r="I95" s="32" t="str">
        <f>IFERROR(VLOOKUP(H95, Locaties!$A$2:$G$15, 7, FALSE), "0")</f>
        <v>0</v>
      </c>
      <c r="J95" s="32">
        <f t="shared" si="2"/>
        <v>0</v>
      </c>
    </row>
    <row r="96" ht="22.5" customHeight="1">
      <c r="A96" s="85"/>
      <c r="B96" s="249"/>
      <c r="C96" s="143"/>
      <c r="D96" s="24"/>
      <c r="E96" s="85"/>
      <c r="F96" s="32" t="str">
        <f>IFERROR(VLOOKUP(E96, Docenten!$A$2:$G$30, 7, FALSE), "0")</f>
        <v>0</v>
      </c>
      <c r="G96" s="32">
        <f t="shared" si="3"/>
        <v>0</v>
      </c>
      <c r="H96" s="85"/>
      <c r="I96" s="32" t="str">
        <f>IFERROR(VLOOKUP(H96, Locaties!$A$2:$G$15, 7, FALSE), "0")</f>
        <v>0</v>
      </c>
      <c r="J96" s="32">
        <f t="shared" si="2"/>
        <v>0</v>
      </c>
    </row>
    <row r="97" ht="22.5" customHeight="1">
      <c r="A97" s="85"/>
      <c r="B97" s="249"/>
      <c r="C97" s="143"/>
      <c r="D97" s="24"/>
      <c r="E97" s="85"/>
      <c r="F97" s="32" t="str">
        <f>IFERROR(VLOOKUP(E97, Docenten!$A$2:$G$30, 7, FALSE), "0")</f>
        <v>0</v>
      </c>
      <c r="G97" s="32">
        <f t="shared" si="3"/>
        <v>0</v>
      </c>
      <c r="H97" s="85"/>
      <c r="I97" s="32" t="str">
        <f>IFERROR(VLOOKUP(H97, Locaties!$A$2:$G$15, 7, FALSE), "0")</f>
        <v>0</v>
      </c>
      <c r="J97" s="32">
        <f t="shared" si="2"/>
        <v>0</v>
      </c>
    </row>
    <row r="98" ht="22.5" customHeight="1">
      <c r="A98" s="85"/>
      <c r="B98" s="249"/>
      <c r="C98" s="143"/>
      <c r="D98" s="24"/>
      <c r="E98" s="85"/>
      <c r="F98" s="32" t="str">
        <f>IFERROR(VLOOKUP(E98, Docenten!$A$2:$G$30, 7, FALSE), "0")</f>
        <v>0</v>
      </c>
      <c r="G98" s="32">
        <f t="shared" si="3"/>
        <v>0</v>
      </c>
      <c r="H98" s="85"/>
      <c r="I98" s="32" t="str">
        <f>IFERROR(VLOOKUP(H98, Locaties!$A$2:$G$15, 7, FALSE), "0")</f>
        <v>0</v>
      </c>
      <c r="J98" s="32">
        <f t="shared" si="2"/>
        <v>0</v>
      </c>
    </row>
    <row r="99" ht="22.5" customHeight="1">
      <c r="A99" s="85"/>
      <c r="B99" s="249"/>
      <c r="C99" s="143"/>
      <c r="D99" s="24"/>
      <c r="E99" s="85"/>
      <c r="F99" s="32" t="str">
        <f>IFERROR(VLOOKUP(E99, Docenten!$A$2:$G$30, 7, FALSE), "0")</f>
        <v>0</v>
      </c>
      <c r="G99" s="32">
        <f t="shared" si="3"/>
        <v>0</v>
      </c>
      <c r="H99" s="85"/>
      <c r="I99" s="32" t="str">
        <f>IFERROR(VLOOKUP(H99, Locaties!$A$2:$G$15, 7, FALSE), "0")</f>
        <v>0</v>
      </c>
      <c r="J99" s="32">
        <f t="shared" si="2"/>
        <v>0</v>
      </c>
    </row>
    <row r="100" ht="22.5" customHeight="1">
      <c r="A100" s="85"/>
      <c r="B100" s="249"/>
      <c r="C100" s="143"/>
      <c r="D100" s="24"/>
      <c r="E100" s="85"/>
      <c r="F100" s="32" t="str">
        <f>IFERROR(VLOOKUP(E100, Docenten!$A$2:$G$30, 7, FALSE), "0")</f>
        <v>0</v>
      </c>
      <c r="G100" s="32">
        <f t="shared" si="3"/>
        <v>0</v>
      </c>
      <c r="H100" s="85"/>
      <c r="I100" s="32" t="str">
        <f>IFERROR(VLOOKUP(H100, Locaties!$A$2:$G$15, 7, FALSE), "0")</f>
        <v>0</v>
      </c>
      <c r="J100" s="32">
        <f t="shared" si="2"/>
        <v>0</v>
      </c>
    </row>
    <row r="101">
      <c r="C101" s="91"/>
    </row>
    <row r="102">
      <c r="C102" s="91"/>
    </row>
    <row r="103">
      <c r="C103" s="91"/>
    </row>
    <row r="104">
      <c r="C104" s="91"/>
    </row>
    <row r="105">
      <c r="C105" s="91"/>
    </row>
    <row r="106">
      <c r="C106" s="91"/>
    </row>
    <row r="107">
      <c r="C107" s="91"/>
    </row>
    <row r="108">
      <c r="C108" s="91"/>
    </row>
    <row r="109">
      <c r="C109" s="91"/>
    </row>
    <row r="110">
      <c r="C110" s="91"/>
    </row>
    <row r="111">
      <c r="C111" s="91"/>
    </row>
    <row r="112">
      <c r="C112" s="91"/>
    </row>
    <row r="113">
      <c r="C113" s="91"/>
    </row>
    <row r="114">
      <c r="C114" s="91"/>
    </row>
    <row r="115">
      <c r="C115" s="91"/>
    </row>
    <row r="116">
      <c r="C116" s="91"/>
    </row>
    <row r="117">
      <c r="C117" s="91"/>
    </row>
    <row r="118">
      <c r="C118" s="91"/>
    </row>
    <row r="119">
      <c r="C119" s="91"/>
    </row>
    <row r="120">
      <c r="C120" s="91"/>
    </row>
    <row r="121">
      <c r="C121" s="91"/>
    </row>
    <row r="122">
      <c r="C122" s="91"/>
    </row>
    <row r="123">
      <c r="C123" s="91"/>
    </row>
    <row r="124">
      <c r="C124" s="91"/>
    </row>
    <row r="125">
      <c r="C125" s="91"/>
    </row>
    <row r="126">
      <c r="C126" s="91"/>
    </row>
    <row r="127">
      <c r="C127" s="91"/>
    </row>
    <row r="128">
      <c r="C128" s="91"/>
    </row>
    <row r="129">
      <c r="C129" s="91"/>
    </row>
    <row r="130">
      <c r="C130" s="91"/>
    </row>
    <row r="131">
      <c r="C131" s="91"/>
    </row>
    <row r="132">
      <c r="C132" s="91"/>
    </row>
    <row r="133">
      <c r="C133" s="91"/>
    </row>
    <row r="134">
      <c r="C134" s="91"/>
    </row>
    <row r="135">
      <c r="C135" s="91"/>
    </row>
    <row r="136">
      <c r="C136" s="91"/>
    </row>
    <row r="137">
      <c r="C137" s="91"/>
    </row>
    <row r="138">
      <c r="C138" s="91"/>
    </row>
    <row r="139">
      <c r="C139" s="91"/>
    </row>
    <row r="140">
      <c r="C140" s="91"/>
    </row>
    <row r="141">
      <c r="C141" s="91"/>
    </row>
    <row r="142">
      <c r="C142" s="91"/>
    </row>
    <row r="143">
      <c r="C143" s="91"/>
    </row>
    <row r="144">
      <c r="C144" s="91"/>
    </row>
    <row r="145">
      <c r="C145" s="91"/>
    </row>
    <row r="146">
      <c r="C146" s="91"/>
    </row>
    <row r="147">
      <c r="C147" s="91"/>
    </row>
    <row r="148">
      <c r="C148" s="91"/>
    </row>
    <row r="149">
      <c r="C149" s="91"/>
    </row>
    <row r="150">
      <c r="C150" s="91"/>
    </row>
    <row r="151">
      <c r="C151" s="91"/>
    </row>
    <row r="152">
      <c r="C152" s="91"/>
    </row>
    <row r="153">
      <c r="C153" s="91"/>
    </row>
    <row r="154">
      <c r="C154" s="91"/>
    </row>
    <row r="155">
      <c r="C155" s="91"/>
    </row>
    <row r="156">
      <c r="C156" s="91"/>
    </row>
    <row r="157">
      <c r="C157" s="91"/>
    </row>
    <row r="158">
      <c r="C158" s="91"/>
    </row>
    <row r="159">
      <c r="C159" s="91"/>
    </row>
    <row r="160">
      <c r="C160" s="91"/>
    </row>
    <row r="161">
      <c r="C161" s="91"/>
    </row>
    <row r="162">
      <c r="C162" s="91"/>
    </row>
    <row r="163">
      <c r="C163" s="91"/>
    </row>
    <row r="164">
      <c r="C164" s="91"/>
    </row>
    <row r="165">
      <c r="C165" s="91"/>
    </row>
    <row r="166">
      <c r="C166" s="91"/>
    </row>
    <row r="167">
      <c r="C167" s="91"/>
    </row>
    <row r="168">
      <c r="C168" s="91"/>
    </row>
    <row r="169">
      <c r="C169" s="91"/>
    </row>
    <row r="170">
      <c r="C170" s="91"/>
    </row>
    <row r="171">
      <c r="C171" s="91"/>
    </row>
    <row r="172">
      <c r="C172" s="91"/>
    </row>
    <row r="173">
      <c r="C173" s="91"/>
    </row>
    <row r="174">
      <c r="C174" s="91"/>
    </row>
    <row r="175">
      <c r="C175" s="91"/>
    </row>
    <row r="176">
      <c r="C176" s="91"/>
    </row>
    <row r="177">
      <c r="C177" s="91"/>
    </row>
    <row r="178">
      <c r="C178" s="91"/>
    </row>
    <row r="179">
      <c r="C179" s="91"/>
    </row>
    <row r="180">
      <c r="C180" s="91"/>
    </row>
    <row r="181">
      <c r="C181" s="91"/>
    </row>
    <row r="182">
      <c r="C182" s="91"/>
    </row>
    <row r="183">
      <c r="C183" s="91"/>
    </row>
    <row r="184">
      <c r="C184" s="91"/>
    </row>
    <row r="185">
      <c r="C185" s="91"/>
    </row>
    <row r="186">
      <c r="C186" s="91"/>
    </row>
    <row r="187">
      <c r="C187" s="91"/>
    </row>
    <row r="188">
      <c r="C188" s="91"/>
    </row>
    <row r="189">
      <c r="C189" s="91"/>
    </row>
    <row r="190">
      <c r="C190" s="91"/>
    </row>
    <row r="191">
      <c r="C191" s="91"/>
    </row>
    <row r="192">
      <c r="C192" s="91"/>
    </row>
    <row r="193">
      <c r="C193" s="91"/>
    </row>
    <row r="194">
      <c r="C194" s="91"/>
    </row>
    <row r="195">
      <c r="C195" s="91"/>
    </row>
    <row r="196">
      <c r="C196" s="91"/>
    </row>
    <row r="197">
      <c r="C197" s="91"/>
    </row>
    <row r="198">
      <c r="C198" s="91"/>
    </row>
    <row r="199">
      <c r="C199" s="91"/>
    </row>
    <row r="200">
      <c r="C200" s="91"/>
    </row>
    <row r="201">
      <c r="C201" s="91"/>
    </row>
    <row r="202">
      <c r="C202" s="91"/>
    </row>
    <row r="203">
      <c r="C203" s="91"/>
    </row>
    <row r="204">
      <c r="C204" s="91"/>
    </row>
    <row r="205">
      <c r="C205" s="91"/>
    </row>
    <row r="206">
      <c r="C206" s="91"/>
    </row>
    <row r="207">
      <c r="C207" s="91"/>
    </row>
    <row r="208">
      <c r="C208" s="91"/>
    </row>
    <row r="209">
      <c r="C209" s="91"/>
    </row>
    <row r="210">
      <c r="C210" s="91"/>
    </row>
    <row r="211">
      <c r="C211" s="91"/>
    </row>
    <row r="212">
      <c r="C212" s="91"/>
    </row>
    <row r="213">
      <c r="C213" s="91"/>
    </row>
    <row r="214">
      <c r="C214" s="91"/>
    </row>
    <row r="215">
      <c r="C215" s="91"/>
    </row>
    <row r="216">
      <c r="C216" s="91"/>
    </row>
    <row r="217">
      <c r="C217" s="91"/>
    </row>
    <row r="218">
      <c r="C218" s="91"/>
    </row>
    <row r="219">
      <c r="C219" s="91"/>
    </row>
    <row r="220">
      <c r="C220" s="91"/>
    </row>
    <row r="221">
      <c r="C221" s="91"/>
    </row>
    <row r="222">
      <c r="C222" s="91"/>
    </row>
    <row r="223">
      <c r="C223" s="91"/>
    </row>
    <row r="224">
      <c r="C224" s="91"/>
    </row>
    <row r="225">
      <c r="C225" s="91"/>
    </row>
    <row r="226">
      <c r="C226" s="91"/>
    </row>
    <row r="227">
      <c r="C227" s="91"/>
    </row>
    <row r="228">
      <c r="C228" s="91"/>
    </row>
    <row r="229">
      <c r="C229" s="91"/>
    </row>
    <row r="230">
      <c r="C230" s="91"/>
    </row>
    <row r="231">
      <c r="C231" s="91"/>
    </row>
    <row r="232">
      <c r="C232" s="91"/>
    </row>
    <row r="233">
      <c r="C233" s="91"/>
    </row>
    <row r="234">
      <c r="C234" s="91"/>
    </row>
    <row r="235">
      <c r="C235" s="91"/>
    </row>
    <row r="236">
      <c r="C236" s="91"/>
    </row>
    <row r="237">
      <c r="C237" s="91"/>
    </row>
    <row r="238">
      <c r="C238" s="91"/>
    </row>
    <row r="239">
      <c r="C239" s="91"/>
    </row>
    <row r="240">
      <c r="C240" s="91"/>
    </row>
    <row r="241">
      <c r="C241" s="91"/>
    </row>
    <row r="242">
      <c r="C242" s="91"/>
    </row>
    <row r="243">
      <c r="C243" s="91"/>
    </row>
    <row r="244">
      <c r="C244" s="91"/>
    </row>
    <row r="245">
      <c r="C245" s="91"/>
    </row>
    <row r="246">
      <c r="C246" s="91"/>
    </row>
    <row r="247">
      <c r="C247" s="91"/>
    </row>
    <row r="248">
      <c r="C248" s="91"/>
    </row>
    <row r="249">
      <c r="C249" s="91"/>
    </row>
    <row r="250">
      <c r="C250" s="91"/>
    </row>
    <row r="251">
      <c r="C251" s="91"/>
    </row>
    <row r="252">
      <c r="C252" s="91"/>
    </row>
    <row r="253">
      <c r="C253" s="91"/>
    </row>
    <row r="254">
      <c r="C254" s="91"/>
    </row>
    <row r="255">
      <c r="C255" s="91"/>
    </row>
    <row r="256">
      <c r="C256" s="91"/>
    </row>
    <row r="257">
      <c r="C257" s="91"/>
    </row>
    <row r="258">
      <c r="C258" s="91"/>
    </row>
    <row r="259">
      <c r="C259" s="91"/>
    </row>
    <row r="260">
      <c r="C260" s="91"/>
    </row>
    <row r="261">
      <c r="C261" s="91"/>
    </row>
    <row r="262">
      <c r="C262" s="91"/>
    </row>
    <row r="263">
      <c r="C263" s="91"/>
    </row>
    <row r="264">
      <c r="C264" s="91"/>
    </row>
    <row r="265">
      <c r="C265" s="91"/>
    </row>
    <row r="266">
      <c r="C266" s="91"/>
    </row>
    <row r="267">
      <c r="C267" s="91"/>
    </row>
    <row r="268">
      <c r="C268" s="91"/>
    </row>
    <row r="269">
      <c r="C269" s="91"/>
    </row>
    <row r="270">
      <c r="C270" s="91"/>
    </row>
    <row r="271">
      <c r="C271" s="91"/>
    </row>
    <row r="272">
      <c r="C272" s="91"/>
    </row>
    <row r="273">
      <c r="C273" s="91"/>
    </row>
    <row r="274">
      <c r="C274" s="91"/>
    </row>
    <row r="275">
      <c r="C275" s="91"/>
    </row>
    <row r="276">
      <c r="C276" s="91"/>
    </row>
    <row r="277">
      <c r="C277" s="91"/>
    </row>
    <row r="278">
      <c r="C278" s="91"/>
    </row>
    <row r="279">
      <c r="C279" s="91"/>
    </row>
    <row r="280">
      <c r="C280" s="91"/>
    </row>
    <row r="281">
      <c r="C281" s="91"/>
    </row>
    <row r="282">
      <c r="C282" s="91"/>
    </row>
    <row r="283">
      <c r="C283" s="91"/>
    </row>
    <row r="284">
      <c r="C284" s="91"/>
    </row>
    <row r="285">
      <c r="C285" s="91"/>
    </row>
    <row r="286">
      <c r="C286" s="91"/>
    </row>
    <row r="287">
      <c r="C287" s="91"/>
    </row>
    <row r="288">
      <c r="C288" s="91"/>
    </row>
    <row r="289">
      <c r="C289" s="91"/>
    </row>
    <row r="290">
      <c r="C290" s="91"/>
    </row>
    <row r="291">
      <c r="C291" s="91"/>
    </row>
    <row r="292">
      <c r="C292" s="91"/>
    </row>
    <row r="293">
      <c r="C293" s="91"/>
    </row>
    <row r="294">
      <c r="C294" s="91"/>
    </row>
    <row r="295">
      <c r="C295" s="91"/>
    </row>
    <row r="296">
      <c r="C296" s="91"/>
    </row>
    <row r="297">
      <c r="C297" s="91"/>
    </row>
    <row r="298">
      <c r="C298" s="91"/>
    </row>
    <row r="299">
      <c r="C299" s="91"/>
    </row>
    <row r="300">
      <c r="C300" s="91"/>
    </row>
    <row r="301">
      <c r="C301" s="91"/>
    </row>
    <row r="302">
      <c r="C302" s="91"/>
    </row>
    <row r="303">
      <c r="C303" s="91"/>
    </row>
    <row r="304">
      <c r="C304" s="91"/>
    </row>
    <row r="305">
      <c r="C305" s="91"/>
    </row>
    <row r="306">
      <c r="C306" s="91"/>
    </row>
    <row r="307">
      <c r="C307" s="91"/>
    </row>
    <row r="308">
      <c r="C308" s="91"/>
    </row>
    <row r="309">
      <c r="C309" s="91"/>
    </row>
    <row r="310">
      <c r="C310" s="91"/>
    </row>
    <row r="311">
      <c r="C311" s="91"/>
    </row>
    <row r="312">
      <c r="C312" s="91"/>
    </row>
    <row r="313">
      <c r="C313" s="91"/>
    </row>
    <row r="314">
      <c r="C314" s="91"/>
    </row>
    <row r="315">
      <c r="C315" s="91"/>
    </row>
    <row r="316">
      <c r="C316" s="91"/>
    </row>
    <row r="317">
      <c r="C317" s="91"/>
    </row>
    <row r="318">
      <c r="C318" s="91"/>
    </row>
    <row r="319">
      <c r="C319" s="91"/>
    </row>
    <row r="320">
      <c r="C320" s="91"/>
    </row>
    <row r="321">
      <c r="C321" s="91"/>
    </row>
    <row r="322">
      <c r="C322" s="91"/>
    </row>
    <row r="323">
      <c r="C323" s="91"/>
    </row>
    <row r="324">
      <c r="C324" s="91"/>
    </row>
    <row r="325">
      <c r="C325" s="91"/>
    </row>
    <row r="326">
      <c r="C326" s="91"/>
    </row>
    <row r="327">
      <c r="C327" s="91"/>
    </row>
    <row r="328">
      <c r="C328" s="91"/>
    </row>
    <row r="329">
      <c r="C329" s="91"/>
    </row>
    <row r="330">
      <c r="C330" s="91"/>
    </row>
    <row r="331">
      <c r="C331" s="91"/>
    </row>
    <row r="332">
      <c r="C332" s="91"/>
    </row>
    <row r="333">
      <c r="C333" s="91"/>
    </row>
    <row r="334">
      <c r="C334" s="91"/>
    </row>
    <row r="335">
      <c r="C335" s="91"/>
    </row>
    <row r="336">
      <c r="C336" s="91"/>
    </row>
    <row r="337">
      <c r="C337" s="91"/>
    </row>
    <row r="338">
      <c r="C338" s="91"/>
    </row>
    <row r="339">
      <c r="C339" s="91"/>
    </row>
    <row r="340">
      <c r="C340" s="91"/>
    </row>
    <row r="341">
      <c r="C341" s="91"/>
    </row>
    <row r="342">
      <c r="C342" s="91"/>
    </row>
    <row r="343">
      <c r="C343" s="91"/>
    </row>
    <row r="344">
      <c r="C344" s="91"/>
    </row>
    <row r="345">
      <c r="C345" s="91"/>
    </row>
    <row r="346">
      <c r="C346" s="91"/>
    </row>
    <row r="347">
      <c r="C347" s="91"/>
    </row>
    <row r="348">
      <c r="C348" s="91"/>
    </row>
    <row r="349">
      <c r="C349" s="91"/>
    </row>
    <row r="350">
      <c r="C350" s="91"/>
    </row>
    <row r="351">
      <c r="C351" s="91"/>
    </row>
    <row r="352">
      <c r="C352" s="91"/>
    </row>
    <row r="353">
      <c r="C353" s="91"/>
    </row>
    <row r="354">
      <c r="C354" s="91"/>
    </row>
    <row r="355">
      <c r="C355" s="91"/>
    </row>
    <row r="356">
      <c r="C356" s="91"/>
    </row>
    <row r="357">
      <c r="C357" s="91"/>
    </row>
    <row r="358">
      <c r="C358" s="91"/>
    </row>
    <row r="359">
      <c r="C359" s="91"/>
    </row>
    <row r="360">
      <c r="C360" s="91"/>
    </row>
    <row r="361">
      <c r="C361" s="91"/>
    </row>
    <row r="362">
      <c r="C362" s="91"/>
    </row>
    <row r="363">
      <c r="C363" s="91"/>
    </row>
    <row r="364">
      <c r="C364" s="91"/>
    </row>
    <row r="365">
      <c r="C365" s="91"/>
    </row>
    <row r="366">
      <c r="C366" s="91"/>
    </row>
    <row r="367">
      <c r="C367" s="91"/>
    </row>
    <row r="368">
      <c r="C368" s="91"/>
    </row>
    <row r="369">
      <c r="C369" s="91"/>
    </row>
    <row r="370">
      <c r="C370" s="91"/>
    </row>
    <row r="371">
      <c r="C371" s="91"/>
    </row>
    <row r="372">
      <c r="C372" s="91"/>
    </row>
    <row r="373">
      <c r="C373" s="91"/>
    </row>
    <row r="374">
      <c r="C374" s="91"/>
    </row>
    <row r="375">
      <c r="C375" s="91"/>
    </row>
    <row r="376">
      <c r="C376" s="91"/>
    </row>
    <row r="377">
      <c r="C377" s="91"/>
    </row>
    <row r="378">
      <c r="C378" s="91"/>
    </row>
    <row r="379">
      <c r="C379" s="91"/>
    </row>
    <row r="380">
      <c r="C380" s="91"/>
    </row>
    <row r="381">
      <c r="C381" s="91"/>
    </row>
    <row r="382">
      <c r="C382" s="91"/>
    </row>
    <row r="383">
      <c r="C383" s="91"/>
    </row>
    <row r="384">
      <c r="C384" s="91"/>
    </row>
    <row r="385">
      <c r="C385" s="91"/>
    </row>
    <row r="386">
      <c r="C386" s="91"/>
    </row>
    <row r="387">
      <c r="C387" s="91"/>
    </row>
    <row r="388">
      <c r="C388" s="91"/>
    </row>
    <row r="389">
      <c r="C389" s="91"/>
    </row>
    <row r="390">
      <c r="C390" s="91"/>
    </row>
    <row r="391">
      <c r="C391" s="91"/>
    </row>
    <row r="392">
      <c r="C392" s="91"/>
    </row>
    <row r="393">
      <c r="C393" s="91"/>
    </row>
    <row r="394">
      <c r="C394" s="91"/>
    </row>
    <row r="395">
      <c r="C395" s="91"/>
    </row>
    <row r="396">
      <c r="C396" s="91"/>
    </row>
    <row r="397">
      <c r="C397" s="91"/>
    </row>
    <row r="398">
      <c r="C398" s="91"/>
    </row>
    <row r="399">
      <c r="C399" s="91"/>
    </row>
    <row r="400">
      <c r="C400" s="91"/>
    </row>
    <row r="401">
      <c r="C401" s="91"/>
    </row>
    <row r="402">
      <c r="C402" s="91"/>
    </row>
    <row r="403">
      <c r="C403" s="91"/>
    </row>
    <row r="404">
      <c r="C404" s="91"/>
    </row>
    <row r="405">
      <c r="C405" s="91"/>
    </row>
    <row r="406">
      <c r="C406" s="91"/>
    </row>
    <row r="407">
      <c r="C407" s="91"/>
    </row>
    <row r="408">
      <c r="C408" s="91"/>
    </row>
    <row r="409">
      <c r="C409" s="91"/>
    </row>
    <row r="410">
      <c r="C410" s="91"/>
    </row>
    <row r="411">
      <c r="C411" s="91"/>
    </row>
    <row r="412">
      <c r="C412" s="91"/>
    </row>
    <row r="413">
      <c r="C413" s="91"/>
    </row>
    <row r="414">
      <c r="C414" s="91"/>
    </row>
    <row r="415">
      <c r="C415" s="91"/>
    </row>
    <row r="416">
      <c r="C416" s="91"/>
    </row>
    <row r="417">
      <c r="C417" s="91"/>
    </row>
    <row r="418">
      <c r="C418" s="91"/>
    </row>
    <row r="419">
      <c r="C419" s="91"/>
    </row>
    <row r="420">
      <c r="C420" s="91"/>
    </row>
    <row r="421">
      <c r="C421" s="91"/>
    </row>
    <row r="422">
      <c r="C422" s="91"/>
    </row>
    <row r="423">
      <c r="C423" s="91"/>
    </row>
    <row r="424">
      <c r="C424" s="91"/>
    </row>
    <row r="425">
      <c r="C425" s="91"/>
    </row>
    <row r="426">
      <c r="C426" s="91"/>
    </row>
    <row r="427">
      <c r="C427" s="91"/>
    </row>
    <row r="428">
      <c r="C428" s="91"/>
    </row>
    <row r="429">
      <c r="C429" s="91"/>
    </row>
    <row r="430">
      <c r="C430" s="91"/>
    </row>
    <row r="431">
      <c r="C431" s="91"/>
    </row>
    <row r="432">
      <c r="C432" s="91"/>
    </row>
    <row r="433">
      <c r="C433" s="91"/>
    </row>
    <row r="434">
      <c r="C434" s="91"/>
    </row>
    <row r="435">
      <c r="C435" s="91"/>
    </row>
    <row r="436">
      <c r="C436" s="91"/>
    </row>
    <row r="437">
      <c r="C437" s="91"/>
    </row>
    <row r="438">
      <c r="C438" s="91"/>
    </row>
    <row r="439">
      <c r="C439" s="91"/>
    </row>
    <row r="440">
      <c r="C440" s="91"/>
    </row>
    <row r="441">
      <c r="C441" s="91"/>
    </row>
    <row r="442">
      <c r="C442" s="91"/>
    </row>
    <row r="443">
      <c r="C443" s="91"/>
    </row>
    <row r="444">
      <c r="C444" s="91"/>
    </row>
    <row r="445">
      <c r="C445" s="91"/>
    </row>
    <row r="446">
      <c r="C446" s="91"/>
    </row>
    <row r="447">
      <c r="C447" s="91"/>
    </row>
    <row r="448">
      <c r="C448" s="91"/>
    </row>
    <row r="449">
      <c r="C449" s="91"/>
    </row>
    <row r="450">
      <c r="C450" s="91"/>
    </row>
    <row r="451">
      <c r="C451" s="91"/>
    </row>
    <row r="452">
      <c r="C452" s="91"/>
    </row>
    <row r="453">
      <c r="C453" s="91"/>
    </row>
    <row r="454">
      <c r="C454" s="91"/>
    </row>
    <row r="455">
      <c r="C455" s="91"/>
    </row>
    <row r="456">
      <c r="C456" s="91"/>
    </row>
    <row r="457">
      <c r="C457" s="91"/>
    </row>
    <row r="458">
      <c r="C458" s="91"/>
    </row>
    <row r="459">
      <c r="C459" s="91"/>
    </row>
    <row r="460">
      <c r="C460" s="91"/>
    </row>
    <row r="461">
      <c r="C461" s="91"/>
    </row>
    <row r="462">
      <c r="C462" s="91"/>
    </row>
    <row r="463">
      <c r="C463" s="91"/>
    </row>
    <row r="464">
      <c r="C464" s="91"/>
    </row>
    <row r="465">
      <c r="C465" s="91"/>
    </row>
    <row r="466">
      <c r="C466" s="91"/>
    </row>
    <row r="467">
      <c r="C467" s="91"/>
    </row>
    <row r="468">
      <c r="C468" s="91"/>
    </row>
    <row r="469">
      <c r="C469" s="91"/>
    </row>
    <row r="470">
      <c r="C470" s="91"/>
    </row>
    <row r="471">
      <c r="C471" s="91"/>
    </row>
    <row r="472">
      <c r="C472" s="91"/>
    </row>
    <row r="473">
      <c r="C473" s="91"/>
    </row>
    <row r="474">
      <c r="C474" s="91"/>
    </row>
    <row r="475">
      <c r="C475" s="91"/>
    </row>
    <row r="476">
      <c r="C476" s="91"/>
    </row>
    <row r="477">
      <c r="C477" s="91"/>
    </row>
    <row r="478">
      <c r="C478" s="91"/>
    </row>
    <row r="479">
      <c r="C479" s="91"/>
    </row>
    <row r="480">
      <c r="C480" s="91"/>
    </row>
    <row r="481">
      <c r="C481" s="91"/>
    </row>
    <row r="482">
      <c r="C482" s="91"/>
    </row>
    <row r="483">
      <c r="C483" s="91"/>
    </row>
    <row r="484">
      <c r="C484" s="91"/>
    </row>
    <row r="485">
      <c r="C485" s="91"/>
    </row>
    <row r="486">
      <c r="C486" s="91"/>
    </row>
    <row r="487">
      <c r="C487" s="91"/>
    </row>
    <row r="488">
      <c r="C488" s="91"/>
    </row>
    <row r="489">
      <c r="C489" s="91"/>
    </row>
    <row r="490">
      <c r="C490" s="91"/>
    </row>
    <row r="491">
      <c r="C491" s="91"/>
    </row>
    <row r="492">
      <c r="C492" s="91"/>
    </row>
    <row r="493">
      <c r="C493" s="91"/>
    </row>
    <row r="494">
      <c r="C494" s="91"/>
    </row>
    <row r="495">
      <c r="C495" s="91"/>
    </row>
    <row r="496">
      <c r="C496" s="91"/>
    </row>
    <row r="497">
      <c r="C497" s="91"/>
    </row>
    <row r="498">
      <c r="C498" s="91"/>
    </row>
    <row r="499">
      <c r="C499" s="91"/>
    </row>
    <row r="500">
      <c r="C500" s="91"/>
    </row>
    <row r="501">
      <c r="C501" s="91"/>
    </row>
    <row r="502">
      <c r="C502" s="91"/>
    </row>
    <row r="503">
      <c r="C503" s="91"/>
    </row>
    <row r="504">
      <c r="C504" s="91"/>
    </row>
    <row r="505">
      <c r="C505" s="91"/>
    </row>
    <row r="506">
      <c r="C506" s="91"/>
    </row>
    <row r="507">
      <c r="C507" s="91"/>
    </row>
    <row r="508">
      <c r="C508" s="91"/>
    </row>
    <row r="509">
      <c r="C509" s="91"/>
    </row>
    <row r="510">
      <c r="C510" s="91"/>
    </row>
    <row r="511">
      <c r="C511" s="91"/>
    </row>
    <row r="512">
      <c r="C512" s="91"/>
    </row>
    <row r="513">
      <c r="C513" s="91"/>
    </row>
    <row r="514">
      <c r="C514" s="91"/>
    </row>
    <row r="515">
      <c r="C515" s="91"/>
    </row>
    <row r="516">
      <c r="C516" s="91"/>
    </row>
    <row r="517">
      <c r="C517" s="91"/>
    </row>
    <row r="518">
      <c r="C518" s="91"/>
    </row>
    <row r="519">
      <c r="C519" s="91"/>
    </row>
    <row r="520">
      <c r="C520" s="91"/>
    </row>
    <row r="521">
      <c r="C521" s="91"/>
    </row>
    <row r="522">
      <c r="C522" s="91"/>
    </row>
    <row r="523">
      <c r="C523" s="91"/>
    </row>
    <row r="524">
      <c r="C524" s="91"/>
    </row>
    <row r="525">
      <c r="C525" s="91"/>
    </row>
    <row r="526">
      <c r="C526" s="91"/>
    </row>
    <row r="527">
      <c r="C527" s="91"/>
    </row>
    <row r="528">
      <c r="C528" s="91"/>
    </row>
    <row r="529">
      <c r="C529" s="91"/>
    </row>
    <row r="530">
      <c r="C530" s="91"/>
    </row>
    <row r="531">
      <c r="C531" s="91"/>
    </row>
    <row r="532">
      <c r="C532" s="91"/>
    </row>
    <row r="533">
      <c r="C533" s="91"/>
    </row>
    <row r="534">
      <c r="C534" s="91"/>
    </row>
    <row r="535">
      <c r="C535" s="91"/>
    </row>
    <row r="536">
      <c r="C536" s="91"/>
    </row>
    <row r="537">
      <c r="C537" s="91"/>
    </row>
    <row r="538">
      <c r="C538" s="91"/>
    </row>
    <row r="539">
      <c r="C539" s="91"/>
    </row>
    <row r="540">
      <c r="C540" s="91"/>
    </row>
    <row r="541">
      <c r="C541" s="91"/>
    </row>
    <row r="542">
      <c r="C542" s="91"/>
    </row>
    <row r="543">
      <c r="C543" s="91"/>
    </row>
    <row r="544">
      <c r="C544" s="91"/>
    </row>
    <row r="545">
      <c r="C545" s="91"/>
    </row>
    <row r="546">
      <c r="C546" s="91"/>
    </row>
    <row r="547">
      <c r="C547" s="91"/>
    </row>
    <row r="548">
      <c r="C548" s="91"/>
    </row>
    <row r="549">
      <c r="C549" s="91"/>
    </row>
    <row r="550">
      <c r="C550" s="91"/>
    </row>
    <row r="551">
      <c r="C551" s="91"/>
    </row>
    <row r="552">
      <c r="C552" s="91"/>
    </row>
    <row r="553">
      <c r="C553" s="91"/>
    </row>
    <row r="554">
      <c r="C554" s="91"/>
    </row>
    <row r="555">
      <c r="C555" s="91"/>
    </row>
    <row r="556">
      <c r="C556" s="91"/>
    </row>
    <row r="557">
      <c r="C557" s="91"/>
    </row>
    <row r="558">
      <c r="C558" s="91"/>
    </row>
    <row r="559">
      <c r="C559" s="91"/>
    </row>
    <row r="560">
      <c r="C560" s="91"/>
    </row>
    <row r="561">
      <c r="C561" s="91"/>
    </row>
    <row r="562">
      <c r="C562" s="91"/>
    </row>
    <row r="563">
      <c r="C563" s="91"/>
    </row>
    <row r="564">
      <c r="C564" s="91"/>
    </row>
    <row r="565">
      <c r="C565" s="91"/>
    </row>
    <row r="566">
      <c r="C566" s="91"/>
    </row>
    <row r="567">
      <c r="C567" s="91"/>
    </row>
    <row r="568">
      <c r="C568" s="91"/>
    </row>
    <row r="569">
      <c r="C569" s="91"/>
    </row>
    <row r="570">
      <c r="C570" s="91"/>
    </row>
    <row r="571">
      <c r="C571" s="91"/>
    </row>
    <row r="572">
      <c r="C572" s="91"/>
    </row>
    <row r="573">
      <c r="C573" s="91"/>
    </row>
    <row r="574">
      <c r="C574" s="91"/>
    </row>
    <row r="575">
      <c r="C575" s="91"/>
    </row>
    <row r="576">
      <c r="C576" s="91"/>
    </row>
    <row r="577">
      <c r="C577" s="91"/>
    </row>
    <row r="578">
      <c r="C578" s="91"/>
    </row>
    <row r="579">
      <c r="C579" s="91"/>
    </row>
    <row r="580">
      <c r="C580" s="91"/>
    </row>
    <row r="581">
      <c r="C581" s="91"/>
    </row>
    <row r="582">
      <c r="C582" s="91"/>
    </row>
    <row r="583">
      <c r="C583" s="91"/>
    </row>
    <row r="584">
      <c r="C584" s="91"/>
    </row>
    <row r="585">
      <c r="C585" s="91"/>
    </row>
    <row r="586">
      <c r="C586" s="91"/>
    </row>
    <row r="587">
      <c r="C587" s="91"/>
    </row>
    <row r="588">
      <c r="C588" s="91"/>
    </row>
    <row r="589">
      <c r="C589" s="91"/>
    </row>
    <row r="590">
      <c r="C590" s="91"/>
    </row>
    <row r="591">
      <c r="C591" s="91"/>
    </row>
    <row r="592">
      <c r="C592" s="91"/>
    </row>
    <row r="593">
      <c r="C593" s="91"/>
    </row>
    <row r="594">
      <c r="C594" s="91"/>
    </row>
    <row r="595">
      <c r="C595" s="91"/>
    </row>
    <row r="596">
      <c r="C596" s="91"/>
    </row>
    <row r="597">
      <c r="C597" s="91"/>
    </row>
    <row r="598">
      <c r="C598" s="91"/>
    </row>
    <row r="599">
      <c r="C599" s="91"/>
    </row>
    <row r="600">
      <c r="C600" s="91"/>
    </row>
    <row r="601">
      <c r="C601" s="91"/>
    </row>
    <row r="602">
      <c r="C602" s="91"/>
    </row>
    <row r="603">
      <c r="C603" s="91"/>
    </row>
    <row r="604">
      <c r="C604" s="91"/>
    </row>
    <row r="605">
      <c r="C605" s="91"/>
    </row>
    <row r="606">
      <c r="C606" s="91"/>
    </row>
    <row r="607">
      <c r="C607" s="91"/>
    </row>
    <row r="608">
      <c r="C608" s="91"/>
    </row>
    <row r="609">
      <c r="C609" s="91"/>
    </row>
    <row r="610">
      <c r="C610" s="91"/>
    </row>
    <row r="611">
      <c r="C611" s="91"/>
    </row>
    <row r="612">
      <c r="C612" s="91"/>
    </row>
    <row r="613">
      <c r="C613" s="91"/>
    </row>
    <row r="614">
      <c r="C614" s="91"/>
    </row>
    <row r="615">
      <c r="C615" s="91"/>
    </row>
    <row r="616">
      <c r="C616" s="91"/>
    </row>
    <row r="617">
      <c r="C617" s="91"/>
    </row>
    <row r="618">
      <c r="C618" s="91"/>
    </row>
    <row r="619">
      <c r="C619" s="91"/>
    </row>
    <row r="620">
      <c r="C620" s="91"/>
    </row>
    <row r="621">
      <c r="C621" s="91"/>
    </row>
    <row r="622">
      <c r="C622" s="91"/>
    </row>
    <row r="623">
      <c r="C623" s="91"/>
    </row>
    <row r="624">
      <c r="C624" s="91"/>
    </row>
    <row r="625">
      <c r="C625" s="91"/>
    </row>
    <row r="626">
      <c r="C626" s="91"/>
    </row>
    <row r="627">
      <c r="C627" s="91"/>
    </row>
    <row r="628">
      <c r="C628" s="91"/>
    </row>
    <row r="629">
      <c r="C629" s="91"/>
    </row>
    <row r="630">
      <c r="C630" s="91"/>
    </row>
    <row r="631">
      <c r="C631" s="91"/>
    </row>
    <row r="632">
      <c r="C632" s="91"/>
    </row>
    <row r="633">
      <c r="C633" s="91"/>
    </row>
    <row r="634">
      <c r="C634" s="91"/>
    </row>
    <row r="635">
      <c r="C635" s="91"/>
    </row>
    <row r="636">
      <c r="C636" s="91"/>
    </row>
    <row r="637">
      <c r="C637" s="91"/>
    </row>
    <row r="638">
      <c r="C638" s="91"/>
    </row>
    <row r="639">
      <c r="C639" s="91"/>
    </row>
    <row r="640">
      <c r="C640" s="91"/>
    </row>
    <row r="641">
      <c r="C641" s="91"/>
    </row>
    <row r="642">
      <c r="C642" s="91"/>
    </row>
    <row r="643">
      <c r="C643" s="91"/>
    </row>
    <row r="644">
      <c r="C644" s="91"/>
    </row>
    <row r="645">
      <c r="C645" s="91"/>
    </row>
    <row r="646">
      <c r="C646" s="91"/>
    </row>
    <row r="647">
      <c r="C647" s="91"/>
    </row>
    <row r="648">
      <c r="C648" s="91"/>
    </row>
    <row r="649">
      <c r="C649" s="91"/>
    </row>
    <row r="650">
      <c r="C650" s="91"/>
    </row>
    <row r="651">
      <c r="C651" s="91"/>
    </row>
    <row r="652">
      <c r="C652" s="91"/>
    </row>
    <row r="653">
      <c r="C653" s="91"/>
    </row>
    <row r="654">
      <c r="C654" s="91"/>
    </row>
    <row r="655">
      <c r="C655" s="91"/>
    </row>
    <row r="656">
      <c r="C656" s="91"/>
    </row>
    <row r="657">
      <c r="C657" s="91"/>
    </row>
    <row r="658">
      <c r="C658" s="91"/>
    </row>
    <row r="659">
      <c r="C659" s="91"/>
    </row>
    <row r="660">
      <c r="C660" s="91"/>
    </row>
    <row r="661">
      <c r="C661" s="91"/>
    </row>
    <row r="662">
      <c r="C662" s="91"/>
    </row>
    <row r="663">
      <c r="C663" s="91"/>
    </row>
    <row r="664">
      <c r="C664" s="91"/>
    </row>
    <row r="665">
      <c r="C665" s="91"/>
    </row>
    <row r="666">
      <c r="C666" s="91"/>
    </row>
    <row r="667">
      <c r="C667" s="91"/>
    </row>
    <row r="668">
      <c r="C668" s="91"/>
    </row>
    <row r="669">
      <c r="C669" s="91"/>
    </row>
    <row r="670">
      <c r="C670" s="91"/>
    </row>
    <row r="671">
      <c r="C671" s="91"/>
    </row>
    <row r="672">
      <c r="C672" s="91"/>
    </row>
    <row r="673">
      <c r="C673" s="91"/>
    </row>
    <row r="674">
      <c r="C674" s="91"/>
    </row>
    <row r="675">
      <c r="C675" s="91"/>
    </row>
    <row r="676">
      <c r="C676" s="91"/>
    </row>
    <row r="677">
      <c r="C677" s="91"/>
    </row>
    <row r="678">
      <c r="C678" s="91"/>
    </row>
    <row r="679">
      <c r="C679" s="91"/>
    </row>
    <row r="680">
      <c r="C680" s="91"/>
    </row>
    <row r="681">
      <c r="C681" s="91"/>
    </row>
    <row r="682">
      <c r="C682" s="91"/>
    </row>
    <row r="683">
      <c r="C683" s="91"/>
    </row>
    <row r="684">
      <c r="C684" s="91"/>
    </row>
    <row r="685">
      <c r="C685" s="91"/>
    </row>
    <row r="686">
      <c r="C686" s="91"/>
    </row>
    <row r="687">
      <c r="C687" s="91"/>
    </row>
    <row r="688">
      <c r="C688" s="91"/>
    </row>
    <row r="689">
      <c r="C689" s="91"/>
    </row>
    <row r="690">
      <c r="C690" s="91"/>
    </row>
    <row r="691">
      <c r="C691" s="91"/>
    </row>
    <row r="692">
      <c r="C692" s="91"/>
    </row>
    <row r="693">
      <c r="C693" s="91"/>
    </row>
    <row r="694">
      <c r="C694" s="91"/>
    </row>
    <row r="695">
      <c r="C695" s="91"/>
    </row>
    <row r="696">
      <c r="C696" s="91"/>
    </row>
    <row r="697">
      <c r="C697" s="91"/>
    </row>
    <row r="698">
      <c r="C698" s="91"/>
    </row>
    <row r="699">
      <c r="C699" s="91"/>
    </row>
    <row r="700">
      <c r="C700" s="91"/>
    </row>
    <row r="701">
      <c r="C701" s="91"/>
    </row>
    <row r="702">
      <c r="C702" s="91"/>
    </row>
    <row r="703">
      <c r="C703" s="91"/>
    </row>
    <row r="704">
      <c r="C704" s="91"/>
    </row>
    <row r="705">
      <c r="C705" s="91"/>
    </row>
    <row r="706">
      <c r="C706" s="91"/>
    </row>
    <row r="707">
      <c r="C707" s="91"/>
    </row>
    <row r="708">
      <c r="C708" s="91"/>
    </row>
    <row r="709">
      <c r="C709" s="91"/>
    </row>
    <row r="710">
      <c r="C710" s="91"/>
    </row>
    <row r="711">
      <c r="C711" s="91"/>
    </row>
    <row r="712">
      <c r="C712" s="91"/>
    </row>
    <row r="713">
      <c r="C713" s="91"/>
    </row>
    <row r="714">
      <c r="C714" s="91"/>
    </row>
    <row r="715">
      <c r="C715" s="91"/>
    </row>
    <row r="716">
      <c r="C716" s="91"/>
    </row>
    <row r="717">
      <c r="C717" s="91"/>
    </row>
    <row r="718">
      <c r="C718" s="91"/>
    </row>
    <row r="719">
      <c r="C719" s="91"/>
    </row>
    <row r="720">
      <c r="C720" s="91"/>
    </row>
    <row r="721">
      <c r="C721" s="91"/>
    </row>
    <row r="722">
      <c r="C722" s="91"/>
    </row>
    <row r="723">
      <c r="C723" s="91"/>
    </row>
    <row r="724">
      <c r="C724" s="91"/>
    </row>
    <row r="725">
      <c r="C725" s="91"/>
    </row>
    <row r="726">
      <c r="C726" s="91"/>
    </row>
    <row r="727">
      <c r="C727" s="91"/>
    </row>
    <row r="728">
      <c r="C728" s="91"/>
    </row>
    <row r="729">
      <c r="C729" s="91"/>
    </row>
    <row r="730">
      <c r="C730" s="91"/>
    </row>
    <row r="731">
      <c r="C731" s="91"/>
    </row>
    <row r="732">
      <c r="C732" s="91"/>
    </row>
    <row r="733">
      <c r="C733" s="91"/>
    </row>
    <row r="734">
      <c r="C734" s="91"/>
    </row>
    <row r="735">
      <c r="C735" s="91"/>
    </row>
    <row r="736">
      <c r="C736" s="91"/>
    </row>
    <row r="737">
      <c r="C737" s="91"/>
    </row>
    <row r="738">
      <c r="C738" s="91"/>
    </row>
    <row r="739">
      <c r="C739" s="91"/>
    </row>
    <row r="740">
      <c r="C740" s="91"/>
    </row>
    <row r="741">
      <c r="C741" s="91"/>
    </row>
    <row r="742">
      <c r="C742" s="91"/>
    </row>
    <row r="743">
      <c r="C743" s="91"/>
    </row>
    <row r="744">
      <c r="C744" s="91"/>
    </row>
    <row r="745">
      <c r="C745" s="91"/>
    </row>
    <row r="746">
      <c r="C746" s="91"/>
    </row>
    <row r="747">
      <c r="C747" s="91"/>
    </row>
    <row r="748">
      <c r="C748" s="91"/>
    </row>
    <row r="749">
      <c r="C749" s="91"/>
    </row>
    <row r="750">
      <c r="C750" s="91"/>
    </row>
    <row r="751">
      <c r="C751" s="91"/>
    </row>
    <row r="752">
      <c r="C752" s="91"/>
    </row>
    <row r="753">
      <c r="C753" s="91"/>
    </row>
    <row r="754">
      <c r="C754" s="91"/>
    </row>
    <row r="755">
      <c r="C755" s="91"/>
    </row>
    <row r="756">
      <c r="C756" s="91"/>
    </row>
    <row r="757">
      <c r="C757" s="91"/>
    </row>
    <row r="758">
      <c r="C758" s="91"/>
    </row>
    <row r="759">
      <c r="C759" s="91"/>
    </row>
    <row r="760">
      <c r="C760" s="91"/>
    </row>
    <row r="761">
      <c r="C761" s="91"/>
    </row>
    <row r="762">
      <c r="C762" s="91"/>
    </row>
    <row r="763">
      <c r="C763" s="91"/>
    </row>
    <row r="764">
      <c r="C764" s="91"/>
    </row>
    <row r="765">
      <c r="C765" s="91"/>
    </row>
    <row r="766">
      <c r="C766" s="91"/>
    </row>
    <row r="767">
      <c r="C767" s="91"/>
    </row>
    <row r="768">
      <c r="C768" s="91"/>
    </row>
    <row r="769">
      <c r="C769" s="91"/>
    </row>
    <row r="770">
      <c r="C770" s="91"/>
    </row>
    <row r="771">
      <c r="C771" s="91"/>
    </row>
    <row r="772">
      <c r="C772" s="91"/>
    </row>
    <row r="773">
      <c r="C773" s="91"/>
    </row>
    <row r="774">
      <c r="C774" s="91"/>
    </row>
    <row r="775">
      <c r="C775" s="91"/>
    </row>
    <row r="776">
      <c r="C776" s="91"/>
    </row>
    <row r="777">
      <c r="C777" s="91"/>
    </row>
    <row r="778">
      <c r="C778" s="91"/>
    </row>
    <row r="779">
      <c r="C779" s="91"/>
    </row>
    <row r="780">
      <c r="C780" s="91"/>
    </row>
    <row r="781">
      <c r="C781" s="91"/>
    </row>
    <row r="782">
      <c r="C782" s="91"/>
    </row>
    <row r="783">
      <c r="C783" s="91"/>
    </row>
    <row r="784">
      <c r="C784" s="91"/>
    </row>
    <row r="785">
      <c r="C785" s="91"/>
    </row>
    <row r="786">
      <c r="C786" s="91"/>
    </row>
    <row r="787">
      <c r="C787" s="91"/>
    </row>
    <row r="788">
      <c r="C788" s="91"/>
    </row>
    <row r="789">
      <c r="C789" s="91"/>
    </row>
    <row r="790">
      <c r="C790" s="91"/>
    </row>
    <row r="791">
      <c r="C791" s="91"/>
    </row>
    <row r="792">
      <c r="C792" s="91"/>
    </row>
    <row r="793">
      <c r="C793" s="91"/>
    </row>
    <row r="794">
      <c r="C794" s="91"/>
    </row>
    <row r="795">
      <c r="C795" s="91"/>
    </row>
    <row r="796">
      <c r="C796" s="91"/>
    </row>
    <row r="797">
      <c r="C797" s="91"/>
    </row>
    <row r="798">
      <c r="C798" s="91"/>
    </row>
    <row r="799">
      <c r="C799" s="91"/>
    </row>
    <row r="800">
      <c r="C800" s="91"/>
    </row>
    <row r="801">
      <c r="C801" s="91"/>
    </row>
    <row r="802">
      <c r="C802" s="91"/>
    </row>
    <row r="803">
      <c r="C803" s="91"/>
    </row>
    <row r="804">
      <c r="C804" s="91"/>
    </row>
    <row r="805">
      <c r="C805" s="91"/>
    </row>
    <row r="806">
      <c r="C806" s="91"/>
    </row>
    <row r="807">
      <c r="C807" s="91"/>
    </row>
    <row r="808">
      <c r="C808" s="91"/>
    </row>
    <row r="809">
      <c r="C809" s="91"/>
    </row>
    <row r="810">
      <c r="C810" s="91"/>
    </row>
    <row r="811">
      <c r="C811" s="91"/>
    </row>
    <row r="812">
      <c r="C812" s="91"/>
    </row>
    <row r="813">
      <c r="C813" s="91"/>
    </row>
    <row r="814">
      <c r="C814" s="91"/>
    </row>
    <row r="815">
      <c r="C815" s="91"/>
    </row>
    <row r="816">
      <c r="C816" s="91"/>
    </row>
    <row r="817">
      <c r="C817" s="91"/>
    </row>
    <row r="818">
      <c r="C818" s="91"/>
    </row>
    <row r="819">
      <c r="C819" s="91"/>
    </row>
    <row r="820">
      <c r="C820" s="91"/>
    </row>
    <row r="821">
      <c r="C821" s="91"/>
    </row>
    <row r="822">
      <c r="C822" s="91"/>
    </row>
    <row r="823">
      <c r="C823" s="91"/>
    </row>
    <row r="824">
      <c r="C824" s="91"/>
    </row>
    <row r="825">
      <c r="C825" s="91"/>
    </row>
    <row r="826">
      <c r="C826" s="91"/>
    </row>
    <row r="827">
      <c r="C827" s="91"/>
    </row>
    <row r="828">
      <c r="C828" s="91"/>
    </row>
    <row r="829">
      <c r="C829" s="91"/>
    </row>
    <row r="830">
      <c r="C830" s="91"/>
    </row>
    <row r="831">
      <c r="C831" s="91"/>
    </row>
    <row r="832">
      <c r="C832" s="91"/>
    </row>
    <row r="833">
      <c r="C833" s="91"/>
    </row>
    <row r="834">
      <c r="C834" s="91"/>
    </row>
    <row r="835">
      <c r="C835" s="91"/>
    </row>
    <row r="836">
      <c r="C836" s="91"/>
    </row>
    <row r="837">
      <c r="C837" s="91"/>
    </row>
    <row r="838">
      <c r="C838" s="91"/>
    </row>
    <row r="839">
      <c r="C839" s="91"/>
    </row>
    <row r="840">
      <c r="C840" s="91"/>
    </row>
    <row r="841">
      <c r="C841" s="91"/>
    </row>
    <row r="842">
      <c r="C842" s="91"/>
    </row>
    <row r="843">
      <c r="C843" s="91"/>
    </row>
    <row r="844">
      <c r="C844" s="91"/>
    </row>
    <row r="845">
      <c r="C845" s="91"/>
    </row>
    <row r="846">
      <c r="C846" s="91"/>
    </row>
    <row r="847">
      <c r="C847" s="91"/>
    </row>
    <row r="848">
      <c r="C848" s="91"/>
    </row>
    <row r="849">
      <c r="C849" s="91"/>
    </row>
    <row r="850">
      <c r="C850" s="91"/>
    </row>
    <row r="851">
      <c r="C851" s="91"/>
    </row>
    <row r="852">
      <c r="C852" s="91"/>
    </row>
    <row r="853">
      <c r="C853" s="91"/>
    </row>
    <row r="854">
      <c r="C854" s="91"/>
    </row>
    <row r="855">
      <c r="C855" s="91"/>
    </row>
    <row r="856">
      <c r="C856" s="91"/>
    </row>
    <row r="857">
      <c r="C857" s="91"/>
    </row>
    <row r="858">
      <c r="C858" s="91"/>
    </row>
    <row r="859">
      <c r="C859" s="91"/>
    </row>
    <row r="860">
      <c r="C860" s="91"/>
    </row>
    <row r="861">
      <c r="C861" s="91"/>
    </row>
    <row r="862">
      <c r="C862" s="91"/>
    </row>
    <row r="863">
      <c r="C863" s="91"/>
    </row>
    <row r="864">
      <c r="C864" s="91"/>
    </row>
    <row r="865">
      <c r="C865" s="91"/>
    </row>
    <row r="866">
      <c r="C866" s="91"/>
    </row>
    <row r="867">
      <c r="C867" s="91"/>
    </row>
    <row r="868">
      <c r="C868" s="91"/>
    </row>
    <row r="869">
      <c r="C869" s="91"/>
    </row>
    <row r="870">
      <c r="C870" s="91"/>
    </row>
    <row r="871">
      <c r="C871" s="91"/>
    </row>
    <row r="872">
      <c r="C872" s="91"/>
    </row>
    <row r="873">
      <c r="C873" s="91"/>
    </row>
    <row r="874">
      <c r="C874" s="91"/>
    </row>
    <row r="875">
      <c r="C875" s="91"/>
    </row>
    <row r="876">
      <c r="C876" s="91"/>
    </row>
    <row r="877">
      <c r="C877" s="91"/>
    </row>
    <row r="878">
      <c r="C878" s="91"/>
    </row>
    <row r="879">
      <c r="C879" s="91"/>
    </row>
    <row r="880">
      <c r="C880" s="91"/>
    </row>
    <row r="881">
      <c r="C881" s="91"/>
    </row>
    <row r="882">
      <c r="C882" s="91"/>
    </row>
    <row r="883">
      <c r="C883" s="91"/>
    </row>
    <row r="884">
      <c r="C884" s="91"/>
    </row>
    <row r="885">
      <c r="C885" s="91"/>
    </row>
    <row r="886">
      <c r="C886" s="91"/>
    </row>
    <row r="887">
      <c r="C887" s="91"/>
    </row>
    <row r="888">
      <c r="C888" s="91"/>
    </row>
    <row r="889">
      <c r="C889" s="91"/>
    </row>
    <row r="890">
      <c r="C890" s="91"/>
    </row>
    <row r="891">
      <c r="C891" s="91"/>
    </row>
    <row r="892">
      <c r="C892" s="91"/>
    </row>
    <row r="893">
      <c r="C893" s="91"/>
    </row>
    <row r="894">
      <c r="C894" s="91"/>
    </row>
    <row r="895">
      <c r="C895" s="91"/>
    </row>
    <row r="896">
      <c r="C896" s="91"/>
    </row>
    <row r="897">
      <c r="C897" s="91"/>
    </row>
    <row r="898">
      <c r="C898" s="91"/>
    </row>
    <row r="899">
      <c r="C899" s="91"/>
    </row>
    <row r="900">
      <c r="C900" s="91"/>
    </row>
    <row r="901">
      <c r="C901" s="91"/>
    </row>
    <row r="902">
      <c r="C902" s="91"/>
    </row>
    <row r="903">
      <c r="C903" s="91"/>
    </row>
    <row r="904">
      <c r="C904" s="91"/>
    </row>
    <row r="905">
      <c r="C905" s="91"/>
    </row>
    <row r="906">
      <c r="C906" s="91"/>
    </row>
    <row r="907">
      <c r="C907" s="91"/>
    </row>
    <row r="908">
      <c r="C908" s="91"/>
    </row>
    <row r="909">
      <c r="C909" s="91"/>
    </row>
    <row r="910">
      <c r="C910" s="91"/>
    </row>
    <row r="911">
      <c r="C911" s="91"/>
    </row>
    <row r="912">
      <c r="C912" s="91"/>
    </row>
    <row r="913">
      <c r="C913" s="91"/>
    </row>
    <row r="914">
      <c r="C914" s="91"/>
    </row>
    <row r="915">
      <c r="C915" s="91"/>
    </row>
    <row r="916">
      <c r="C916" s="91"/>
    </row>
    <row r="917">
      <c r="C917" s="91"/>
    </row>
    <row r="918">
      <c r="C918" s="91"/>
    </row>
    <row r="919">
      <c r="C919" s="91"/>
    </row>
    <row r="920">
      <c r="C920" s="91"/>
    </row>
    <row r="921">
      <c r="C921" s="91"/>
    </row>
    <row r="922">
      <c r="C922" s="91"/>
    </row>
    <row r="923">
      <c r="C923" s="91"/>
    </row>
    <row r="924">
      <c r="C924" s="91"/>
    </row>
    <row r="925">
      <c r="C925" s="91"/>
    </row>
    <row r="926">
      <c r="C926" s="91"/>
    </row>
    <row r="927">
      <c r="C927" s="91"/>
    </row>
    <row r="928">
      <c r="C928" s="91"/>
    </row>
    <row r="929">
      <c r="C929" s="91"/>
    </row>
    <row r="930">
      <c r="C930" s="91"/>
    </row>
    <row r="931">
      <c r="C931" s="91"/>
    </row>
    <row r="932">
      <c r="C932" s="91"/>
    </row>
    <row r="933">
      <c r="C933" s="91"/>
    </row>
    <row r="934">
      <c r="C934" s="91"/>
    </row>
    <row r="935">
      <c r="C935" s="91"/>
    </row>
    <row r="936">
      <c r="C936" s="91"/>
    </row>
    <row r="937">
      <c r="C937" s="91"/>
    </row>
    <row r="938">
      <c r="C938" s="91"/>
    </row>
    <row r="939">
      <c r="C939" s="91"/>
    </row>
    <row r="940">
      <c r="C940" s="91"/>
    </row>
    <row r="941">
      <c r="C941" s="91"/>
    </row>
    <row r="942">
      <c r="C942" s="91"/>
    </row>
    <row r="943">
      <c r="C943" s="91"/>
    </row>
    <row r="944">
      <c r="C944" s="91"/>
    </row>
    <row r="945">
      <c r="C945" s="91"/>
    </row>
    <row r="946">
      <c r="C946" s="91"/>
    </row>
    <row r="947">
      <c r="C947" s="91"/>
    </row>
    <row r="948">
      <c r="C948" s="91"/>
    </row>
    <row r="949">
      <c r="C949" s="91"/>
    </row>
    <row r="950">
      <c r="C950" s="91"/>
    </row>
    <row r="951">
      <c r="C951" s="91"/>
    </row>
    <row r="952">
      <c r="C952" s="91"/>
    </row>
    <row r="953">
      <c r="C953" s="91"/>
    </row>
    <row r="954">
      <c r="C954" s="91"/>
    </row>
    <row r="955">
      <c r="C955" s="91"/>
    </row>
    <row r="956">
      <c r="C956" s="91"/>
    </row>
    <row r="957">
      <c r="C957" s="91"/>
    </row>
    <row r="958">
      <c r="C958" s="91"/>
    </row>
    <row r="959">
      <c r="C959" s="91"/>
    </row>
    <row r="960">
      <c r="C960" s="91"/>
    </row>
    <row r="961">
      <c r="C961" s="91"/>
    </row>
    <row r="962">
      <c r="C962" s="91"/>
    </row>
    <row r="963">
      <c r="C963" s="91"/>
    </row>
    <row r="964">
      <c r="C964" s="91"/>
    </row>
    <row r="965">
      <c r="C965" s="91"/>
    </row>
    <row r="966">
      <c r="C966" s="91"/>
    </row>
    <row r="967">
      <c r="C967" s="91"/>
    </row>
    <row r="968">
      <c r="C968" s="91"/>
    </row>
    <row r="969">
      <c r="C969" s="91"/>
    </row>
    <row r="970">
      <c r="C970" s="91"/>
    </row>
    <row r="971">
      <c r="C971" s="91"/>
    </row>
    <row r="972">
      <c r="C972" s="91"/>
    </row>
    <row r="973">
      <c r="C973" s="91"/>
    </row>
    <row r="974">
      <c r="C974" s="91"/>
    </row>
    <row r="975">
      <c r="C975" s="91"/>
    </row>
    <row r="976">
      <c r="C976" s="91"/>
    </row>
    <row r="977">
      <c r="C977" s="91"/>
    </row>
    <row r="978">
      <c r="C978" s="91"/>
    </row>
    <row r="979">
      <c r="C979" s="91"/>
    </row>
    <row r="980">
      <c r="C980" s="91"/>
    </row>
    <row r="981">
      <c r="C981" s="91"/>
    </row>
    <row r="982">
      <c r="C982" s="91"/>
    </row>
    <row r="983">
      <c r="C983" s="91"/>
    </row>
    <row r="984">
      <c r="C984" s="91"/>
    </row>
    <row r="985">
      <c r="C985" s="91"/>
    </row>
    <row r="986">
      <c r="C986" s="91"/>
    </row>
    <row r="987">
      <c r="C987" s="91"/>
    </row>
    <row r="988">
      <c r="C988" s="91"/>
    </row>
    <row r="989">
      <c r="C989" s="91"/>
    </row>
    <row r="990">
      <c r="C990" s="91"/>
    </row>
    <row r="991">
      <c r="C991" s="91"/>
    </row>
    <row r="992">
      <c r="C992" s="91"/>
    </row>
    <row r="993">
      <c r="C993" s="91"/>
    </row>
    <row r="994">
      <c r="C994" s="91"/>
    </row>
    <row r="995">
      <c r="C995" s="91"/>
    </row>
    <row r="996">
      <c r="C996" s="91"/>
    </row>
    <row r="997">
      <c r="C997" s="91"/>
    </row>
    <row r="998">
      <c r="C998" s="91"/>
    </row>
    <row r="999">
      <c r="C999" s="91"/>
    </row>
    <row r="1000">
      <c r="C1000" s="91"/>
    </row>
    <row r="1001">
      <c r="C1001" s="91"/>
    </row>
    <row r="1002">
      <c r="C1002" s="91"/>
    </row>
    <row r="1003">
      <c r="C1003" s="91"/>
    </row>
    <row r="1004">
      <c r="C1004" s="91"/>
    </row>
    <row r="1005">
      <c r="C1005" s="91"/>
    </row>
    <row r="1006">
      <c r="C1006" s="91"/>
    </row>
    <row r="1007">
      <c r="C1007" s="91"/>
    </row>
    <row r="1008">
      <c r="C1008" s="91"/>
    </row>
    <row r="1009">
      <c r="C1009" s="91"/>
    </row>
    <row r="1010">
      <c r="C1010" s="91"/>
    </row>
    <row r="1011">
      <c r="C1011" s="91"/>
    </row>
    <row r="1012">
      <c r="C1012" s="91"/>
    </row>
    <row r="1013">
      <c r="C1013" s="91"/>
    </row>
    <row r="1014">
      <c r="C1014" s="91"/>
    </row>
    <row r="1015">
      <c r="C1015" s="91"/>
    </row>
    <row r="1016">
      <c r="C1016" s="91"/>
    </row>
    <row r="1017">
      <c r="C1017" s="91"/>
    </row>
    <row r="1018">
      <c r="C1018" s="91"/>
    </row>
    <row r="1019">
      <c r="C1019" s="91"/>
    </row>
    <row r="1020">
      <c r="C1020" s="91"/>
    </row>
    <row r="1021">
      <c r="C1021" s="91"/>
    </row>
    <row r="1022">
      <c r="C1022" s="91"/>
    </row>
    <row r="1023">
      <c r="C1023" s="91"/>
    </row>
    <row r="1024">
      <c r="C1024" s="91"/>
    </row>
    <row r="1025">
      <c r="C1025" s="91"/>
    </row>
    <row r="1026">
      <c r="C1026" s="91"/>
    </row>
    <row r="1027">
      <c r="C1027" s="91"/>
    </row>
    <row r="1028">
      <c r="C1028" s="91"/>
    </row>
    <row r="1029">
      <c r="C1029" s="91"/>
    </row>
    <row r="1030">
      <c r="C1030" s="91"/>
    </row>
    <row r="1031">
      <c r="C1031" s="91"/>
    </row>
    <row r="1032">
      <c r="C1032" s="91"/>
    </row>
    <row r="1033">
      <c r="C1033" s="91"/>
    </row>
    <row r="1034">
      <c r="C1034" s="91"/>
    </row>
    <row r="1035">
      <c r="C1035" s="91"/>
    </row>
    <row r="1036">
      <c r="C1036" s="91"/>
    </row>
    <row r="1037">
      <c r="C1037" s="91"/>
    </row>
    <row r="1038">
      <c r="C1038" s="91"/>
    </row>
    <row r="1039">
      <c r="C1039" s="91"/>
    </row>
    <row r="1040">
      <c r="C1040" s="91"/>
    </row>
    <row r="1041">
      <c r="C1041" s="91"/>
    </row>
    <row r="1042">
      <c r="C1042" s="91"/>
    </row>
    <row r="1043">
      <c r="C1043" s="91"/>
    </row>
    <row r="1044">
      <c r="C1044" s="91"/>
    </row>
    <row r="1045">
      <c r="C1045" s="91"/>
    </row>
    <row r="1046">
      <c r="C1046" s="91"/>
    </row>
    <row r="1047">
      <c r="C1047" s="91"/>
    </row>
  </sheetData>
  <dataValidations>
    <dataValidation type="custom" allowBlank="1" showDropDown="1" sqref="B3:B100">
      <formula1>OR(TIMEVALUE(TEXT(B3, "hh:mm:ss"))=B3, AND(ISNUMBER(B3), LEFT(CELL("format", B3))="D"))</formula1>
    </dataValidation>
    <dataValidation type="list" allowBlank="1" sqref="A3:A100">
      <formula1>"Maandag,Dinsdag,Woensdag,Donderdag,Vrijdag,Zaterdag,Zondag"</formula1>
    </dataValidation>
    <dataValidation type="custom" allowBlank="1" showDropDown="1" sqref="I3:I100">
      <formula1>AND(ISNUMBER(I3),(NOT(OR(NOT(ISERROR(DATEVALUE(I3))), AND(ISNUMBER(I3), LEFT(CELL("format", I3))="D")))))</formula1>
    </dataValidation>
    <dataValidation type="list" allowBlank="1" sqref="E3:E100 H3:H100">
      <formula1>#REF!</formula1>
    </dataValidation>
    <dataValidation type="custom" allowBlank="1" showDropDown="1" sqref="C3:C100 F3:G100 J3:J100">
      <formula1>AND(ISNUMBER(C3),(NOT(OR(NOT(ISERROR(DATEVALUE(C3))), AND(ISNUMBER(C3), LEFT(CELL("format", C3))="D")))))</formula1>
    </dataValidation>
    <dataValidation allowBlank="1" showDropDown="1" sqref="D3:D100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38.78"/>
    <col customWidth="1" min="2" max="13" width="12.33"/>
  </cols>
  <sheetData>
    <row r="1" ht="22.5" customHeight="1">
      <c r="A1" s="108" t="s">
        <v>116</v>
      </c>
      <c r="B1" s="108" t="s">
        <v>117</v>
      </c>
      <c r="C1" s="109" t="s">
        <v>118</v>
      </c>
      <c r="D1" s="109" t="s">
        <v>119</v>
      </c>
      <c r="E1" s="109" t="s">
        <v>121</v>
      </c>
      <c r="F1" s="109" t="s">
        <v>122</v>
      </c>
      <c r="G1" s="109" t="s">
        <v>123</v>
      </c>
      <c r="H1" s="109" t="s">
        <v>125</v>
      </c>
      <c r="I1" s="109" t="s">
        <v>126</v>
      </c>
      <c r="J1" s="109" t="s">
        <v>127</v>
      </c>
      <c r="K1" s="109" t="s">
        <v>128</v>
      </c>
      <c r="L1" s="109" t="s">
        <v>129</v>
      </c>
      <c r="M1" s="109" t="s">
        <v>131</v>
      </c>
    </row>
    <row r="2" ht="22.5" customHeight="1">
      <c r="A2" s="110" t="s">
        <v>132</v>
      </c>
      <c r="B2" s="111" t="s">
        <v>133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ht="22.5" customHeight="1">
      <c r="A3" s="115" t="s">
        <v>136</v>
      </c>
      <c r="B3" s="116">
        <v>77.44</v>
      </c>
      <c r="C3" s="116">
        <v>77.44</v>
      </c>
      <c r="D3" s="116">
        <v>77.44</v>
      </c>
      <c r="E3" s="116">
        <v>77.44</v>
      </c>
      <c r="F3" s="116">
        <v>77.44</v>
      </c>
      <c r="G3" s="116">
        <v>77.44</v>
      </c>
      <c r="H3" s="116">
        <v>77.44</v>
      </c>
      <c r="I3" s="116">
        <v>77.44</v>
      </c>
      <c r="J3" s="116">
        <v>77.44</v>
      </c>
      <c r="K3" s="116">
        <v>77.44</v>
      </c>
      <c r="L3" s="116">
        <v>77.4399999999999</v>
      </c>
      <c r="M3" s="116">
        <v>77.4399999999999</v>
      </c>
    </row>
    <row r="4" ht="22.5" customHeight="1">
      <c r="A4" s="120" t="s">
        <v>138</v>
      </c>
      <c r="B4" s="121"/>
      <c r="C4" s="121"/>
      <c r="D4" s="123">
        <v>24.5</v>
      </c>
      <c r="E4" s="123">
        <v>24.5</v>
      </c>
      <c r="F4" s="123">
        <v>24.5</v>
      </c>
      <c r="G4" s="123">
        <v>24.5</v>
      </c>
      <c r="H4" s="123">
        <v>24.5</v>
      </c>
      <c r="I4" s="123">
        <v>24.5</v>
      </c>
      <c r="J4" s="123">
        <v>24.5</v>
      </c>
      <c r="K4" s="123">
        <v>24.5</v>
      </c>
      <c r="L4" s="123">
        <v>24.5</v>
      </c>
      <c r="M4" s="123">
        <v>24.5</v>
      </c>
    </row>
    <row r="5" ht="22.5" customHeight="1">
      <c r="A5" s="128" t="s">
        <v>140</v>
      </c>
      <c r="B5" s="129">
        <v>10.99</v>
      </c>
      <c r="C5" s="129">
        <v>10.99</v>
      </c>
      <c r="D5" s="129">
        <v>10.99</v>
      </c>
      <c r="E5" s="129">
        <v>10.99</v>
      </c>
      <c r="F5" s="129">
        <v>10.99</v>
      </c>
      <c r="G5" s="129">
        <v>10.99</v>
      </c>
      <c r="H5" s="129">
        <v>10.99</v>
      </c>
      <c r="I5" s="129">
        <v>10.99</v>
      </c>
      <c r="J5" s="129">
        <v>10.99</v>
      </c>
      <c r="K5" s="129">
        <v>10.99</v>
      </c>
      <c r="L5" s="129">
        <v>10.99</v>
      </c>
      <c r="M5" s="129">
        <v>10.99</v>
      </c>
    </row>
    <row r="6" ht="22.5" customHeight="1">
      <c r="A6" s="115" t="s">
        <v>142</v>
      </c>
      <c r="B6" s="116">
        <v>213.0</v>
      </c>
      <c r="C6" s="116">
        <v>213.0</v>
      </c>
      <c r="D6" s="116">
        <v>213.0</v>
      </c>
      <c r="E6" s="116">
        <v>213.0</v>
      </c>
      <c r="F6" s="116">
        <v>213.0</v>
      </c>
      <c r="G6" s="116">
        <v>213.0</v>
      </c>
      <c r="H6" s="116">
        <v>213.0</v>
      </c>
      <c r="I6" s="116">
        <v>213.0</v>
      </c>
      <c r="J6" s="116">
        <v>213.0</v>
      </c>
      <c r="K6" s="116">
        <v>213.0</v>
      </c>
      <c r="L6" s="116">
        <v>213.0</v>
      </c>
      <c r="M6" s="116">
        <v>213.0</v>
      </c>
    </row>
    <row r="7" ht="22.5" customHeight="1">
      <c r="A7" s="120" t="s">
        <v>150</v>
      </c>
      <c r="B7" s="129"/>
      <c r="C7" s="129"/>
      <c r="D7" s="121"/>
      <c r="E7" s="133">
        <v>160.0</v>
      </c>
      <c r="F7" s="121"/>
      <c r="G7" s="121"/>
      <c r="H7" s="123">
        <v>109.0</v>
      </c>
      <c r="I7" s="121"/>
      <c r="J7" s="121"/>
      <c r="K7" s="121"/>
      <c r="L7" s="129">
        <v>376.0</v>
      </c>
      <c r="M7" s="121"/>
    </row>
    <row r="8" ht="22.5" customHeight="1">
      <c r="A8" s="115" t="s">
        <v>152</v>
      </c>
      <c r="B8" s="134"/>
      <c r="C8" s="134"/>
      <c r="D8" s="134"/>
      <c r="E8" s="134"/>
      <c r="F8" s="135"/>
      <c r="G8" s="135"/>
      <c r="H8" s="134"/>
      <c r="I8" s="136"/>
      <c r="J8" s="134"/>
      <c r="K8" s="134"/>
      <c r="L8" s="134"/>
      <c r="M8" s="134"/>
    </row>
    <row r="9" ht="22.5" customHeight="1">
      <c r="A9" s="137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</row>
    <row r="10" ht="22.5" customHeight="1">
      <c r="A10" s="140" t="s">
        <v>155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</row>
    <row r="11" ht="22.5" customHeight="1">
      <c r="A11" s="141" t="s">
        <v>156</v>
      </c>
      <c r="B11" s="121"/>
      <c r="C11" s="121"/>
      <c r="D11" s="121"/>
      <c r="E11" s="121"/>
      <c r="F11" s="121"/>
      <c r="G11" s="121"/>
      <c r="H11" s="142"/>
      <c r="I11" s="123"/>
      <c r="J11" s="121"/>
      <c r="K11" s="121"/>
      <c r="L11" s="121"/>
      <c r="M11" s="121"/>
    </row>
    <row r="12" ht="22.5" customHeight="1">
      <c r="A12" s="115" t="s">
        <v>159</v>
      </c>
      <c r="B12" s="116"/>
      <c r="C12" s="116"/>
      <c r="D12" s="116"/>
      <c r="E12" s="134"/>
      <c r="F12" s="134"/>
      <c r="G12" s="134"/>
      <c r="H12" s="116"/>
      <c r="I12" s="136">
        <v>130.85</v>
      </c>
      <c r="J12" s="136"/>
      <c r="K12" s="134"/>
      <c r="L12" s="134"/>
      <c r="M12" s="116"/>
    </row>
    <row r="13" ht="22.5" customHeight="1">
      <c r="A13" s="137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</row>
    <row r="14" ht="22.5" customHeight="1">
      <c r="A14" s="140" t="s">
        <v>160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</row>
    <row r="15" ht="22.5" customHeight="1">
      <c r="A15" s="128" t="s">
        <v>162</v>
      </c>
      <c r="B15" s="129"/>
      <c r="C15" s="129"/>
      <c r="D15" s="123">
        <f>110+15.8</f>
        <v>125.8</v>
      </c>
      <c r="E15" s="123">
        <f>15.43+46+274</f>
        <v>335.43</v>
      </c>
      <c r="F15" s="145">
        <v>97.0</v>
      </c>
      <c r="G15" s="123">
        <f>130+141+70+13</f>
        <v>354</v>
      </c>
      <c r="H15" s="145">
        <f>276+37.4+347+122++69+9.4</f>
        <v>860.8</v>
      </c>
      <c r="I15" s="123">
        <f>84+37.97+26.99+31+8.75+16.49+209.8</f>
        <v>415</v>
      </c>
      <c r="J15" s="145"/>
      <c r="K15" s="129"/>
      <c r="L15" s="129">
        <f>20+30+186</f>
        <v>236</v>
      </c>
      <c r="M15" s="121"/>
    </row>
    <row r="16" ht="22.5" customHeight="1">
      <c r="A16" s="115" t="s">
        <v>164</v>
      </c>
      <c r="B16" s="147">
        <v>20.56</v>
      </c>
      <c r="C16" s="147">
        <v>20.56</v>
      </c>
      <c r="D16" s="147">
        <v>20.56</v>
      </c>
      <c r="E16" s="147">
        <v>20.56</v>
      </c>
      <c r="F16" s="147">
        <v>20.56</v>
      </c>
      <c r="G16" s="116">
        <v>20.56</v>
      </c>
      <c r="H16" s="116">
        <v>20.56</v>
      </c>
      <c r="I16" s="116">
        <v>20.56</v>
      </c>
      <c r="J16" s="116">
        <v>20.56</v>
      </c>
      <c r="K16" s="116">
        <v>20.56</v>
      </c>
      <c r="L16" s="116">
        <v>20.56</v>
      </c>
      <c r="M16" s="116">
        <v>20.56</v>
      </c>
    </row>
    <row r="17" ht="22.5" customHeight="1">
      <c r="A17" s="128" t="s">
        <v>165</v>
      </c>
      <c r="B17" s="145">
        <v>639.0</v>
      </c>
      <c r="C17" s="129"/>
      <c r="D17" s="129"/>
      <c r="E17" s="129"/>
      <c r="F17" s="129"/>
      <c r="G17" s="129"/>
      <c r="H17" s="129"/>
      <c r="I17" s="129"/>
      <c r="J17" s="129"/>
      <c r="K17" s="129"/>
      <c r="L17" s="129">
        <v>155.0</v>
      </c>
      <c r="M17" s="129">
        <v>155.0</v>
      </c>
    </row>
    <row r="18" ht="22.5" customHeight="1">
      <c r="A18" s="115" t="s">
        <v>166</v>
      </c>
      <c r="B18" s="116">
        <v>72.25</v>
      </c>
      <c r="C18" s="116">
        <v>72.25</v>
      </c>
      <c r="D18" s="116">
        <v>72.25</v>
      </c>
      <c r="E18" s="116">
        <v>72.25</v>
      </c>
      <c r="F18" s="116">
        <v>72.25</v>
      </c>
      <c r="G18" s="116">
        <v>72.25</v>
      </c>
      <c r="H18" s="116">
        <v>72.25</v>
      </c>
      <c r="I18" s="116">
        <v>72.25</v>
      </c>
      <c r="J18" s="116">
        <v>72.25</v>
      </c>
      <c r="K18" s="116">
        <v>72.25</v>
      </c>
      <c r="L18" s="116">
        <v>72.25</v>
      </c>
      <c r="M18" s="116">
        <v>72.25</v>
      </c>
    </row>
    <row r="19" ht="22.5" customHeight="1">
      <c r="A19" s="137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</row>
    <row r="20" ht="22.5" customHeight="1">
      <c r="A20" s="140" t="s">
        <v>173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</row>
    <row r="21" ht="22.5" customHeight="1">
      <c r="A21" s="128" t="s">
        <v>179</v>
      </c>
      <c r="B21" s="129">
        <f>64+79+10</f>
        <v>153</v>
      </c>
      <c r="C21" s="129"/>
      <c r="D21" s="123">
        <v>63.0</v>
      </c>
      <c r="E21" s="145">
        <f>75+22+25+29</f>
        <v>151</v>
      </c>
      <c r="F21" s="133">
        <f>15+170+34+34+37+87+25+92+60</f>
        <v>554</v>
      </c>
      <c r="G21" s="142">
        <f>28.95+21.76+44</f>
        <v>94.71</v>
      </c>
      <c r="H21" s="123">
        <v>610.0</v>
      </c>
      <c r="I21" s="121"/>
      <c r="J21" s="123"/>
      <c r="K21" s="121"/>
      <c r="L21" s="129">
        <f>50.64+66.3</f>
        <v>116.94</v>
      </c>
      <c r="M21" s="121"/>
    </row>
    <row r="22" ht="22.5" customHeight="1">
      <c r="A22" s="115" t="s">
        <v>181</v>
      </c>
      <c r="B22" s="134"/>
      <c r="C22" s="134"/>
      <c r="D22" s="162"/>
      <c r="E22" s="134"/>
      <c r="F22" s="134"/>
      <c r="G22" s="136">
        <f>74+33+100</f>
        <v>207</v>
      </c>
      <c r="H22" s="134"/>
      <c r="I22" s="134"/>
      <c r="J22" s="134"/>
      <c r="K22" s="134"/>
      <c r="L22" s="134"/>
      <c r="M22" s="134"/>
    </row>
    <row r="23" ht="22.5" customHeight="1">
      <c r="A23" s="120" t="s">
        <v>184</v>
      </c>
      <c r="B23" s="129">
        <f>33+245+112+152.3+175+55+96+135</f>
        <v>1003.3</v>
      </c>
      <c r="C23" s="145">
        <f>128+169+99+64+138+152.7-+51+33+29+112.28+119.3+290+13.93+550+30+1630+518+230</f>
        <v>4255.21</v>
      </c>
      <c r="D23" s="145">
        <f>29.66+24.24+24+44</f>
        <v>121.9</v>
      </c>
      <c r="E23" s="133"/>
      <c r="F23" s="133">
        <v>826.0</v>
      </c>
      <c r="G23" s="133">
        <f>820+102+200</f>
        <v>1122</v>
      </c>
      <c r="H23" s="133">
        <v>811.0</v>
      </c>
      <c r="I23" s="133">
        <f>1000+960+30</f>
        <v>1990</v>
      </c>
      <c r="J23" s="121"/>
      <c r="K23" s="121"/>
      <c r="L23" s="121"/>
      <c r="M23" s="121"/>
    </row>
    <row r="24" ht="22.5" customHeight="1">
      <c r="A24" s="115"/>
      <c r="B24" s="134"/>
      <c r="C24" s="134"/>
      <c r="D24" s="134"/>
      <c r="E24" s="134"/>
      <c r="F24" s="134"/>
      <c r="G24" s="134"/>
      <c r="H24" s="134"/>
      <c r="I24" s="134"/>
      <c r="J24" s="116"/>
      <c r="K24" s="134"/>
      <c r="L24" s="134"/>
      <c r="M24" s="134"/>
    </row>
    <row r="25" ht="22.5" customHeight="1">
      <c r="A25" s="175" t="s">
        <v>188</v>
      </c>
      <c r="B25" s="121"/>
      <c r="C25" s="121"/>
      <c r="D25" s="121"/>
      <c r="E25" s="121"/>
      <c r="F25" s="121"/>
      <c r="G25" s="121"/>
      <c r="H25" s="121"/>
      <c r="I25" s="123"/>
      <c r="J25" s="123"/>
      <c r="K25" s="145">
        <v>27200.0</v>
      </c>
      <c r="L25" s="121"/>
      <c r="M25" s="121"/>
    </row>
    <row r="26" ht="22.5" customHeight="1">
      <c r="A26" s="115"/>
      <c r="B26" s="134"/>
      <c r="C26" s="134"/>
      <c r="D26" s="116"/>
      <c r="E26" s="134"/>
      <c r="F26" s="135"/>
      <c r="G26" s="135"/>
      <c r="H26" s="134"/>
      <c r="I26" s="162"/>
      <c r="J26" s="134"/>
      <c r="K26" s="134"/>
      <c r="L26" s="134"/>
      <c r="M26" s="134"/>
    </row>
    <row r="27" ht="22.5" customHeight="1">
      <c r="A27" s="128"/>
      <c r="B27" s="121"/>
      <c r="C27" s="121"/>
      <c r="D27" s="142"/>
      <c r="E27" s="121"/>
      <c r="F27" s="121"/>
      <c r="G27" s="121"/>
      <c r="H27" s="121"/>
      <c r="I27" s="181"/>
      <c r="J27" s="121"/>
      <c r="K27" s="121"/>
      <c r="L27" s="121"/>
      <c r="M27" s="121"/>
    </row>
    <row r="28" ht="22.5" customHeight="1">
      <c r="A28" s="182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</row>
    <row r="29" ht="22.5" customHeight="1">
      <c r="A29" s="183" t="s">
        <v>192</v>
      </c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</row>
    <row r="30" ht="22.5" customHeight="1">
      <c r="A30" s="115" t="s">
        <v>195</v>
      </c>
      <c r="B30" s="136">
        <v>50.0</v>
      </c>
      <c r="C30" s="136"/>
      <c r="D30" s="136"/>
      <c r="E30" s="136">
        <v>86.0</v>
      </c>
      <c r="F30" s="136"/>
      <c r="G30" s="136">
        <v>207.0</v>
      </c>
      <c r="H30" s="136"/>
      <c r="I30" s="136"/>
      <c r="J30" s="136"/>
      <c r="K30" s="136">
        <v>50.0</v>
      </c>
      <c r="L30" s="136">
        <v>50.0</v>
      </c>
      <c r="M30" s="136">
        <v>50.0</v>
      </c>
    </row>
    <row r="31" ht="22.5" customHeight="1">
      <c r="A31" s="141" t="s">
        <v>196</v>
      </c>
      <c r="B31" s="145">
        <f>31+27+35</f>
        <v>93</v>
      </c>
      <c r="C31" s="145">
        <f>28+23+10+39.9</f>
        <v>100.9</v>
      </c>
      <c r="D31" s="145">
        <f>36+40+23+22+129</f>
        <v>250</v>
      </c>
      <c r="E31" s="133">
        <f>54+150+90+97+27+78+27+6+20+17</f>
        <v>566</v>
      </c>
      <c r="F31" s="123">
        <f>13+23+79+39+78+40+15+25+30+26+29</f>
        <v>397</v>
      </c>
      <c r="G31" s="123">
        <f>35+25.45+81+63+93+23</f>
        <v>320.45</v>
      </c>
      <c r="H31" s="123">
        <v>222.0</v>
      </c>
      <c r="I31" s="121">
        <f>21.15+129</f>
        <v>150.15</v>
      </c>
      <c r="J31" s="121">
        <f>175+20+250</f>
        <v>445</v>
      </c>
      <c r="K31" s="121"/>
      <c r="L31" s="121"/>
      <c r="M31" s="121"/>
    </row>
    <row r="32" ht="22.5" customHeight="1">
      <c r="A32" s="115" t="s">
        <v>198</v>
      </c>
      <c r="B32" s="147">
        <f>280.65+240</f>
        <v>520.65</v>
      </c>
      <c r="C32" s="147">
        <f>137+130</f>
        <v>267</v>
      </c>
      <c r="D32" s="147">
        <f>52+277+80+12</f>
        <v>421</v>
      </c>
      <c r="E32" s="192">
        <f>165+107.5+46</f>
        <v>318.5</v>
      </c>
      <c r="F32" s="192">
        <f>155+177</f>
        <v>332</v>
      </c>
      <c r="G32" s="192">
        <f>250+65.5+132+30</f>
        <v>477.5</v>
      </c>
      <c r="H32" s="147">
        <v>125.0</v>
      </c>
      <c r="I32" s="136">
        <f>125.8+39.5+43</f>
        <v>208.3</v>
      </c>
      <c r="J32" s="147">
        <f>65+171+55</f>
        <v>291</v>
      </c>
      <c r="K32" s="116"/>
      <c r="L32" s="116"/>
      <c r="M32" s="134"/>
    </row>
    <row r="33" ht="22.5" customHeight="1">
      <c r="A33" s="120" t="s">
        <v>200</v>
      </c>
      <c r="B33" s="121">
        <f>150+30+91</f>
        <v>271</v>
      </c>
      <c r="C33" s="145">
        <v>921.0</v>
      </c>
      <c r="D33" s="145">
        <v>53.0</v>
      </c>
      <c r="E33" s="142"/>
      <c r="F33" s="121"/>
      <c r="G33" s="133">
        <f>47.53+56.5</f>
        <v>104.03</v>
      </c>
      <c r="H33" s="121"/>
      <c r="I33" s="123"/>
      <c r="J33" s="121"/>
      <c r="K33" s="121"/>
      <c r="L33" s="121"/>
      <c r="M33" s="121"/>
    </row>
    <row r="34" ht="22.5" customHeight="1">
      <c r="A34" s="115" t="s">
        <v>203</v>
      </c>
      <c r="B34" s="134"/>
      <c r="C34" s="134"/>
      <c r="D34" s="116"/>
      <c r="E34" s="134"/>
      <c r="F34" s="134"/>
      <c r="G34" s="116"/>
      <c r="H34" s="134"/>
      <c r="I34" s="134"/>
      <c r="J34" s="134"/>
      <c r="K34" s="134"/>
      <c r="L34" s="116">
        <v>108.0</v>
      </c>
      <c r="M34" s="134"/>
    </row>
    <row r="35" ht="22.5" customHeight="1">
      <c r="A35" s="128" t="s">
        <v>204</v>
      </c>
      <c r="B35" s="129">
        <v>544.5</v>
      </c>
      <c r="C35" s="129">
        <v>544.5</v>
      </c>
      <c r="D35" s="129">
        <v>544.5</v>
      </c>
      <c r="E35" s="129">
        <v>544.5</v>
      </c>
      <c r="F35" s="129">
        <v>544.5</v>
      </c>
      <c r="G35" s="129">
        <v>544.5</v>
      </c>
      <c r="H35" s="129">
        <v>544.5</v>
      </c>
      <c r="I35" s="129">
        <v>544.5</v>
      </c>
      <c r="J35" s="129">
        <v>544.5</v>
      </c>
      <c r="K35" s="129">
        <v>544.5</v>
      </c>
      <c r="L35" s="129">
        <v>544.5</v>
      </c>
      <c r="M35" s="129">
        <v>544.5</v>
      </c>
    </row>
    <row r="36" ht="22.5" customHeight="1">
      <c r="A36" s="115" t="s">
        <v>206</v>
      </c>
      <c r="B36" s="136"/>
      <c r="C36" s="147">
        <v>1592.0</v>
      </c>
      <c r="D36" s="136">
        <v>294.0</v>
      </c>
      <c r="E36" s="135"/>
      <c r="F36" s="134"/>
      <c r="G36" s="134"/>
      <c r="H36" s="134"/>
      <c r="I36" s="134"/>
      <c r="J36" s="134"/>
      <c r="K36" s="134"/>
      <c r="L36" s="134"/>
      <c r="M36" s="134"/>
    </row>
    <row r="37" ht="22.5" customHeight="1">
      <c r="A37" s="137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</row>
    <row r="38" ht="22.5" customHeight="1">
      <c r="A38" s="140" t="s">
        <v>209</v>
      </c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</row>
    <row r="39" ht="22.5" customHeight="1">
      <c r="A39" s="128" t="s">
        <v>210</v>
      </c>
      <c r="B39" s="129">
        <v>143.0</v>
      </c>
      <c r="C39" s="129">
        <v>143.0</v>
      </c>
      <c r="D39" s="145">
        <v>121.75</v>
      </c>
      <c r="E39" s="145">
        <v>121.75</v>
      </c>
      <c r="F39" s="145">
        <v>121.75</v>
      </c>
      <c r="G39" s="145">
        <v>121.75</v>
      </c>
      <c r="H39" s="145">
        <v>121.75</v>
      </c>
      <c r="I39" s="145">
        <v>121.75</v>
      </c>
      <c r="J39" s="145">
        <v>121.75</v>
      </c>
      <c r="K39" s="145">
        <v>121.75</v>
      </c>
      <c r="L39" s="145">
        <v>121.75</v>
      </c>
      <c r="M39" s="145">
        <v>121.75</v>
      </c>
    </row>
    <row r="40" ht="22.5" customHeight="1">
      <c r="A40" s="115" t="s">
        <v>212</v>
      </c>
      <c r="B40" s="147">
        <v>122.0</v>
      </c>
      <c r="C40" s="147">
        <f>26+111</f>
        <v>137</v>
      </c>
      <c r="D40" s="147">
        <f>50+111+113</f>
        <v>274</v>
      </c>
      <c r="E40" s="147">
        <f>120+125</f>
        <v>245</v>
      </c>
      <c r="F40" s="147">
        <f>116+90</f>
        <v>206</v>
      </c>
      <c r="G40" s="147">
        <v>107.0</v>
      </c>
      <c r="H40" s="147">
        <f>116+121</f>
        <v>237</v>
      </c>
      <c r="I40" s="147">
        <f>35+100+145</f>
        <v>280</v>
      </c>
      <c r="J40" s="147">
        <v>139.0</v>
      </c>
      <c r="K40" s="147">
        <v>120.0</v>
      </c>
      <c r="L40" s="147">
        <v>120.0</v>
      </c>
      <c r="M40" s="147">
        <v>120.0</v>
      </c>
    </row>
    <row r="41" ht="22.5" customHeight="1">
      <c r="A41" s="199" t="s">
        <v>215</v>
      </c>
      <c r="B41" s="121"/>
      <c r="C41" s="121"/>
      <c r="D41" s="121"/>
      <c r="E41" s="121"/>
      <c r="F41" s="123">
        <v>1200.0</v>
      </c>
      <c r="G41" s="121"/>
      <c r="H41" s="121"/>
      <c r="I41" s="121"/>
      <c r="J41" s="123">
        <v>743.0</v>
      </c>
      <c r="K41" s="121"/>
      <c r="L41" s="121"/>
      <c r="M41" s="121"/>
    </row>
    <row r="42" ht="22.5" customHeight="1">
      <c r="A42" s="140" t="s">
        <v>216</v>
      </c>
      <c r="B42" s="147">
        <f>14+25+49</f>
        <v>88</v>
      </c>
      <c r="C42" s="147">
        <f>55+27</f>
        <v>82</v>
      </c>
      <c r="D42" s="147">
        <f>90+28</f>
        <v>118</v>
      </c>
      <c r="E42" s="147">
        <v>26.0</v>
      </c>
      <c r="F42" s="147">
        <f>231+26</f>
        <v>257</v>
      </c>
      <c r="G42" s="147">
        <f>102+465.85+261+40.79</f>
        <v>869.64</v>
      </c>
      <c r="H42" s="147">
        <f>120+28.99</f>
        <v>148.99</v>
      </c>
      <c r="I42" s="147">
        <f>116.52+31.06</f>
        <v>147.58</v>
      </c>
      <c r="J42" s="147"/>
      <c r="K42" s="147">
        <v>100.0</v>
      </c>
      <c r="L42" s="147">
        <v>100.0</v>
      </c>
      <c r="M42" s="147">
        <v>100.0</v>
      </c>
    </row>
    <row r="43" ht="22.5" customHeight="1">
      <c r="A43" s="137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</row>
    <row r="44" ht="22.5" customHeight="1">
      <c r="A44" s="140" t="s">
        <v>220</v>
      </c>
      <c r="B44" s="134"/>
      <c r="C44" s="134"/>
      <c r="D44" s="134"/>
      <c r="E44" s="134"/>
      <c r="F44" s="134"/>
      <c r="G44" s="134"/>
      <c r="H44" s="134"/>
      <c r="I44" s="136">
        <v>374.0</v>
      </c>
      <c r="J44" s="136"/>
      <c r="K44" s="134"/>
      <c r="L44" s="134"/>
      <c r="M44" s="134"/>
    </row>
    <row r="45" ht="22.5" customHeight="1">
      <c r="A45" s="137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</row>
    <row r="46" ht="22.5" customHeight="1">
      <c r="A46" s="140" t="s">
        <v>222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</row>
    <row r="47" ht="22.5" customHeight="1">
      <c r="A47" s="137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</row>
    <row r="48" ht="22.5" customHeight="1">
      <c r="A48" s="140" t="s">
        <v>224</v>
      </c>
      <c r="B48" s="147"/>
      <c r="C48" s="147">
        <v>1742.0</v>
      </c>
      <c r="D48" s="147">
        <f>371+78+155</f>
        <v>604</v>
      </c>
      <c r="E48" s="147"/>
      <c r="F48" s="147"/>
      <c r="G48" s="147"/>
      <c r="H48" s="147"/>
      <c r="I48" s="147">
        <v>435.85</v>
      </c>
      <c r="J48" s="147"/>
      <c r="K48" s="147"/>
      <c r="L48" s="147"/>
      <c r="M48" s="147">
        <v>450.0</v>
      </c>
    </row>
    <row r="49" ht="22.5" customHeight="1">
      <c r="A49" s="208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</row>
    <row r="50" ht="22.5" customHeight="1">
      <c r="A50" s="213" t="s">
        <v>226</v>
      </c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</row>
    <row r="51" ht="22.5" customHeight="1">
      <c r="A51" s="120" t="s">
        <v>227</v>
      </c>
      <c r="B51" s="121"/>
      <c r="C51" s="129"/>
      <c r="D51" s="121"/>
      <c r="E51" s="121"/>
      <c r="F51" s="121"/>
      <c r="G51" s="121"/>
      <c r="H51" s="121"/>
      <c r="I51" s="121"/>
      <c r="J51" s="121"/>
      <c r="K51" s="121"/>
      <c r="L51" s="121"/>
      <c r="M51" s="121"/>
    </row>
    <row r="52" ht="22.5" customHeight="1">
      <c r="A52" s="217" t="s">
        <v>230</v>
      </c>
      <c r="B52" s="134">
        <f>23.4+29.37+169.9+178+176.22+46</f>
        <v>622.89</v>
      </c>
      <c r="C52" s="116"/>
      <c r="D52" s="136">
        <f>100+143+22+104+61+21+60+601+44+65+35</f>
        <v>1256</v>
      </c>
      <c r="E52" s="136">
        <f>94+122</f>
        <v>216</v>
      </c>
      <c r="F52" s="136">
        <v>128.0</v>
      </c>
      <c r="G52" s="136">
        <f>450+250</f>
        <v>700</v>
      </c>
      <c r="H52" s="136">
        <v>89.29</v>
      </c>
      <c r="I52" s="136">
        <f>25+60+388+275+210</f>
        <v>958</v>
      </c>
      <c r="J52" s="134"/>
      <c r="K52" s="134"/>
      <c r="L52" s="136">
        <v>800.0</v>
      </c>
      <c r="M52" s="136"/>
    </row>
    <row r="53" ht="22.5" customHeight="1">
      <c r="A53" s="128" t="s">
        <v>233</v>
      </c>
      <c r="B53" s="121"/>
      <c r="C53" s="129">
        <f>53.45+21.35+90+11</f>
        <v>175.8</v>
      </c>
      <c r="D53" s="129"/>
      <c r="E53" s="142"/>
      <c r="F53" s="121"/>
      <c r="G53" s="129"/>
      <c r="H53" s="121"/>
      <c r="I53" s="129"/>
      <c r="J53" s="129"/>
      <c r="K53" s="121"/>
      <c r="L53" s="121"/>
      <c r="M53" s="129">
        <f>26+16+20+78+100</f>
        <v>240</v>
      </c>
    </row>
    <row r="54" ht="22.5" customHeight="1">
      <c r="A54" s="115"/>
      <c r="B54" s="134"/>
      <c r="C54" s="134"/>
      <c r="D54" s="134"/>
      <c r="E54" s="134"/>
      <c r="F54" s="116"/>
      <c r="G54" s="116"/>
      <c r="H54" s="134"/>
      <c r="I54" s="136"/>
      <c r="J54" s="134"/>
      <c r="K54" s="134"/>
      <c r="L54" s="134"/>
      <c r="M54" s="134"/>
    </row>
    <row r="55" ht="22.5" customHeight="1">
      <c r="A55" s="137"/>
      <c r="B55" s="121"/>
      <c r="C55" s="112"/>
      <c r="D55" s="121"/>
      <c r="E55" s="112"/>
      <c r="F55" s="112"/>
      <c r="G55" s="112"/>
      <c r="H55" s="112"/>
      <c r="I55" s="112"/>
      <c r="J55" s="112"/>
      <c r="K55" s="112"/>
      <c r="L55" s="112"/>
      <c r="M55" s="112"/>
    </row>
    <row r="56" ht="22.5" customHeight="1">
      <c r="A56" s="182"/>
      <c r="B56" s="134"/>
      <c r="C56" s="223"/>
      <c r="D56" s="134"/>
      <c r="E56" s="223"/>
      <c r="F56" s="223"/>
      <c r="G56" s="223"/>
      <c r="H56" s="223"/>
      <c r="I56" s="223"/>
      <c r="J56" s="223"/>
      <c r="K56" s="223"/>
      <c r="L56" s="223"/>
      <c r="M56" s="223"/>
    </row>
    <row r="57" ht="22.5" customHeight="1">
      <c r="A57" s="137"/>
      <c r="B57" s="121"/>
      <c r="C57" s="112"/>
      <c r="D57" s="121"/>
      <c r="E57" s="112"/>
      <c r="F57" s="112"/>
      <c r="G57" s="112"/>
      <c r="H57" s="112"/>
      <c r="I57" s="112"/>
      <c r="J57" s="112"/>
      <c r="K57" s="112"/>
      <c r="L57" s="112"/>
      <c r="M57" s="112"/>
    </row>
    <row r="58" ht="22.5" customHeight="1">
      <c r="A58" s="226"/>
      <c r="B58" s="134"/>
      <c r="C58" s="223"/>
      <c r="D58" s="134"/>
      <c r="E58" s="223"/>
      <c r="F58" s="223"/>
      <c r="G58" s="223"/>
      <c r="H58" s="223"/>
      <c r="I58" s="223"/>
      <c r="J58" s="223"/>
      <c r="K58" s="223"/>
      <c r="L58" s="223"/>
      <c r="M58" s="223"/>
    </row>
    <row r="59" ht="22.5" customHeight="1">
      <c r="A59" s="226"/>
      <c r="B59" s="229"/>
      <c r="C59" s="230"/>
      <c r="D59" s="229"/>
      <c r="E59" s="230"/>
      <c r="F59" s="230"/>
      <c r="G59" s="230"/>
      <c r="H59" s="230"/>
      <c r="I59" s="230"/>
      <c r="J59" s="230"/>
      <c r="K59" s="230"/>
      <c r="L59" s="230"/>
      <c r="M59" s="230"/>
    </row>
    <row r="60" ht="22.5" customHeight="1">
      <c r="A60" s="226"/>
      <c r="B60" s="229"/>
      <c r="C60" s="230"/>
      <c r="D60" s="229"/>
      <c r="E60" s="230"/>
      <c r="F60" s="230"/>
      <c r="G60" s="230"/>
      <c r="H60" s="230"/>
      <c r="I60" s="230"/>
      <c r="J60" s="230"/>
      <c r="K60" s="230"/>
      <c r="L60" s="230"/>
      <c r="M60" s="230"/>
    </row>
    <row r="61" ht="22.5" customHeight="1">
      <c r="A61" s="226"/>
      <c r="B61" s="229"/>
      <c r="C61" s="230"/>
      <c r="D61" s="229"/>
      <c r="E61" s="230"/>
      <c r="F61" s="230"/>
      <c r="G61" s="230"/>
      <c r="H61" s="230"/>
      <c r="I61" s="230"/>
      <c r="J61" s="230"/>
      <c r="K61" s="230"/>
      <c r="L61" s="230"/>
      <c r="M61" s="230"/>
    </row>
    <row r="62" ht="22.5" customHeight="1">
      <c r="A62" s="226"/>
      <c r="B62" s="229"/>
      <c r="C62" s="230"/>
      <c r="D62" s="229"/>
      <c r="E62" s="230"/>
      <c r="F62" s="230"/>
      <c r="G62" s="230"/>
      <c r="H62" s="230"/>
      <c r="I62" s="230"/>
      <c r="J62" s="230"/>
      <c r="K62" s="230"/>
      <c r="L62" s="230"/>
      <c r="M62" s="230"/>
    </row>
    <row r="63" ht="22.5" customHeight="1">
      <c r="A63" s="226"/>
      <c r="B63" s="229"/>
      <c r="C63" s="230"/>
      <c r="D63" s="229"/>
      <c r="E63" s="230"/>
      <c r="F63" s="230"/>
      <c r="G63" s="230"/>
      <c r="H63" s="230"/>
      <c r="I63" s="230"/>
      <c r="J63" s="230"/>
      <c r="K63" s="230"/>
      <c r="L63" s="230"/>
      <c r="M63" s="230"/>
    </row>
    <row r="64" ht="22.5" customHeight="1">
      <c r="A64" s="226"/>
      <c r="B64" s="229"/>
      <c r="C64" s="230"/>
      <c r="D64" s="229"/>
      <c r="E64" s="230"/>
      <c r="F64" s="230"/>
      <c r="G64" s="230"/>
      <c r="H64" s="230"/>
      <c r="I64" s="230"/>
      <c r="J64" s="230"/>
      <c r="K64" s="230"/>
      <c r="L64" s="230"/>
      <c r="M64" s="230"/>
    </row>
    <row r="65" ht="22.5" customHeight="1">
      <c r="A65" s="226"/>
      <c r="B65" s="229"/>
      <c r="C65" s="230"/>
      <c r="D65" s="229"/>
      <c r="E65" s="230"/>
      <c r="F65" s="230"/>
      <c r="G65" s="230"/>
      <c r="H65" s="230"/>
      <c r="I65" s="230"/>
      <c r="J65" s="230"/>
      <c r="K65" s="230"/>
      <c r="L65" s="230"/>
      <c r="M65" s="230"/>
    </row>
    <row r="66" ht="22.5" customHeight="1">
      <c r="A66" s="226"/>
      <c r="B66" s="229"/>
      <c r="C66" s="230"/>
      <c r="D66" s="229"/>
      <c r="E66" s="230"/>
      <c r="F66" s="230"/>
      <c r="G66" s="230"/>
      <c r="H66" s="230"/>
      <c r="I66" s="230"/>
      <c r="J66" s="230"/>
      <c r="K66" s="230"/>
      <c r="L66" s="230"/>
      <c r="M66" s="230"/>
    </row>
    <row r="67" ht="22.5" customHeight="1">
      <c r="A67" s="226"/>
      <c r="B67" s="238"/>
      <c r="C67" s="160"/>
      <c r="D67" s="239"/>
      <c r="E67" s="160"/>
      <c r="F67" s="160"/>
      <c r="G67" s="160"/>
      <c r="H67" s="160"/>
      <c r="I67" s="160"/>
      <c r="J67" s="160"/>
      <c r="K67" s="160"/>
      <c r="L67" s="160"/>
      <c r="M67" s="160"/>
    </row>
    <row r="68" ht="22.5" customHeight="1">
      <c r="A68" s="226"/>
      <c r="B68" s="238"/>
      <c r="C68" s="160"/>
      <c r="D68" s="239"/>
      <c r="E68" s="160"/>
      <c r="F68" s="160"/>
      <c r="G68" s="160"/>
      <c r="H68" s="160"/>
      <c r="I68" s="160"/>
      <c r="J68" s="160"/>
      <c r="K68" s="160"/>
      <c r="L68" s="160"/>
      <c r="M68" s="160"/>
    </row>
    <row r="69" ht="22.5" customHeight="1">
      <c r="A69" s="240" t="s">
        <v>135</v>
      </c>
      <c r="B69" s="241">
        <f t="shared" ref="B69:M69" si="1">SUM(B2:B54)</f>
        <v>4644.58</v>
      </c>
      <c r="C69" s="242">
        <f t="shared" si="1"/>
        <v>10354.65</v>
      </c>
      <c r="D69" s="242">
        <f t="shared" si="1"/>
        <v>4665.69</v>
      </c>
      <c r="E69" s="242">
        <f t="shared" si="1"/>
        <v>3188.92</v>
      </c>
      <c r="F69" s="242">
        <f t="shared" si="1"/>
        <v>5081.99</v>
      </c>
      <c r="G69" s="242">
        <f t="shared" si="1"/>
        <v>5648.32</v>
      </c>
      <c r="H69" s="242">
        <f t="shared" si="1"/>
        <v>4298.07</v>
      </c>
      <c r="I69" s="242">
        <f t="shared" si="1"/>
        <v>6174.72</v>
      </c>
      <c r="J69" s="242">
        <f t="shared" si="1"/>
        <v>2702.99</v>
      </c>
      <c r="K69" s="242">
        <f t="shared" si="1"/>
        <v>28554.99</v>
      </c>
      <c r="L69" s="242">
        <f t="shared" si="1"/>
        <v>3146.93</v>
      </c>
      <c r="M69" s="242">
        <f t="shared" si="1"/>
        <v>2199.99</v>
      </c>
    </row>
    <row r="70" ht="22.5" customHeight="1">
      <c r="A70" s="239"/>
      <c r="B70" s="239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</row>
    <row r="71" ht="22.5" customHeight="1">
      <c r="A71" s="239"/>
      <c r="B71" s="239"/>
      <c r="C71" s="160"/>
      <c r="D71" s="239"/>
      <c r="E71" s="160"/>
      <c r="F71" s="160"/>
      <c r="G71" s="160"/>
      <c r="H71" s="160"/>
      <c r="I71" s="160"/>
      <c r="J71" s="160"/>
      <c r="K71" s="160"/>
      <c r="L71" s="160"/>
      <c r="M71" s="160"/>
    </row>
    <row r="72" ht="22.5" customHeight="1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</row>
    <row r="73" ht="22.5" customHeight="1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</row>
    <row r="74" ht="22.5" customHeight="1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</row>
    <row r="75" ht="22.5" customHeight="1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</row>
    <row r="76" ht="22.5" customHeight="1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</row>
    <row r="77" ht="22.5" customHeight="1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</row>
    <row r="78" ht="22.5" customHeight="1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</row>
    <row r="79" ht="22.5" customHeight="1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</row>
    <row r="80" ht="22.5" customHeight="1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</row>
    <row r="81" ht="22.5" customHeight="1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</row>
    <row r="82" ht="22.5" customHeight="1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</row>
    <row r="83" ht="22.5" customHeight="1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</row>
    <row r="84" ht="22.5" customHeight="1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</row>
    <row r="85" ht="22.5" customHeight="1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</row>
    <row r="86" ht="22.5" customHeight="1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</row>
    <row r="87" ht="22.5" customHeight="1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</row>
    <row r="88" ht="22.5" customHeight="1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</row>
    <row r="89" ht="22.5" customHeight="1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</row>
    <row r="90" ht="22.5" customHeight="1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</row>
    <row r="91" ht="22.5" customHeight="1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</row>
    <row r="92" ht="22.5" customHeight="1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</row>
    <row r="93" ht="22.5" customHeight="1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</row>
    <row r="94" ht="22.5" customHeight="1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</row>
    <row r="95" ht="22.5" customHeight="1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</row>
    <row r="96" ht="22.5" customHeight="1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</row>
    <row r="97" ht="22.5" customHeight="1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</row>
    <row r="98" ht="22.5" customHeight="1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</row>
    <row r="99" ht="22.5" customHeight="1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</row>
    <row r="100" ht="22.5" customHeight="1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</row>
    <row r="101" ht="22.5" customHeight="1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</row>
    <row r="102" ht="22.5" customHeight="1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</row>
    <row r="103" ht="22.5" customHeight="1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</row>
    <row r="104" ht="22.5" customHeight="1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</row>
    <row r="105" ht="22.5" customHeight="1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</row>
    <row r="106" ht="22.5" customHeight="1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</row>
    <row r="107" ht="22.5" customHeight="1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</row>
    <row r="108" ht="22.5" customHeight="1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</row>
    <row r="109" ht="22.5" customHeight="1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</row>
    <row r="110" ht="22.5" customHeight="1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</row>
    <row r="111" ht="22.5" customHeight="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</row>
    <row r="112" ht="22.5" customHeight="1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</row>
    <row r="113" ht="22.5" customHeight="1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</row>
    <row r="114" ht="22.5" customHeight="1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</row>
    <row r="115" ht="22.5" customHeight="1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</row>
    <row r="116" ht="22.5" customHeight="1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</row>
    <row r="117" ht="22.5" customHeight="1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</row>
    <row r="118" ht="22.5" customHeight="1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</row>
    <row r="119" ht="22.5" customHeight="1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</row>
    <row r="120" ht="22.5" customHeight="1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</row>
    <row r="121" ht="22.5" customHeight="1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</row>
    <row r="122" ht="22.5" customHeight="1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</row>
    <row r="123" ht="22.5" customHeight="1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</row>
    <row r="124" ht="22.5" customHeight="1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</row>
    <row r="125" ht="22.5" customHeight="1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</row>
    <row r="126" ht="22.5" customHeight="1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</row>
    <row r="127" ht="22.5" customHeight="1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</row>
    <row r="128" ht="22.5" customHeight="1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</row>
    <row r="129" ht="22.5" customHeight="1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</row>
    <row r="130" ht="22.5" customHeight="1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</row>
    <row r="131" ht="22.5" customHeight="1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</row>
    <row r="132" ht="22.5" customHeight="1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</row>
    <row r="133" ht="22.5" customHeight="1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</row>
    <row r="134" ht="22.5" customHeight="1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</row>
    <row r="135" ht="22.5" customHeight="1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</row>
    <row r="136" ht="22.5" customHeight="1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</row>
    <row r="137" ht="22.5" customHeight="1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</row>
    <row r="138" ht="22.5" customHeight="1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</row>
    <row r="139" ht="22.5" customHeight="1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</row>
    <row r="140" ht="22.5" customHeight="1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</row>
    <row r="141" ht="22.5" customHeight="1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</row>
    <row r="142" ht="22.5" customHeight="1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</row>
    <row r="143" ht="22.5" customHeight="1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</row>
    <row r="144" ht="22.5" customHeight="1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</row>
    <row r="145" ht="22.5" customHeight="1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</row>
    <row r="146" ht="22.5" customHeight="1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</row>
    <row r="147" ht="22.5" customHeight="1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</row>
    <row r="148" ht="22.5" customHeight="1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</row>
    <row r="149" ht="22.5" customHeight="1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</row>
    <row r="150" ht="22.5" customHeight="1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</row>
    <row r="151" ht="22.5" customHeight="1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</row>
    <row r="152" ht="22.5" customHeight="1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</row>
    <row r="153" ht="22.5" customHeight="1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</row>
    <row r="154" ht="22.5" customHeight="1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</row>
    <row r="155" ht="22.5" customHeight="1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</row>
    <row r="156" ht="22.5" customHeight="1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</row>
    <row r="157" ht="22.5" customHeight="1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</row>
    <row r="158" ht="22.5" customHeight="1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</row>
    <row r="159" ht="22.5" customHeight="1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</row>
    <row r="160" ht="22.5" customHeight="1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</row>
    <row r="161" ht="22.5" customHeight="1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</row>
    <row r="162" ht="22.5" customHeight="1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</row>
    <row r="163" ht="22.5" customHeight="1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</row>
    <row r="164" ht="22.5" customHeight="1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</row>
    <row r="165" ht="22.5" customHeight="1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</row>
    <row r="166" ht="22.5" customHeight="1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</row>
    <row r="167" ht="22.5" customHeight="1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</row>
    <row r="168" ht="22.5" customHeight="1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</row>
    <row r="169" ht="22.5" customHeight="1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</row>
    <row r="170" ht="22.5" customHeight="1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</row>
    <row r="171" ht="22.5" customHeight="1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</row>
    <row r="172" ht="22.5" customHeight="1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</row>
    <row r="173" ht="22.5" customHeight="1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</row>
    <row r="174" ht="22.5" customHeight="1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</row>
    <row r="175" ht="22.5" customHeight="1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</row>
    <row r="176" ht="22.5" customHeight="1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</row>
    <row r="177" ht="22.5" customHeight="1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</row>
    <row r="178" ht="22.5" customHeight="1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</row>
    <row r="179" ht="22.5" customHeight="1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</row>
    <row r="180" ht="22.5" customHeight="1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</row>
    <row r="181" ht="22.5" customHeight="1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</row>
    <row r="182" ht="22.5" customHeight="1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</row>
    <row r="183" ht="22.5" customHeight="1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</row>
    <row r="184" ht="22.5" customHeight="1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</row>
    <row r="185" ht="22.5" customHeight="1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</row>
    <row r="186" ht="22.5" customHeight="1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</row>
    <row r="187" ht="22.5" customHeight="1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</row>
    <row r="188" ht="22.5" customHeight="1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</row>
    <row r="189" ht="22.5" customHeight="1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</row>
    <row r="190" ht="22.5" customHeight="1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</row>
    <row r="191" ht="22.5" customHeight="1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</row>
    <row r="192" ht="22.5" customHeight="1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</row>
    <row r="193" ht="22.5" customHeight="1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</row>
    <row r="194" ht="22.5" customHeight="1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</row>
    <row r="195" ht="22.5" customHeight="1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</row>
    <row r="196" ht="22.5" customHeight="1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</row>
    <row r="197" ht="22.5" customHeight="1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</row>
    <row r="198" ht="22.5" customHeight="1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</row>
    <row r="199" ht="22.5" customHeight="1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</row>
    <row r="200" ht="22.5" customHeight="1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</row>
    <row r="201" ht="22.5" customHeight="1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</row>
    <row r="202" ht="22.5" customHeight="1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</row>
    <row r="203" ht="22.5" customHeight="1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</row>
    <row r="204" ht="22.5" customHeight="1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</row>
    <row r="205" ht="22.5" customHeight="1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</row>
    <row r="206" ht="22.5" customHeight="1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</row>
    <row r="207" ht="22.5" customHeight="1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</row>
    <row r="208" ht="22.5" customHeight="1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</row>
    <row r="209" ht="22.5" customHeight="1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</row>
    <row r="210" ht="22.5" customHeight="1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</row>
    <row r="211" ht="22.5" customHeight="1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</row>
    <row r="212" ht="22.5" customHeight="1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</row>
    <row r="213" ht="22.5" customHeight="1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</row>
    <row r="214" ht="22.5" customHeight="1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</row>
    <row r="215" ht="22.5" customHeight="1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</row>
    <row r="216" ht="22.5" customHeight="1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</row>
    <row r="217" ht="22.5" customHeight="1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</row>
    <row r="218" ht="22.5" customHeight="1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</row>
    <row r="219" ht="22.5" customHeight="1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</row>
    <row r="220" ht="22.5" customHeight="1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</row>
    <row r="221" ht="22.5" customHeight="1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</row>
    <row r="222" ht="22.5" customHeight="1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</row>
    <row r="223" ht="22.5" customHeight="1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</row>
    <row r="224" ht="22.5" customHeight="1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</row>
    <row r="225" ht="22.5" customHeight="1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</row>
    <row r="226" ht="22.5" customHeight="1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</row>
    <row r="227" ht="22.5" customHeight="1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</row>
    <row r="228" ht="22.5" customHeight="1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</row>
    <row r="229" ht="22.5" customHeight="1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</row>
    <row r="230" ht="22.5" customHeight="1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</row>
    <row r="231" ht="22.5" customHeight="1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</row>
    <row r="232" ht="22.5" customHeight="1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</row>
    <row r="233" ht="22.5" customHeight="1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</row>
    <row r="234" ht="22.5" customHeight="1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</row>
    <row r="235" ht="22.5" customHeight="1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</row>
    <row r="236" ht="22.5" customHeight="1">
      <c r="A236" s="160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</row>
    <row r="237" ht="22.5" customHeight="1">
      <c r="A237" s="160"/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</row>
    <row r="238" ht="22.5" customHeight="1">
      <c r="A238" s="160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</row>
    <row r="239" ht="22.5" customHeight="1">
      <c r="A239" s="160"/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</row>
    <row r="240" ht="22.5" customHeight="1">
      <c r="A240" s="160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</row>
    <row r="241" ht="22.5" customHeight="1">
      <c r="A241" s="160"/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</row>
    <row r="242" ht="22.5" customHeight="1">
      <c r="A242" s="160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</row>
    <row r="243" ht="22.5" customHeight="1">
      <c r="A243" s="160"/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</row>
    <row r="244" ht="22.5" customHeight="1">
      <c r="A244" s="160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</row>
    <row r="245" ht="22.5" customHeight="1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</row>
    <row r="246" ht="22.5" customHeight="1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</row>
    <row r="247" ht="22.5" customHeight="1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</row>
    <row r="248" ht="22.5" customHeight="1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</row>
    <row r="249" ht="22.5" customHeight="1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</row>
    <row r="250" ht="22.5" customHeight="1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</row>
    <row r="251" ht="22.5" customHeight="1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</row>
    <row r="252" ht="22.5" customHeight="1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</row>
    <row r="253" ht="22.5" customHeight="1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</row>
    <row r="254" ht="22.5" customHeight="1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</row>
    <row r="255" ht="22.5" customHeight="1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</row>
    <row r="256" ht="22.5" customHeight="1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</row>
    <row r="257" ht="22.5" customHeight="1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</row>
    <row r="258" ht="22.5" customHeight="1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</row>
    <row r="259" ht="22.5" customHeight="1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</row>
    <row r="260" ht="22.5" customHeight="1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</row>
    <row r="261" ht="22.5" customHeight="1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</row>
    <row r="262" ht="22.5" customHeight="1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</row>
    <row r="263" ht="22.5" customHeight="1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</row>
    <row r="264" ht="22.5" customHeight="1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</row>
    <row r="265" ht="22.5" customHeight="1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</row>
    <row r="266" ht="22.5" customHeight="1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</row>
    <row r="267" ht="22.5" customHeight="1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</row>
    <row r="268" ht="22.5" customHeight="1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</row>
    <row r="269" ht="22.5" customHeight="1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</row>
    <row r="270" ht="22.5" customHeight="1">
      <c r="A270" s="160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</row>
    <row r="271" ht="22.5" customHeight="1">
      <c r="A271" s="160"/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</row>
    <row r="272" ht="22.5" customHeight="1">
      <c r="A272" s="160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</row>
    <row r="273" ht="22.5" customHeight="1">
      <c r="A273" s="160"/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</row>
    <row r="274" ht="22.5" customHeight="1">
      <c r="A274" s="160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</row>
    <row r="275" ht="22.5" customHeight="1">
      <c r="A275" s="160"/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</row>
    <row r="276" ht="22.5" customHeight="1">
      <c r="A276" s="160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</row>
    <row r="277" ht="22.5" customHeight="1">
      <c r="A277" s="160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</row>
    <row r="278" ht="22.5" customHeight="1">
      <c r="A278" s="160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</row>
    <row r="279" ht="22.5" customHeight="1">
      <c r="A279" s="160"/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</row>
    <row r="280" ht="22.5" customHeight="1">
      <c r="A280" s="160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</row>
    <row r="281" ht="22.5" customHeight="1">
      <c r="A281" s="160"/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</row>
    <row r="282" ht="22.5" customHeight="1">
      <c r="A282" s="160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</row>
    <row r="283" ht="22.5" customHeight="1">
      <c r="A283" s="160"/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</row>
    <row r="284" ht="22.5" customHeight="1">
      <c r="A284" s="160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</row>
    <row r="285" ht="22.5" customHeight="1">
      <c r="A285" s="160"/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</row>
    <row r="286" ht="22.5" customHeight="1">
      <c r="A286" s="160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</row>
    <row r="287" ht="22.5" customHeight="1">
      <c r="A287" s="160"/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</row>
    <row r="288" ht="22.5" customHeight="1">
      <c r="A288" s="160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</row>
    <row r="289" ht="22.5" customHeight="1">
      <c r="A289" s="160"/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</row>
    <row r="290" ht="22.5" customHeight="1">
      <c r="A290" s="160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</row>
    <row r="291" ht="22.5" customHeight="1">
      <c r="A291" s="160"/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</row>
    <row r="292" ht="22.5" customHeight="1">
      <c r="A292" s="160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</row>
    <row r="293" ht="22.5" customHeight="1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</row>
    <row r="294" ht="22.5" customHeight="1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</row>
    <row r="295" ht="22.5" customHeight="1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</row>
    <row r="296" ht="22.5" customHeight="1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</row>
    <row r="297" ht="22.5" customHeight="1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</row>
    <row r="298" ht="22.5" customHeight="1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</row>
    <row r="299" ht="22.5" customHeight="1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</row>
    <row r="300" ht="22.5" customHeight="1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</row>
    <row r="301" ht="22.5" customHeight="1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</row>
    <row r="302" ht="22.5" customHeight="1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</row>
    <row r="303" ht="22.5" customHeight="1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</row>
    <row r="304" ht="22.5" customHeight="1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</row>
    <row r="305" ht="22.5" customHeight="1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</row>
    <row r="306" ht="22.5" customHeight="1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</row>
    <row r="307" ht="22.5" customHeight="1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</row>
    <row r="308" ht="22.5" customHeight="1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</row>
    <row r="309" ht="22.5" customHeight="1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</row>
    <row r="310" ht="22.5" customHeight="1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</row>
    <row r="311" ht="22.5" customHeight="1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</row>
    <row r="312" ht="22.5" customHeight="1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</row>
    <row r="313" ht="22.5" customHeight="1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</row>
    <row r="314" ht="22.5" customHeight="1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</row>
    <row r="315" ht="22.5" customHeight="1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</row>
    <row r="316" ht="22.5" customHeight="1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</row>
    <row r="317" ht="22.5" customHeight="1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</row>
    <row r="318" ht="22.5" customHeight="1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</row>
    <row r="319" ht="22.5" customHeight="1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</row>
    <row r="320" ht="22.5" customHeight="1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</row>
    <row r="321" ht="22.5" customHeight="1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</row>
    <row r="322" ht="22.5" customHeight="1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</row>
    <row r="323" ht="22.5" customHeight="1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</row>
    <row r="324" ht="22.5" customHeight="1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</row>
    <row r="325" ht="22.5" customHeight="1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</row>
    <row r="326" ht="22.5" customHeight="1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</row>
    <row r="327" ht="22.5" customHeight="1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</row>
    <row r="328" ht="22.5" customHeight="1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</row>
    <row r="329" ht="22.5" customHeight="1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</row>
    <row r="330" ht="22.5" customHeight="1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</row>
    <row r="331" ht="22.5" customHeight="1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</row>
    <row r="332" ht="22.5" customHeight="1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</row>
    <row r="333" ht="22.5" customHeight="1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</row>
    <row r="334" ht="22.5" customHeight="1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</row>
    <row r="335" ht="22.5" customHeight="1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</row>
    <row r="336" ht="22.5" customHeight="1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</row>
    <row r="337" ht="22.5" customHeight="1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</row>
    <row r="338" ht="22.5" customHeight="1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</row>
    <row r="339" ht="22.5" customHeight="1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</row>
    <row r="340" ht="22.5" customHeight="1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</row>
    <row r="341" ht="22.5" customHeight="1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</row>
    <row r="342" ht="22.5" customHeight="1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</row>
    <row r="343" ht="22.5" customHeight="1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</row>
    <row r="344" ht="22.5" customHeight="1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</row>
    <row r="345" ht="22.5" customHeight="1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</row>
    <row r="346" ht="22.5" customHeight="1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</row>
    <row r="347" ht="22.5" customHeight="1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</row>
    <row r="348" ht="22.5" customHeight="1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</row>
    <row r="349" ht="22.5" customHeight="1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</row>
    <row r="350" ht="22.5" customHeight="1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</row>
    <row r="351" ht="22.5" customHeight="1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</row>
    <row r="352" ht="22.5" customHeight="1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</row>
    <row r="353" ht="22.5" customHeight="1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</row>
    <row r="354" ht="22.5" customHeight="1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</row>
    <row r="355" ht="22.5" customHeight="1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</row>
    <row r="356" ht="22.5" customHeight="1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</row>
    <row r="357" ht="22.5" customHeight="1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</row>
    <row r="358" ht="22.5" customHeight="1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</row>
    <row r="359" ht="22.5" customHeight="1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</row>
    <row r="360" ht="22.5" customHeight="1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</row>
    <row r="361" ht="22.5" customHeight="1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</row>
    <row r="362" ht="22.5" customHeight="1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</row>
    <row r="363" ht="22.5" customHeight="1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</row>
    <row r="364" ht="22.5" customHeight="1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</row>
    <row r="365" ht="22.5" customHeight="1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</row>
    <row r="366" ht="22.5" customHeight="1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</row>
    <row r="367" ht="22.5" customHeight="1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</row>
    <row r="368" ht="22.5" customHeight="1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</row>
    <row r="369" ht="22.5" customHeight="1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</row>
    <row r="370" ht="22.5" customHeight="1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</row>
    <row r="371" ht="22.5" customHeight="1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</row>
    <row r="372" ht="22.5" customHeight="1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</row>
    <row r="373" ht="22.5" customHeight="1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</row>
    <row r="374" ht="22.5" customHeight="1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</row>
    <row r="375" ht="22.5" customHeight="1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</row>
    <row r="376" ht="22.5" customHeight="1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</row>
    <row r="377" ht="22.5" customHeight="1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</row>
    <row r="378" ht="22.5" customHeight="1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</row>
    <row r="379" ht="22.5" customHeight="1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</row>
    <row r="380" ht="22.5" customHeight="1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</row>
    <row r="381" ht="22.5" customHeight="1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</row>
    <row r="382" ht="22.5" customHeight="1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</row>
    <row r="383" ht="22.5" customHeight="1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</row>
    <row r="384" ht="22.5" customHeight="1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</row>
    <row r="385" ht="22.5" customHeight="1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</row>
    <row r="386" ht="22.5" customHeight="1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</row>
    <row r="387" ht="22.5" customHeight="1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</row>
    <row r="388" ht="22.5" customHeight="1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</row>
    <row r="389" ht="22.5" customHeight="1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</row>
    <row r="390" ht="22.5" customHeight="1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</row>
    <row r="391" ht="22.5" customHeight="1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</row>
    <row r="392" ht="22.5" customHeight="1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</row>
    <row r="393" ht="22.5" customHeight="1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</row>
    <row r="394" ht="22.5" customHeight="1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</row>
    <row r="395" ht="22.5" customHeight="1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</row>
    <row r="396" ht="22.5" customHeight="1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</row>
    <row r="397" ht="22.5" customHeight="1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</row>
    <row r="398" ht="22.5" customHeight="1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</row>
    <row r="399" ht="22.5" customHeight="1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</row>
    <row r="400" ht="22.5" customHeight="1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</row>
    <row r="401" ht="22.5" customHeight="1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</row>
    <row r="402" ht="22.5" customHeight="1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</row>
    <row r="403" ht="22.5" customHeight="1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</row>
    <row r="404" ht="22.5" customHeight="1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</row>
    <row r="405" ht="22.5" customHeight="1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</row>
    <row r="406" ht="22.5" customHeight="1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</row>
    <row r="407" ht="22.5" customHeight="1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</row>
    <row r="408" ht="22.5" customHeight="1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</row>
    <row r="409" ht="22.5" customHeight="1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</row>
    <row r="410" ht="22.5" customHeight="1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</row>
    <row r="411" ht="22.5" customHeight="1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</row>
    <row r="412" ht="22.5" customHeight="1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</row>
    <row r="413" ht="22.5" customHeight="1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</row>
    <row r="414" ht="22.5" customHeight="1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</row>
    <row r="415" ht="22.5" customHeight="1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</row>
    <row r="416" ht="22.5" customHeight="1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</row>
    <row r="417" ht="22.5" customHeight="1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</row>
    <row r="418" ht="22.5" customHeight="1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</row>
    <row r="419" ht="22.5" customHeight="1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</row>
    <row r="420" ht="22.5" customHeight="1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</row>
    <row r="421" ht="22.5" customHeight="1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</row>
    <row r="422" ht="22.5" customHeight="1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</row>
    <row r="423" ht="22.5" customHeight="1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</row>
    <row r="424" ht="22.5" customHeight="1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</row>
    <row r="425" ht="22.5" customHeight="1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</row>
    <row r="426" ht="22.5" customHeight="1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</row>
    <row r="427" ht="22.5" customHeight="1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</row>
    <row r="428" ht="22.5" customHeight="1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</row>
    <row r="429" ht="22.5" customHeight="1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</row>
    <row r="430" ht="22.5" customHeight="1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</row>
    <row r="431" ht="22.5" customHeight="1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</row>
    <row r="432" ht="22.5" customHeight="1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</row>
    <row r="433" ht="22.5" customHeight="1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</row>
    <row r="434" ht="22.5" customHeight="1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</row>
    <row r="435" ht="22.5" customHeight="1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</row>
    <row r="436" ht="22.5" customHeight="1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</row>
    <row r="437" ht="22.5" customHeight="1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</row>
    <row r="438" ht="22.5" customHeight="1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</row>
    <row r="439" ht="22.5" customHeight="1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</row>
    <row r="440" ht="22.5" customHeight="1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</row>
    <row r="441" ht="22.5" customHeight="1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</row>
    <row r="442" ht="22.5" customHeight="1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</row>
    <row r="443" ht="22.5" customHeight="1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</row>
    <row r="444" ht="22.5" customHeight="1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</row>
    <row r="445" ht="22.5" customHeight="1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</row>
    <row r="446" ht="22.5" customHeight="1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</row>
    <row r="447" ht="22.5" customHeight="1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</row>
    <row r="448" ht="22.5" customHeight="1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</row>
    <row r="449" ht="22.5" customHeight="1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</row>
    <row r="450" ht="22.5" customHeight="1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</row>
    <row r="451" ht="22.5" customHeight="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</row>
    <row r="452" ht="22.5" customHeight="1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</row>
    <row r="453" ht="22.5" customHeight="1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</row>
    <row r="454" ht="22.5" customHeight="1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</row>
    <row r="455" ht="22.5" customHeight="1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</row>
    <row r="456" ht="22.5" customHeight="1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</row>
    <row r="457" ht="22.5" customHeight="1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</row>
    <row r="458" ht="22.5" customHeight="1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</row>
    <row r="459" ht="22.5" customHeight="1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</row>
    <row r="460" ht="22.5" customHeight="1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</row>
    <row r="461" ht="22.5" customHeight="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</row>
    <row r="462" ht="22.5" customHeight="1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</row>
    <row r="463" ht="22.5" customHeight="1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</row>
    <row r="464" ht="22.5" customHeight="1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</row>
    <row r="465" ht="22.5" customHeight="1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</row>
    <row r="466" ht="22.5" customHeight="1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</row>
    <row r="467" ht="22.5" customHeight="1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</row>
    <row r="468" ht="22.5" customHeight="1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</row>
    <row r="469" ht="22.5" customHeight="1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</row>
    <row r="470" ht="22.5" customHeight="1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</row>
    <row r="471" ht="22.5" customHeight="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</row>
    <row r="472" ht="22.5" customHeight="1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</row>
    <row r="473" ht="22.5" customHeight="1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</row>
    <row r="474" ht="22.5" customHeight="1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</row>
    <row r="475" ht="22.5" customHeight="1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</row>
    <row r="476" ht="22.5" customHeight="1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</row>
    <row r="477" ht="22.5" customHeight="1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</row>
    <row r="478" ht="22.5" customHeight="1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</row>
    <row r="479" ht="22.5" customHeight="1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</row>
    <row r="480" ht="22.5" customHeight="1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</row>
    <row r="481" ht="22.5" customHeight="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</row>
    <row r="482" ht="22.5" customHeight="1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</row>
    <row r="483" ht="22.5" customHeight="1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</row>
    <row r="484" ht="22.5" customHeight="1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</row>
    <row r="485" ht="22.5" customHeight="1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</row>
    <row r="486" ht="22.5" customHeight="1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</row>
    <row r="487" ht="22.5" customHeight="1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</row>
    <row r="488" ht="22.5" customHeight="1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</row>
    <row r="489" ht="22.5" customHeight="1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</row>
    <row r="490" ht="22.5" customHeight="1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</row>
    <row r="491" ht="22.5" customHeight="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</row>
    <row r="492" ht="22.5" customHeight="1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</row>
    <row r="493" ht="22.5" customHeight="1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</row>
    <row r="494" ht="22.5" customHeight="1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</row>
    <row r="495" ht="22.5" customHeight="1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</row>
    <row r="496" ht="22.5" customHeight="1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</row>
    <row r="497" ht="22.5" customHeight="1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</row>
    <row r="498" ht="22.5" customHeight="1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</row>
    <row r="499" ht="22.5" customHeight="1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</row>
    <row r="500" ht="22.5" customHeight="1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</row>
    <row r="501" ht="22.5" customHeight="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</row>
    <row r="502" ht="22.5" customHeight="1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</row>
    <row r="503" ht="22.5" customHeight="1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</row>
    <row r="504" ht="22.5" customHeight="1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</row>
    <row r="505" ht="22.5" customHeight="1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</row>
    <row r="506" ht="22.5" customHeight="1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</row>
    <row r="507" ht="22.5" customHeight="1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</row>
    <row r="508" ht="22.5" customHeight="1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</row>
    <row r="509" ht="22.5" customHeight="1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</row>
    <row r="510" ht="22.5" customHeight="1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</row>
    <row r="511" ht="22.5" customHeight="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</row>
    <row r="512" ht="22.5" customHeight="1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</row>
    <row r="513" ht="22.5" customHeight="1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</row>
    <row r="514" ht="22.5" customHeight="1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</row>
    <row r="515" ht="22.5" customHeight="1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</row>
    <row r="516" ht="22.5" customHeight="1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</row>
    <row r="517" ht="22.5" customHeight="1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</row>
    <row r="518" ht="22.5" customHeight="1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</row>
    <row r="519" ht="22.5" customHeight="1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</row>
    <row r="520" ht="22.5" customHeight="1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</row>
    <row r="521" ht="22.5" customHeight="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</row>
    <row r="522" ht="22.5" customHeight="1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</row>
    <row r="523" ht="22.5" customHeight="1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</row>
    <row r="524" ht="22.5" customHeight="1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</row>
    <row r="525" ht="22.5" customHeight="1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</row>
    <row r="526" ht="22.5" customHeight="1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</row>
    <row r="527" ht="22.5" customHeight="1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</row>
    <row r="528" ht="22.5" customHeight="1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</row>
    <row r="529" ht="22.5" customHeight="1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</row>
    <row r="530" ht="22.5" customHeight="1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</row>
    <row r="531" ht="22.5" customHeight="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</row>
    <row r="532" ht="22.5" customHeight="1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</row>
    <row r="533" ht="22.5" customHeight="1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</row>
    <row r="534" ht="22.5" customHeight="1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</row>
    <row r="535" ht="22.5" customHeight="1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</row>
    <row r="536" ht="22.5" customHeight="1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</row>
    <row r="537" ht="22.5" customHeight="1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</row>
    <row r="538" ht="22.5" customHeight="1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</row>
    <row r="539" ht="22.5" customHeight="1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</row>
    <row r="540" ht="22.5" customHeight="1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</row>
    <row r="541" ht="22.5" customHeight="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</row>
    <row r="542" ht="22.5" customHeight="1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</row>
    <row r="543" ht="22.5" customHeight="1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</row>
    <row r="544" ht="22.5" customHeight="1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</row>
    <row r="545" ht="22.5" customHeight="1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</row>
    <row r="546" ht="22.5" customHeight="1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</row>
    <row r="547" ht="22.5" customHeight="1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</row>
    <row r="548" ht="22.5" customHeight="1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</row>
    <row r="549" ht="22.5" customHeight="1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</row>
    <row r="550" ht="22.5" customHeight="1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</row>
    <row r="551" ht="22.5" customHeight="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</row>
    <row r="552" ht="22.5" customHeight="1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</row>
    <row r="553" ht="22.5" customHeight="1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</row>
    <row r="554" ht="22.5" customHeight="1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</row>
    <row r="555" ht="22.5" customHeight="1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</row>
    <row r="556" ht="22.5" customHeight="1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</row>
    <row r="557" ht="22.5" customHeight="1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</row>
    <row r="558" ht="22.5" customHeight="1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</row>
    <row r="559" ht="22.5" customHeight="1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</row>
    <row r="560" ht="22.5" customHeight="1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</row>
    <row r="561" ht="22.5" customHeight="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</row>
    <row r="562" ht="22.5" customHeight="1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</row>
    <row r="563" ht="22.5" customHeight="1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</row>
    <row r="564" ht="22.5" customHeight="1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</row>
    <row r="565" ht="22.5" customHeight="1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</row>
    <row r="566" ht="22.5" customHeight="1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</row>
    <row r="567" ht="22.5" customHeight="1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</row>
    <row r="568" ht="22.5" customHeight="1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</row>
    <row r="569" ht="22.5" customHeight="1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</row>
    <row r="570" ht="22.5" customHeight="1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</row>
    <row r="571" ht="22.5" customHeight="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</row>
    <row r="572" ht="22.5" customHeight="1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</row>
    <row r="573" ht="22.5" customHeight="1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</row>
    <row r="574" ht="22.5" customHeight="1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</row>
    <row r="575" ht="22.5" customHeight="1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</row>
    <row r="576" ht="22.5" customHeight="1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</row>
    <row r="577" ht="22.5" customHeight="1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</row>
    <row r="578" ht="22.5" customHeight="1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</row>
    <row r="579" ht="22.5" customHeight="1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</row>
    <row r="580" ht="22.5" customHeight="1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</row>
    <row r="581" ht="22.5" customHeight="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</row>
    <row r="582" ht="22.5" customHeight="1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</row>
    <row r="583" ht="22.5" customHeight="1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</row>
    <row r="584" ht="22.5" customHeight="1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</row>
    <row r="585" ht="22.5" customHeight="1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</row>
    <row r="586" ht="22.5" customHeight="1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</row>
    <row r="587" ht="22.5" customHeight="1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</row>
    <row r="588" ht="22.5" customHeight="1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</row>
    <row r="589" ht="22.5" customHeight="1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</row>
    <row r="590" ht="22.5" customHeight="1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</row>
    <row r="591" ht="22.5" customHeight="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</row>
    <row r="592" ht="22.5" customHeight="1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</row>
    <row r="593" ht="22.5" customHeight="1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</row>
    <row r="594" ht="22.5" customHeight="1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</row>
    <row r="595" ht="22.5" customHeight="1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</row>
    <row r="596" ht="22.5" customHeight="1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</row>
    <row r="597" ht="22.5" customHeight="1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</row>
    <row r="598" ht="22.5" customHeight="1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</row>
    <row r="599" ht="22.5" customHeight="1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</row>
    <row r="600" ht="22.5" customHeight="1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</row>
    <row r="601" ht="22.5" customHeight="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</row>
    <row r="602" ht="22.5" customHeight="1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</row>
    <row r="603" ht="22.5" customHeight="1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</row>
    <row r="604" ht="22.5" customHeight="1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</row>
    <row r="605" ht="22.5" customHeight="1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</row>
    <row r="606" ht="22.5" customHeight="1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</row>
    <row r="607" ht="22.5" customHeight="1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</row>
    <row r="608" ht="22.5" customHeight="1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</row>
    <row r="609" ht="22.5" customHeight="1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</row>
    <row r="610" ht="22.5" customHeight="1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</row>
    <row r="611" ht="22.5" customHeight="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</row>
    <row r="612" ht="22.5" customHeight="1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</row>
    <row r="613" ht="22.5" customHeight="1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</row>
    <row r="614" ht="22.5" customHeight="1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</row>
    <row r="615" ht="22.5" customHeight="1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</row>
    <row r="616" ht="22.5" customHeight="1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</row>
    <row r="617" ht="22.5" customHeight="1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</row>
    <row r="618" ht="22.5" customHeight="1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</row>
    <row r="619" ht="22.5" customHeight="1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</row>
    <row r="620" ht="22.5" customHeight="1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</row>
    <row r="621" ht="22.5" customHeight="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</row>
    <row r="622" ht="22.5" customHeight="1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</row>
    <row r="623" ht="22.5" customHeight="1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</row>
    <row r="624" ht="22.5" customHeight="1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</row>
    <row r="625" ht="22.5" customHeight="1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</row>
    <row r="626" ht="22.5" customHeight="1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</row>
    <row r="627" ht="22.5" customHeight="1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</row>
    <row r="628" ht="22.5" customHeight="1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</row>
    <row r="629" ht="22.5" customHeight="1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</row>
    <row r="630" ht="22.5" customHeight="1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</row>
    <row r="631" ht="22.5" customHeight="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</row>
    <row r="632" ht="22.5" customHeight="1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</row>
    <row r="633" ht="22.5" customHeight="1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</row>
    <row r="634" ht="22.5" customHeight="1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</row>
    <row r="635" ht="22.5" customHeight="1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</row>
    <row r="636" ht="22.5" customHeight="1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</row>
    <row r="637" ht="22.5" customHeight="1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</row>
    <row r="638" ht="22.5" customHeight="1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</row>
    <row r="639" ht="22.5" customHeight="1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</row>
    <row r="640" ht="22.5" customHeight="1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</row>
    <row r="641" ht="22.5" customHeight="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</row>
    <row r="642" ht="22.5" customHeight="1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</row>
    <row r="643" ht="22.5" customHeight="1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</row>
    <row r="644" ht="22.5" customHeight="1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</row>
    <row r="645" ht="22.5" customHeight="1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</row>
    <row r="646" ht="22.5" customHeight="1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</row>
    <row r="647" ht="22.5" customHeight="1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</row>
    <row r="648" ht="22.5" customHeight="1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</row>
    <row r="649" ht="22.5" customHeight="1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</row>
    <row r="650" ht="22.5" customHeight="1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</row>
    <row r="651" ht="22.5" customHeight="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</row>
    <row r="652" ht="22.5" customHeight="1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</row>
    <row r="653" ht="22.5" customHeight="1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</row>
    <row r="654" ht="22.5" customHeight="1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</row>
    <row r="655" ht="22.5" customHeight="1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</row>
    <row r="656" ht="22.5" customHeight="1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</row>
    <row r="657" ht="22.5" customHeight="1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</row>
    <row r="658" ht="22.5" customHeight="1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</row>
    <row r="659" ht="22.5" customHeight="1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</row>
    <row r="660" ht="22.5" customHeight="1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</row>
    <row r="661" ht="22.5" customHeight="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</row>
    <row r="662" ht="22.5" customHeight="1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</row>
    <row r="663" ht="22.5" customHeight="1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</row>
    <row r="664" ht="22.5" customHeight="1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</row>
    <row r="665" ht="22.5" customHeight="1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</row>
    <row r="666" ht="22.5" customHeight="1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</row>
    <row r="667" ht="22.5" customHeight="1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</row>
    <row r="668" ht="22.5" customHeight="1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</row>
    <row r="669" ht="22.5" customHeight="1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</row>
    <row r="670" ht="22.5" customHeight="1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</row>
    <row r="671" ht="22.5" customHeight="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</row>
    <row r="672" ht="22.5" customHeight="1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</row>
    <row r="673" ht="22.5" customHeight="1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</row>
    <row r="674" ht="22.5" customHeight="1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</row>
    <row r="675" ht="22.5" customHeight="1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</row>
    <row r="676" ht="22.5" customHeight="1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</row>
    <row r="677" ht="22.5" customHeight="1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</row>
    <row r="678" ht="22.5" customHeight="1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</row>
    <row r="679" ht="22.5" customHeight="1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</row>
    <row r="680" ht="22.5" customHeight="1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</row>
    <row r="681" ht="22.5" customHeight="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</row>
    <row r="682" ht="22.5" customHeight="1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</row>
    <row r="683" ht="22.5" customHeight="1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</row>
    <row r="684" ht="22.5" customHeight="1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</row>
    <row r="685" ht="22.5" customHeight="1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</row>
    <row r="686" ht="22.5" customHeight="1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</row>
    <row r="687" ht="22.5" customHeight="1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</row>
    <row r="688" ht="22.5" customHeight="1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</row>
    <row r="689" ht="22.5" customHeight="1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</row>
    <row r="690" ht="22.5" customHeight="1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</row>
    <row r="691" ht="22.5" customHeight="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</row>
    <row r="692" ht="22.5" customHeight="1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</row>
    <row r="693" ht="22.5" customHeight="1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</row>
    <row r="694" ht="22.5" customHeight="1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</row>
    <row r="695" ht="22.5" customHeight="1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</row>
    <row r="696" ht="22.5" customHeight="1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</row>
    <row r="697" ht="22.5" customHeight="1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</row>
    <row r="698" ht="22.5" customHeight="1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</row>
    <row r="699" ht="22.5" customHeight="1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</row>
    <row r="700" ht="22.5" customHeight="1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</row>
    <row r="701" ht="22.5" customHeight="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</row>
    <row r="702" ht="22.5" customHeight="1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</row>
    <row r="703" ht="22.5" customHeight="1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</row>
    <row r="704" ht="22.5" customHeight="1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</row>
    <row r="705" ht="22.5" customHeight="1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</row>
    <row r="706" ht="22.5" customHeight="1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</row>
    <row r="707" ht="22.5" customHeight="1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</row>
    <row r="708" ht="22.5" customHeight="1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</row>
    <row r="709" ht="22.5" customHeight="1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</row>
    <row r="710" ht="22.5" customHeight="1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</row>
    <row r="711" ht="22.5" customHeight="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</row>
    <row r="712" ht="22.5" customHeight="1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</row>
    <row r="713" ht="22.5" customHeight="1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</row>
    <row r="714" ht="22.5" customHeight="1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</row>
    <row r="715" ht="22.5" customHeight="1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</row>
    <row r="716" ht="22.5" customHeight="1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</row>
    <row r="717" ht="22.5" customHeight="1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</row>
    <row r="718" ht="22.5" customHeight="1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</row>
    <row r="719" ht="22.5" customHeight="1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</row>
    <row r="720" ht="22.5" customHeight="1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</row>
    <row r="721" ht="22.5" customHeight="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</row>
    <row r="722" ht="22.5" customHeight="1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</row>
    <row r="723" ht="22.5" customHeight="1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</row>
    <row r="724" ht="22.5" customHeight="1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</row>
    <row r="725" ht="22.5" customHeight="1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</row>
    <row r="726" ht="22.5" customHeight="1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</row>
    <row r="727" ht="22.5" customHeight="1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</row>
    <row r="728" ht="22.5" customHeight="1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</row>
    <row r="729" ht="22.5" customHeight="1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</row>
    <row r="730" ht="22.5" customHeight="1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</row>
    <row r="731" ht="22.5" customHeight="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</row>
    <row r="732" ht="22.5" customHeight="1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</row>
    <row r="733" ht="22.5" customHeight="1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</row>
    <row r="734" ht="22.5" customHeight="1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</row>
    <row r="735" ht="22.5" customHeight="1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</row>
    <row r="736" ht="22.5" customHeight="1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</row>
    <row r="737" ht="22.5" customHeight="1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</row>
    <row r="738" ht="22.5" customHeight="1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</row>
    <row r="739" ht="22.5" customHeight="1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</row>
    <row r="740" ht="22.5" customHeight="1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</row>
    <row r="741" ht="22.5" customHeight="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</row>
    <row r="742" ht="22.5" customHeight="1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</row>
    <row r="743" ht="22.5" customHeight="1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</row>
    <row r="744" ht="22.5" customHeight="1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</row>
    <row r="745" ht="22.5" customHeight="1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</row>
    <row r="746" ht="22.5" customHeight="1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</row>
    <row r="747" ht="22.5" customHeight="1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</row>
    <row r="748" ht="22.5" customHeight="1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</row>
    <row r="749" ht="22.5" customHeight="1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</row>
    <row r="750" ht="22.5" customHeight="1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</row>
    <row r="751" ht="22.5" customHeight="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</row>
    <row r="752" ht="22.5" customHeight="1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</row>
    <row r="753" ht="22.5" customHeight="1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</row>
    <row r="754" ht="22.5" customHeight="1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</row>
    <row r="755" ht="22.5" customHeight="1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</row>
    <row r="756" ht="22.5" customHeight="1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</row>
    <row r="757" ht="22.5" customHeight="1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</row>
    <row r="758" ht="22.5" customHeight="1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</row>
    <row r="759" ht="22.5" customHeight="1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</row>
    <row r="760" ht="22.5" customHeight="1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</row>
    <row r="761" ht="22.5" customHeight="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</row>
    <row r="762" ht="22.5" customHeight="1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</row>
    <row r="763" ht="22.5" customHeight="1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</row>
    <row r="764" ht="22.5" customHeight="1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</row>
    <row r="765" ht="22.5" customHeight="1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</row>
    <row r="766" ht="22.5" customHeight="1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</row>
    <row r="767" ht="22.5" customHeight="1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</row>
    <row r="768" ht="22.5" customHeight="1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</row>
    <row r="769" ht="22.5" customHeight="1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</row>
    <row r="770" ht="22.5" customHeight="1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</row>
    <row r="771" ht="22.5" customHeight="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</row>
    <row r="772" ht="22.5" customHeight="1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</row>
    <row r="773" ht="22.5" customHeight="1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</row>
    <row r="774" ht="22.5" customHeight="1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</row>
    <row r="775" ht="22.5" customHeight="1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</row>
    <row r="776" ht="22.5" customHeight="1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</row>
    <row r="777" ht="22.5" customHeight="1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</row>
    <row r="778" ht="22.5" customHeight="1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</row>
    <row r="779" ht="22.5" customHeight="1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</row>
    <row r="780" ht="22.5" customHeight="1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</row>
    <row r="781" ht="22.5" customHeight="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</row>
    <row r="782" ht="22.5" customHeight="1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</row>
    <row r="783" ht="22.5" customHeight="1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</row>
    <row r="784" ht="22.5" customHeight="1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</row>
    <row r="785" ht="22.5" customHeight="1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</row>
    <row r="786" ht="22.5" customHeight="1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</row>
    <row r="787" ht="22.5" customHeight="1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</row>
    <row r="788" ht="22.5" customHeight="1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</row>
    <row r="789" ht="22.5" customHeight="1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</row>
    <row r="790" ht="22.5" customHeight="1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</row>
    <row r="791" ht="22.5" customHeight="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</row>
    <row r="792" ht="22.5" customHeight="1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</row>
    <row r="793" ht="22.5" customHeight="1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</row>
    <row r="794" ht="22.5" customHeight="1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</row>
    <row r="795" ht="22.5" customHeight="1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</row>
    <row r="796" ht="22.5" customHeight="1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</row>
    <row r="797" ht="22.5" customHeight="1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</row>
    <row r="798" ht="22.5" customHeight="1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</row>
    <row r="799" ht="22.5" customHeight="1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</row>
    <row r="800" ht="22.5" customHeight="1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</row>
    <row r="801" ht="22.5" customHeight="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</row>
    <row r="802" ht="22.5" customHeight="1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</row>
    <row r="803" ht="22.5" customHeight="1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</row>
    <row r="804" ht="22.5" customHeight="1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</row>
    <row r="805" ht="22.5" customHeight="1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</row>
    <row r="806" ht="22.5" customHeight="1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</row>
    <row r="807" ht="22.5" customHeight="1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</row>
    <row r="808" ht="22.5" customHeight="1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</row>
    <row r="809" ht="22.5" customHeight="1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</row>
    <row r="810" ht="22.5" customHeight="1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</row>
    <row r="811" ht="22.5" customHeight="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</row>
    <row r="812" ht="22.5" customHeight="1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</row>
    <row r="813" ht="22.5" customHeight="1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</row>
    <row r="814" ht="22.5" customHeight="1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</row>
    <row r="815" ht="22.5" customHeight="1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</row>
    <row r="816" ht="22.5" customHeight="1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</row>
    <row r="817" ht="22.5" customHeight="1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</row>
    <row r="818" ht="22.5" customHeight="1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</row>
    <row r="819" ht="22.5" customHeight="1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</row>
    <row r="820" ht="22.5" customHeight="1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</row>
    <row r="821" ht="22.5" customHeight="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</row>
    <row r="822" ht="22.5" customHeight="1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</row>
    <row r="823" ht="22.5" customHeight="1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</row>
    <row r="824" ht="22.5" customHeight="1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</row>
    <row r="825" ht="22.5" customHeight="1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</row>
    <row r="826" ht="22.5" customHeight="1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</row>
    <row r="827" ht="22.5" customHeight="1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</row>
    <row r="828" ht="22.5" customHeight="1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</row>
    <row r="829" ht="22.5" customHeight="1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</row>
    <row r="830" ht="22.5" customHeight="1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</row>
    <row r="831" ht="22.5" customHeight="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</row>
    <row r="832" ht="22.5" customHeight="1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</row>
    <row r="833" ht="22.5" customHeight="1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</row>
    <row r="834" ht="22.5" customHeight="1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</row>
    <row r="835" ht="22.5" customHeight="1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</row>
    <row r="836" ht="22.5" customHeight="1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</row>
    <row r="837" ht="22.5" customHeight="1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</row>
    <row r="838" ht="22.5" customHeight="1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</row>
    <row r="839" ht="22.5" customHeight="1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</row>
    <row r="840" ht="22.5" customHeight="1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</row>
    <row r="841" ht="22.5" customHeight="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</row>
    <row r="842" ht="22.5" customHeight="1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</row>
    <row r="843" ht="22.5" customHeight="1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</row>
    <row r="844" ht="22.5" customHeight="1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</row>
    <row r="845" ht="22.5" customHeight="1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</row>
    <row r="846" ht="22.5" customHeight="1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</row>
    <row r="847" ht="22.5" customHeight="1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</row>
    <row r="848" ht="22.5" customHeight="1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</row>
    <row r="849" ht="22.5" customHeight="1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</row>
    <row r="850" ht="22.5" customHeight="1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</row>
    <row r="851" ht="22.5" customHeight="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</row>
    <row r="852" ht="22.5" customHeight="1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</row>
    <row r="853" ht="22.5" customHeight="1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</row>
    <row r="854" ht="22.5" customHeight="1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</row>
    <row r="855" ht="22.5" customHeight="1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</row>
    <row r="856" ht="22.5" customHeight="1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</row>
    <row r="857" ht="22.5" customHeight="1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</row>
    <row r="858" ht="22.5" customHeight="1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</row>
    <row r="859" ht="22.5" customHeight="1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</row>
    <row r="860" ht="22.5" customHeight="1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</row>
    <row r="861" ht="22.5" customHeight="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</row>
    <row r="862" ht="22.5" customHeight="1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</row>
    <row r="863" ht="22.5" customHeight="1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</row>
    <row r="864" ht="22.5" customHeight="1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</row>
    <row r="865" ht="22.5" customHeight="1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</row>
    <row r="866" ht="22.5" customHeight="1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</row>
    <row r="867" ht="22.5" customHeight="1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</row>
    <row r="868" ht="22.5" customHeight="1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</row>
    <row r="869" ht="22.5" customHeight="1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</row>
    <row r="870" ht="22.5" customHeight="1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</row>
    <row r="871" ht="22.5" customHeight="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</row>
    <row r="872" ht="22.5" customHeight="1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</row>
    <row r="873" ht="22.5" customHeight="1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</row>
    <row r="874" ht="22.5" customHeight="1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</row>
    <row r="875" ht="22.5" customHeight="1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</row>
    <row r="876" ht="22.5" customHeight="1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</row>
    <row r="877" ht="22.5" customHeight="1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</row>
    <row r="878" ht="22.5" customHeight="1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</row>
    <row r="879" ht="22.5" customHeight="1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</row>
    <row r="880" ht="22.5" customHeight="1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</row>
    <row r="881" ht="22.5" customHeight="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</row>
    <row r="882" ht="22.5" customHeight="1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</row>
    <row r="883" ht="22.5" customHeight="1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</row>
    <row r="884" ht="22.5" customHeight="1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</row>
    <row r="885" ht="22.5" customHeight="1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</row>
    <row r="886" ht="22.5" customHeight="1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</row>
    <row r="887" ht="22.5" customHeight="1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</row>
    <row r="888" ht="22.5" customHeight="1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</row>
    <row r="889" ht="22.5" customHeight="1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</row>
    <row r="890" ht="22.5" customHeight="1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</row>
    <row r="891" ht="22.5" customHeight="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</row>
    <row r="892" ht="22.5" customHeight="1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</row>
    <row r="893" ht="22.5" customHeight="1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</row>
    <row r="894" ht="22.5" customHeight="1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</row>
    <row r="895" ht="22.5" customHeight="1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</row>
    <row r="896" ht="22.5" customHeight="1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</row>
    <row r="897" ht="22.5" customHeight="1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</row>
    <row r="898" ht="22.5" customHeight="1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</row>
    <row r="899" ht="22.5" customHeight="1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</row>
    <row r="900" ht="22.5" customHeight="1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</row>
    <row r="901" ht="22.5" customHeight="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</row>
    <row r="902" ht="22.5" customHeight="1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</row>
    <row r="903" ht="22.5" customHeight="1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</row>
    <row r="904" ht="22.5" customHeight="1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</row>
    <row r="905" ht="22.5" customHeight="1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</row>
    <row r="906" ht="22.5" customHeight="1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</row>
    <row r="907" ht="22.5" customHeight="1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</row>
    <row r="908" ht="22.5" customHeight="1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</row>
    <row r="909" ht="22.5" customHeight="1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</row>
    <row r="910" ht="22.5" customHeight="1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</row>
    <row r="911" ht="22.5" customHeight="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</row>
    <row r="912" ht="22.5" customHeight="1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</row>
    <row r="913" ht="22.5" customHeight="1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</row>
    <row r="914" ht="22.5" customHeight="1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</row>
    <row r="915" ht="22.5" customHeight="1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</row>
    <row r="916" ht="22.5" customHeight="1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</row>
    <row r="917" ht="22.5" customHeight="1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</row>
    <row r="918" ht="22.5" customHeight="1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</row>
    <row r="919" ht="22.5" customHeight="1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</row>
    <row r="920" ht="22.5" customHeight="1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</row>
    <row r="921" ht="22.5" customHeight="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</row>
    <row r="922" ht="22.5" customHeight="1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</row>
    <row r="923" ht="22.5" customHeight="1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</row>
    <row r="924" ht="22.5" customHeight="1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</row>
    <row r="925" ht="22.5" customHeight="1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</row>
    <row r="926" ht="22.5" customHeight="1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</row>
    <row r="927" ht="22.5" customHeight="1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</row>
    <row r="928" ht="22.5" customHeight="1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</row>
    <row r="929" ht="22.5" customHeight="1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</row>
    <row r="930" ht="22.5" customHeight="1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</row>
    <row r="931" ht="22.5" customHeight="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</row>
    <row r="932" ht="22.5" customHeight="1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</row>
    <row r="933" ht="22.5" customHeight="1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</row>
    <row r="934" ht="22.5" customHeight="1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</row>
    <row r="935" ht="22.5" customHeight="1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</row>
    <row r="936" ht="22.5" customHeight="1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</row>
    <row r="937" ht="22.5" customHeight="1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</row>
    <row r="938" ht="22.5" customHeight="1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</row>
    <row r="939" ht="22.5" customHeight="1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</row>
    <row r="940" ht="22.5" customHeight="1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</row>
    <row r="941" ht="22.5" customHeight="1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</row>
    <row r="942" ht="22.5" customHeight="1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</row>
    <row r="943" ht="22.5" customHeight="1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</row>
    <row r="944" ht="22.5" customHeight="1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</row>
    <row r="945" ht="22.5" customHeight="1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</row>
    <row r="946" ht="22.5" customHeight="1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</row>
    <row r="947" ht="22.5" customHeight="1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</row>
    <row r="948" ht="22.5" customHeight="1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</row>
    <row r="949" ht="22.5" customHeight="1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</row>
    <row r="950" ht="22.5" customHeight="1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</row>
    <row r="951" ht="22.5" customHeight="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</row>
    <row r="952" ht="22.5" customHeight="1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</row>
    <row r="953" ht="22.5" customHeight="1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</row>
    <row r="954" ht="22.5" customHeight="1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</row>
    <row r="955" ht="22.5" customHeight="1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</row>
    <row r="956" ht="22.5" customHeight="1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</row>
    <row r="957" ht="22.5" customHeight="1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</row>
    <row r="958" ht="22.5" customHeight="1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</row>
    <row r="959" ht="22.5" customHeight="1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</row>
    <row r="960" ht="22.5" customHeight="1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</row>
    <row r="961" ht="22.5" customHeight="1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</row>
    <row r="962" ht="22.5" customHeight="1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</row>
    <row r="963" ht="22.5" customHeight="1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</row>
    <row r="964" ht="22.5" customHeight="1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</row>
    <row r="965" ht="22.5" customHeight="1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</row>
    <row r="966" ht="22.5" customHeight="1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</row>
    <row r="967" ht="22.5" customHeight="1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</row>
    <row r="968" ht="22.5" customHeight="1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</row>
    <row r="969" ht="22.5" customHeight="1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</row>
    <row r="970" ht="22.5" customHeight="1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</row>
    <row r="971" ht="22.5" customHeight="1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</row>
    <row r="972" ht="22.5" customHeight="1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</row>
    <row r="973" ht="22.5" customHeight="1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</row>
    <row r="974" ht="22.5" customHeight="1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</row>
    <row r="975" ht="22.5" customHeight="1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</row>
    <row r="976" ht="22.5" customHeight="1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</row>
    <row r="977" ht="22.5" customHeight="1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</row>
    <row r="978" ht="22.5" customHeight="1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</row>
    <row r="979" ht="22.5" customHeight="1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</row>
    <row r="980" ht="22.5" customHeight="1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</row>
    <row r="981" ht="22.5" customHeight="1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</row>
    <row r="982" ht="22.5" customHeight="1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</row>
    <row r="983" ht="22.5" customHeight="1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</row>
    <row r="984" ht="22.5" customHeight="1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</row>
    <row r="985" ht="22.5" customHeight="1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</row>
    <row r="986" ht="22.5" customHeight="1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</row>
    <row r="987" ht="22.5" customHeight="1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</row>
    <row r="988" ht="22.5" customHeight="1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</row>
    <row r="989" ht="22.5" customHeight="1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</row>
    <row r="990" ht="22.5" customHeight="1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</row>
    <row r="991" ht="22.5" customHeight="1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</row>
    <row r="992" ht="22.5" customHeight="1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</row>
    <row r="993" ht="22.5" customHeight="1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</row>
    <row r="994" ht="22.5" customHeight="1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</row>
    <row r="995" ht="22.5" customHeight="1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</row>
    <row r="996" ht="22.5" customHeight="1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</row>
    <row r="997" ht="22.5" customHeight="1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</row>
    <row r="998" ht="22.5" customHeight="1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</row>
    <row r="999" ht="22.5" customHeight="1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</row>
    <row r="1000" ht="22.5" customHeight="1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</row>
    <row r="1001" ht="22.5" customHeight="1">
      <c r="A1001" s="160"/>
      <c r="B1001" s="160"/>
      <c r="C1001" s="160"/>
      <c r="D1001" s="160"/>
      <c r="E1001" s="160"/>
      <c r="F1001" s="160"/>
      <c r="G1001" s="160"/>
      <c r="H1001" s="160"/>
      <c r="I1001" s="160"/>
      <c r="J1001" s="160"/>
      <c r="K1001" s="160"/>
      <c r="L1001" s="160"/>
      <c r="M1001" s="160"/>
    </row>
    <row r="1002" ht="22.5" customHeight="1">
      <c r="A1002" s="160"/>
      <c r="B1002" s="160"/>
      <c r="C1002" s="160"/>
      <c r="D1002" s="160"/>
      <c r="E1002" s="160"/>
      <c r="F1002" s="160"/>
      <c r="G1002" s="160"/>
      <c r="H1002" s="160"/>
      <c r="I1002" s="160"/>
      <c r="J1002" s="160"/>
      <c r="K1002" s="160"/>
      <c r="L1002" s="160"/>
      <c r="M1002" s="160"/>
    </row>
    <row r="1003" ht="22.5" customHeight="1">
      <c r="A1003" s="160"/>
      <c r="B1003" s="160"/>
      <c r="C1003" s="160"/>
      <c r="D1003" s="160"/>
      <c r="E1003" s="160"/>
      <c r="F1003" s="160"/>
      <c r="G1003" s="160"/>
      <c r="H1003" s="160"/>
      <c r="I1003" s="160"/>
      <c r="J1003" s="160"/>
      <c r="K1003" s="160"/>
      <c r="L1003" s="160"/>
      <c r="M1003" s="160"/>
    </row>
    <row r="1004" ht="22.5" customHeight="1">
      <c r="A1004" s="160"/>
      <c r="B1004" s="160"/>
      <c r="C1004" s="160"/>
      <c r="D1004" s="160"/>
      <c r="E1004" s="160"/>
      <c r="F1004" s="160"/>
      <c r="G1004" s="160"/>
      <c r="H1004" s="160"/>
      <c r="I1004" s="160"/>
      <c r="J1004" s="160"/>
      <c r="K1004" s="160"/>
      <c r="L1004" s="160"/>
      <c r="M1004" s="160"/>
    </row>
    <row r="1005" ht="22.5" customHeight="1">
      <c r="A1005" s="160"/>
      <c r="B1005" s="160"/>
      <c r="C1005" s="160"/>
      <c r="D1005" s="160"/>
      <c r="E1005" s="160"/>
      <c r="F1005" s="160"/>
      <c r="G1005" s="160"/>
      <c r="H1005" s="160"/>
      <c r="I1005" s="160"/>
      <c r="J1005" s="160"/>
      <c r="K1005" s="160"/>
      <c r="L1005" s="160"/>
      <c r="M1005" s="160"/>
    </row>
    <row r="1006" ht="22.5" customHeight="1">
      <c r="A1006" s="160"/>
      <c r="B1006" s="160"/>
      <c r="C1006" s="160"/>
      <c r="D1006" s="160"/>
      <c r="E1006" s="160"/>
      <c r="F1006" s="160"/>
      <c r="G1006" s="160"/>
      <c r="H1006" s="160"/>
      <c r="I1006" s="160"/>
      <c r="J1006" s="160"/>
      <c r="K1006" s="160"/>
      <c r="L1006" s="160"/>
      <c r="M1006" s="160"/>
    </row>
    <row r="1007" ht="22.5" customHeight="1">
      <c r="A1007" s="160"/>
      <c r="B1007" s="160"/>
      <c r="C1007" s="160"/>
      <c r="D1007" s="160"/>
      <c r="E1007" s="160"/>
      <c r="F1007" s="160"/>
      <c r="G1007" s="160"/>
      <c r="H1007" s="160"/>
      <c r="I1007" s="160"/>
      <c r="J1007" s="160"/>
      <c r="K1007" s="160"/>
      <c r="L1007" s="160"/>
      <c r="M1007" s="160"/>
    </row>
    <row r="1008" ht="22.5" customHeight="1">
      <c r="A1008" s="160"/>
      <c r="B1008" s="160"/>
      <c r="C1008" s="160"/>
      <c r="D1008" s="160"/>
      <c r="E1008" s="160"/>
      <c r="F1008" s="160"/>
      <c r="G1008" s="160"/>
      <c r="H1008" s="160"/>
      <c r="I1008" s="160"/>
      <c r="J1008" s="160"/>
      <c r="K1008" s="160"/>
      <c r="L1008" s="160"/>
      <c r="M1008" s="160"/>
    </row>
    <row r="1009" ht="22.5" customHeight="1">
      <c r="A1009" s="160"/>
      <c r="B1009" s="160"/>
      <c r="C1009" s="160"/>
      <c r="D1009" s="160"/>
      <c r="E1009" s="160"/>
      <c r="F1009" s="160"/>
      <c r="G1009" s="160"/>
      <c r="H1009" s="160"/>
      <c r="I1009" s="160"/>
      <c r="J1009" s="160"/>
      <c r="K1009" s="160"/>
      <c r="L1009" s="160"/>
      <c r="M1009" s="160"/>
    </row>
    <row r="1010" ht="22.5" customHeight="1">
      <c r="A1010" s="160"/>
      <c r="B1010" s="160"/>
      <c r="C1010" s="160"/>
      <c r="D1010" s="160"/>
      <c r="E1010" s="160"/>
      <c r="F1010" s="160"/>
      <c r="G1010" s="160"/>
      <c r="H1010" s="160"/>
      <c r="I1010" s="160"/>
      <c r="J1010" s="160"/>
      <c r="K1010" s="160"/>
      <c r="L1010" s="160"/>
      <c r="M1010" s="160"/>
    </row>
    <row r="1011" ht="22.5" customHeight="1">
      <c r="A1011" s="160"/>
      <c r="B1011" s="160"/>
      <c r="C1011" s="160"/>
      <c r="D1011" s="160"/>
      <c r="E1011" s="160"/>
      <c r="F1011" s="160"/>
      <c r="G1011" s="160"/>
      <c r="H1011" s="160"/>
      <c r="I1011" s="160"/>
      <c r="J1011" s="160"/>
      <c r="K1011" s="160"/>
      <c r="L1011" s="160"/>
      <c r="M1011" s="160"/>
    </row>
    <row r="1012" ht="22.5" customHeight="1">
      <c r="A1012" s="160"/>
      <c r="B1012" s="160"/>
      <c r="C1012" s="160"/>
      <c r="D1012" s="160"/>
      <c r="E1012" s="160"/>
      <c r="F1012" s="160"/>
      <c r="G1012" s="160"/>
      <c r="H1012" s="160"/>
      <c r="I1012" s="160"/>
      <c r="J1012" s="160"/>
      <c r="K1012" s="160"/>
      <c r="L1012" s="160"/>
      <c r="M1012" s="160"/>
    </row>
    <row r="1013" ht="22.5" customHeight="1">
      <c r="A1013" s="160"/>
      <c r="B1013" s="160"/>
      <c r="C1013" s="160"/>
      <c r="D1013" s="160"/>
      <c r="E1013" s="160"/>
      <c r="F1013" s="160"/>
      <c r="G1013" s="160"/>
      <c r="H1013" s="160"/>
      <c r="I1013" s="160"/>
      <c r="J1013" s="160"/>
      <c r="K1013" s="160"/>
      <c r="L1013" s="160"/>
      <c r="M1013" s="160"/>
    </row>
    <row r="1014" ht="22.5" customHeight="1">
      <c r="A1014" s="160"/>
      <c r="B1014" s="160"/>
      <c r="C1014" s="160"/>
      <c r="D1014" s="160"/>
      <c r="E1014" s="160"/>
      <c r="F1014" s="160"/>
      <c r="G1014" s="160"/>
      <c r="H1014" s="160"/>
      <c r="I1014" s="160"/>
      <c r="J1014" s="160"/>
      <c r="K1014" s="160"/>
      <c r="L1014" s="160"/>
      <c r="M1014" s="160"/>
    </row>
    <row r="1015" ht="22.5" customHeight="1">
      <c r="A1015" s="160"/>
      <c r="B1015" s="160"/>
      <c r="C1015" s="160"/>
      <c r="D1015" s="160"/>
      <c r="E1015" s="160"/>
      <c r="F1015" s="160"/>
      <c r="G1015" s="160"/>
      <c r="H1015" s="160"/>
      <c r="I1015" s="160"/>
      <c r="J1015" s="160"/>
      <c r="K1015" s="160"/>
      <c r="L1015" s="160"/>
      <c r="M1015" s="160"/>
    </row>
    <row r="1016" ht="22.5" customHeight="1">
      <c r="A1016" s="160"/>
      <c r="B1016" s="160"/>
      <c r="C1016" s="160"/>
      <c r="D1016" s="160"/>
      <c r="E1016" s="160"/>
      <c r="F1016" s="160"/>
      <c r="G1016" s="160"/>
      <c r="H1016" s="160"/>
      <c r="I1016" s="160"/>
      <c r="J1016" s="160"/>
      <c r="K1016" s="160"/>
      <c r="L1016" s="160"/>
      <c r="M1016" s="160"/>
    </row>
    <row r="1017" ht="22.5" customHeight="1">
      <c r="A1017" s="160"/>
      <c r="B1017" s="160"/>
      <c r="C1017" s="160"/>
      <c r="D1017" s="160"/>
      <c r="E1017" s="160"/>
      <c r="F1017" s="160"/>
      <c r="G1017" s="160"/>
      <c r="H1017" s="160"/>
      <c r="I1017" s="160"/>
      <c r="J1017" s="160"/>
      <c r="K1017" s="160"/>
      <c r="L1017" s="160"/>
      <c r="M1017" s="160"/>
    </row>
    <row r="1018" ht="22.5" customHeight="1">
      <c r="A1018" s="160"/>
      <c r="B1018" s="160"/>
      <c r="C1018" s="160"/>
      <c r="D1018" s="160"/>
      <c r="E1018" s="160"/>
      <c r="F1018" s="160"/>
      <c r="G1018" s="160"/>
      <c r="H1018" s="160"/>
      <c r="I1018" s="160"/>
      <c r="J1018" s="160"/>
      <c r="K1018" s="160"/>
      <c r="L1018" s="160"/>
      <c r="M1018" s="160"/>
    </row>
  </sheetData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22"/>
    <col customWidth="1" min="2" max="2" width="15.78"/>
    <col customWidth="1" min="3" max="3" width="16.11"/>
    <col customWidth="1" min="4" max="4" width="14.56"/>
    <col customWidth="1" min="5" max="5" width="16.22"/>
    <col customWidth="1" min="6" max="6" width="38.11"/>
    <col customWidth="1" min="7" max="7" width="15.78"/>
    <col customWidth="1" min="8" max="8" width="13.67"/>
    <col customWidth="1" min="11" max="11" width="18.67"/>
  </cols>
  <sheetData>
    <row r="1" ht="22.5" customHeight="1">
      <c r="A1" s="148" t="s">
        <v>167</v>
      </c>
      <c r="B1" s="149" t="s">
        <v>168</v>
      </c>
      <c r="C1" s="150" t="s">
        <v>169</v>
      </c>
      <c r="D1" s="150" t="s">
        <v>170</v>
      </c>
      <c r="E1" s="151" t="s">
        <v>171</v>
      </c>
      <c r="F1" s="152" t="s">
        <v>172</v>
      </c>
      <c r="G1" s="153" t="s">
        <v>174</v>
      </c>
      <c r="H1" s="154" t="s">
        <v>175</v>
      </c>
      <c r="J1" s="154" t="s">
        <v>167</v>
      </c>
      <c r="K1" s="154" t="s">
        <v>176</v>
      </c>
    </row>
    <row r="2" ht="22.5" customHeight="1">
      <c r="A2" s="146" t="s">
        <v>118</v>
      </c>
      <c r="B2" s="104" t="s">
        <v>178</v>
      </c>
      <c r="C2" s="103">
        <v>1.0</v>
      </c>
      <c r="D2" s="155">
        <v>8730.0</v>
      </c>
      <c r="E2" s="156">
        <f t="shared" ref="E2:E4" si="1">C2*D2</f>
        <v>8730</v>
      </c>
      <c r="F2" s="157"/>
      <c r="G2" s="158">
        <v>1.0</v>
      </c>
      <c r="H2" s="32">
        <f t="shared" ref="H2:H4" si="2">G2*D2</f>
        <v>8730</v>
      </c>
      <c r="J2" s="159" t="s">
        <v>44</v>
      </c>
      <c r="K2" s="160"/>
    </row>
    <row r="3" ht="22.5" customHeight="1">
      <c r="A3" s="163" t="s">
        <v>118</v>
      </c>
      <c r="B3" s="164" t="s">
        <v>183</v>
      </c>
      <c r="C3" s="165">
        <v>80.0</v>
      </c>
      <c r="D3" s="166">
        <v>10.0</v>
      </c>
      <c r="E3" s="156">
        <f t="shared" si="1"/>
        <v>800</v>
      </c>
      <c r="F3" s="167" t="s">
        <v>185</v>
      </c>
      <c r="G3" s="168">
        <v>70.0</v>
      </c>
      <c r="H3" s="32">
        <f t="shared" si="2"/>
        <v>700</v>
      </c>
      <c r="J3" s="159" t="s">
        <v>53</v>
      </c>
      <c r="K3" s="82">
        <f>H2+H3+H4</f>
        <v>11430</v>
      </c>
    </row>
    <row r="4" ht="22.5" customHeight="1">
      <c r="A4" s="170" t="s">
        <v>118</v>
      </c>
      <c r="B4" s="171" t="s">
        <v>187</v>
      </c>
      <c r="C4" s="172">
        <v>2.0</v>
      </c>
      <c r="D4" s="173">
        <v>1000.0</v>
      </c>
      <c r="E4" s="174">
        <f t="shared" si="1"/>
        <v>2000</v>
      </c>
      <c r="F4" s="157"/>
      <c r="G4" s="172">
        <v>2.0</v>
      </c>
      <c r="H4" s="32">
        <f t="shared" si="2"/>
        <v>2000</v>
      </c>
      <c r="J4" s="159" t="s">
        <v>65</v>
      </c>
      <c r="K4" s="82">
        <f>H6+H7+H8+H9+H10+H11</f>
        <v>695.5</v>
      </c>
    </row>
    <row r="5" ht="22.5" customHeight="1">
      <c r="A5" s="176"/>
      <c r="B5" s="177"/>
      <c r="C5" s="178"/>
      <c r="D5" s="179"/>
      <c r="E5" s="180"/>
      <c r="F5" s="157"/>
      <c r="G5" s="168"/>
      <c r="H5" s="32"/>
      <c r="J5" s="159" t="s">
        <v>73</v>
      </c>
      <c r="K5" s="82">
        <f>H12+H13+H14</f>
        <v>1206</v>
      </c>
    </row>
    <row r="6" ht="22.5" customHeight="1">
      <c r="A6" s="169" t="s">
        <v>119</v>
      </c>
      <c r="B6" s="104" t="s">
        <v>190</v>
      </c>
      <c r="C6" s="103">
        <v>1.0</v>
      </c>
      <c r="D6" s="155">
        <v>235.0</v>
      </c>
      <c r="E6" s="156">
        <f t="shared" ref="E6:E1038" si="3">C6*D6</f>
        <v>235</v>
      </c>
      <c r="F6" s="157"/>
      <c r="G6" s="158">
        <v>1.0</v>
      </c>
      <c r="H6" s="32">
        <f t="shared" ref="H6:H1038" si="4">G6*D6</f>
        <v>235</v>
      </c>
      <c r="J6" s="159" t="s">
        <v>80</v>
      </c>
      <c r="K6" s="82">
        <f>H16+H17+H18+H19</f>
        <v>9975</v>
      </c>
    </row>
    <row r="7" ht="22.5" customHeight="1">
      <c r="A7" s="184" t="s">
        <v>119</v>
      </c>
      <c r="B7" s="177" t="s">
        <v>194</v>
      </c>
      <c r="C7" s="178">
        <v>25.0</v>
      </c>
      <c r="D7" s="179">
        <v>12.5</v>
      </c>
      <c r="E7" s="156">
        <f t="shared" si="3"/>
        <v>312.5</v>
      </c>
      <c r="F7" s="157"/>
      <c r="G7" s="168">
        <v>25.0</v>
      </c>
      <c r="H7" s="32">
        <f t="shared" si="4"/>
        <v>312.5</v>
      </c>
      <c r="J7" s="159" t="s">
        <v>83</v>
      </c>
      <c r="K7" s="82">
        <f>H20+H21+H22+H23</f>
        <v>425</v>
      </c>
    </row>
    <row r="8" ht="22.5" customHeight="1">
      <c r="A8" s="185" t="s">
        <v>119</v>
      </c>
      <c r="B8" s="104" t="s">
        <v>197</v>
      </c>
      <c r="C8" s="186">
        <v>12.0</v>
      </c>
      <c r="D8" s="187">
        <v>6.5</v>
      </c>
      <c r="E8" s="156">
        <f t="shared" si="3"/>
        <v>78</v>
      </c>
      <c r="F8" s="157"/>
      <c r="G8" s="189">
        <v>12.0</v>
      </c>
      <c r="H8" s="32">
        <f t="shared" si="4"/>
        <v>78</v>
      </c>
      <c r="J8" s="159" t="s">
        <v>86</v>
      </c>
      <c r="K8" s="82">
        <f>H25+H26+H27+H28</f>
        <v>220</v>
      </c>
    </row>
    <row r="9" ht="22.5" customHeight="1">
      <c r="A9" s="169"/>
      <c r="B9" s="190"/>
      <c r="C9" s="172"/>
      <c r="D9" s="155"/>
      <c r="E9" s="156">
        <f t="shared" si="3"/>
        <v>0</v>
      </c>
      <c r="F9" s="157"/>
      <c r="G9" s="158"/>
      <c r="H9" s="32">
        <f t="shared" si="4"/>
        <v>0</v>
      </c>
      <c r="J9" s="159" t="s">
        <v>90</v>
      </c>
      <c r="K9" s="82">
        <f>H30+H31+H32+H33</f>
        <v>2195</v>
      </c>
    </row>
    <row r="10" ht="22.5" customHeight="1">
      <c r="A10" s="184"/>
      <c r="B10" s="164"/>
      <c r="C10" s="193"/>
      <c r="D10" s="166"/>
      <c r="E10" s="156">
        <f t="shared" si="3"/>
        <v>0</v>
      </c>
      <c r="F10" s="157"/>
      <c r="G10" s="194"/>
      <c r="H10" s="32">
        <f t="shared" si="4"/>
        <v>0</v>
      </c>
      <c r="J10" s="159" t="s">
        <v>93</v>
      </c>
      <c r="K10" s="82">
        <f>H35+H36+H37</f>
        <v>220</v>
      </c>
    </row>
    <row r="11" ht="22.5" customHeight="1">
      <c r="A11" s="169" t="s">
        <v>121</v>
      </c>
      <c r="B11" s="104" t="s">
        <v>201</v>
      </c>
      <c r="C11" s="172">
        <v>1.0</v>
      </c>
      <c r="D11" s="155">
        <v>70.0</v>
      </c>
      <c r="E11" s="156">
        <f t="shared" si="3"/>
        <v>70</v>
      </c>
      <c r="F11" s="157"/>
      <c r="G11" s="158">
        <v>1.0</v>
      </c>
      <c r="H11" s="32">
        <f t="shared" si="4"/>
        <v>70</v>
      </c>
      <c r="J11" s="159" t="s">
        <v>106</v>
      </c>
      <c r="K11" s="82">
        <f>H38+H39+H40+H41</f>
        <v>41040</v>
      </c>
    </row>
    <row r="12" ht="22.5" customHeight="1">
      <c r="A12" s="176" t="s">
        <v>121</v>
      </c>
      <c r="B12" s="177" t="s">
        <v>205</v>
      </c>
      <c r="C12" s="165">
        <v>1.0</v>
      </c>
      <c r="D12" s="179">
        <v>550.0</v>
      </c>
      <c r="E12" s="156">
        <f t="shared" si="3"/>
        <v>550</v>
      </c>
      <c r="F12" s="157"/>
      <c r="G12" s="168">
        <v>1.0</v>
      </c>
      <c r="H12" s="32">
        <f t="shared" si="4"/>
        <v>550</v>
      </c>
      <c r="J12" s="159" t="s">
        <v>110</v>
      </c>
      <c r="K12" s="82">
        <f>H43+H44</f>
        <v>422.5</v>
      </c>
    </row>
    <row r="13" ht="22.5" customHeight="1">
      <c r="A13" s="169" t="s">
        <v>121</v>
      </c>
      <c r="B13" s="104" t="s">
        <v>208</v>
      </c>
      <c r="C13" s="172">
        <v>56.0</v>
      </c>
      <c r="D13" s="155">
        <v>8.5</v>
      </c>
      <c r="E13" s="156">
        <f t="shared" si="3"/>
        <v>476</v>
      </c>
      <c r="F13" s="157"/>
      <c r="G13" s="158">
        <v>56.0</v>
      </c>
      <c r="H13" s="32">
        <f t="shared" si="4"/>
        <v>476</v>
      </c>
      <c r="J13" s="159" t="s">
        <v>115</v>
      </c>
      <c r="K13" s="160"/>
    </row>
    <row r="14" ht="22.5" customHeight="1">
      <c r="A14" s="176" t="s">
        <v>121</v>
      </c>
      <c r="B14" s="177" t="s">
        <v>211</v>
      </c>
      <c r="C14" s="165">
        <v>2.0</v>
      </c>
      <c r="D14" s="179">
        <v>90.0</v>
      </c>
      <c r="E14" s="156">
        <f t="shared" si="3"/>
        <v>180</v>
      </c>
      <c r="F14" s="157"/>
      <c r="G14" s="168">
        <v>2.0</v>
      </c>
      <c r="H14" s="32">
        <f t="shared" si="4"/>
        <v>180</v>
      </c>
    </row>
    <row r="15" ht="22.5" customHeight="1">
      <c r="A15" s="196"/>
      <c r="B15" s="9"/>
      <c r="C15" s="197"/>
      <c r="D15" s="198"/>
      <c r="E15" s="156">
        <f t="shared" si="3"/>
        <v>0</v>
      </c>
      <c r="F15" s="157"/>
      <c r="G15" s="20"/>
      <c r="H15" s="32">
        <f t="shared" si="4"/>
        <v>0</v>
      </c>
    </row>
    <row r="16" ht="22.5" customHeight="1">
      <c r="A16" s="200" t="s">
        <v>122</v>
      </c>
      <c r="B16" s="9" t="s">
        <v>217</v>
      </c>
      <c r="C16" s="103">
        <v>40.0</v>
      </c>
      <c r="D16" s="155">
        <v>6.5</v>
      </c>
      <c r="E16" s="156">
        <f t="shared" si="3"/>
        <v>260</v>
      </c>
      <c r="F16" s="157"/>
      <c r="G16" s="168">
        <v>50.0</v>
      </c>
      <c r="H16" s="32">
        <f t="shared" si="4"/>
        <v>325</v>
      </c>
    </row>
    <row r="17" ht="22.5" customHeight="1">
      <c r="A17" s="202" t="s">
        <v>122</v>
      </c>
      <c r="B17" s="164" t="s">
        <v>219</v>
      </c>
      <c r="C17" s="178">
        <v>800.0</v>
      </c>
      <c r="D17" s="179">
        <v>11.0</v>
      </c>
      <c r="E17" s="156">
        <f t="shared" si="3"/>
        <v>8800</v>
      </c>
      <c r="F17" s="157"/>
      <c r="G17" s="158">
        <v>800.0</v>
      </c>
      <c r="H17" s="32">
        <f t="shared" si="4"/>
        <v>8800</v>
      </c>
    </row>
    <row r="18" ht="22.5" customHeight="1">
      <c r="A18" s="200" t="s">
        <v>122</v>
      </c>
      <c r="B18" s="9" t="s">
        <v>206</v>
      </c>
      <c r="C18" s="20">
        <v>1.0</v>
      </c>
      <c r="D18" s="155">
        <v>780.0</v>
      </c>
      <c r="E18" s="174">
        <f t="shared" si="3"/>
        <v>780</v>
      </c>
      <c r="F18" s="157"/>
      <c r="G18" s="165">
        <v>1.0</v>
      </c>
      <c r="H18" s="32">
        <f t="shared" si="4"/>
        <v>780</v>
      </c>
    </row>
    <row r="19" ht="22.5" customHeight="1">
      <c r="A19" s="203" t="s">
        <v>122</v>
      </c>
      <c r="B19" s="104" t="s">
        <v>201</v>
      </c>
      <c r="C19" s="103">
        <v>1.0</v>
      </c>
      <c r="D19" s="155">
        <v>70.0</v>
      </c>
      <c r="E19" s="156">
        <f t="shared" si="3"/>
        <v>70</v>
      </c>
      <c r="F19" s="157"/>
      <c r="G19" s="158">
        <v>1.0</v>
      </c>
      <c r="H19" s="32">
        <f t="shared" si="4"/>
        <v>70</v>
      </c>
    </row>
    <row r="20" ht="22.5" customHeight="1">
      <c r="A20" s="204"/>
      <c r="B20" s="205"/>
      <c r="C20" s="206"/>
      <c r="D20" s="207"/>
      <c r="E20" s="156">
        <f t="shared" si="3"/>
        <v>0</v>
      </c>
      <c r="F20" s="157"/>
      <c r="G20" s="168"/>
      <c r="H20" s="32">
        <f t="shared" si="4"/>
        <v>0</v>
      </c>
    </row>
    <row r="21" ht="22.5" customHeight="1">
      <c r="A21" s="209" t="s">
        <v>123</v>
      </c>
      <c r="B21" s="210" t="s">
        <v>190</v>
      </c>
      <c r="C21" s="211">
        <v>1.0</v>
      </c>
      <c r="D21" s="212">
        <v>425.0</v>
      </c>
      <c r="E21" s="156">
        <f t="shared" si="3"/>
        <v>425</v>
      </c>
      <c r="F21" s="157"/>
      <c r="G21" s="20">
        <v>1.0</v>
      </c>
      <c r="H21" s="32">
        <f t="shared" si="4"/>
        <v>425</v>
      </c>
    </row>
    <row r="22" ht="22.5" customHeight="1">
      <c r="A22" s="215" t="s">
        <v>123</v>
      </c>
      <c r="B22" s="177" t="s">
        <v>228</v>
      </c>
      <c r="C22" s="165">
        <v>1.0</v>
      </c>
      <c r="D22" s="179">
        <v>12.5</v>
      </c>
      <c r="E22" s="216">
        <f t="shared" si="3"/>
        <v>12.5</v>
      </c>
      <c r="F22" s="157"/>
      <c r="G22" s="165"/>
      <c r="H22" s="32">
        <f t="shared" si="4"/>
        <v>0</v>
      </c>
    </row>
    <row r="23" ht="22.5" customHeight="1">
      <c r="A23" s="218"/>
      <c r="B23" s="9"/>
      <c r="C23" s="219"/>
      <c r="D23" s="220"/>
      <c r="E23" s="216">
        <f t="shared" si="3"/>
        <v>0</v>
      </c>
      <c r="F23" s="157"/>
      <c r="G23" s="219">
        <v>1.0</v>
      </c>
      <c r="H23" s="32">
        <f t="shared" si="4"/>
        <v>0</v>
      </c>
    </row>
    <row r="24" ht="22.5" customHeight="1">
      <c r="A24" s="215"/>
      <c r="B24" s="177"/>
      <c r="C24" s="193"/>
      <c r="D24" s="166"/>
      <c r="E24" s="156">
        <f t="shared" si="3"/>
        <v>0</v>
      </c>
      <c r="F24" s="157"/>
      <c r="G24" s="165"/>
      <c r="H24" s="32">
        <f t="shared" si="4"/>
        <v>0</v>
      </c>
    </row>
    <row r="25" ht="22.5" customHeight="1">
      <c r="A25" s="221" t="s">
        <v>125</v>
      </c>
      <c r="B25" s="9" t="s">
        <v>206</v>
      </c>
      <c r="C25" s="197"/>
      <c r="D25" s="222"/>
      <c r="E25" s="216">
        <f t="shared" si="3"/>
        <v>0</v>
      </c>
      <c r="F25" s="157"/>
      <c r="G25" s="172"/>
      <c r="H25" s="32">
        <f t="shared" si="4"/>
        <v>0</v>
      </c>
    </row>
    <row r="26" ht="22.5" customHeight="1">
      <c r="A26" s="224" t="s">
        <v>125</v>
      </c>
      <c r="B26" s="205" t="s">
        <v>190</v>
      </c>
      <c r="C26" s="225">
        <v>1.0</v>
      </c>
      <c r="D26" s="207">
        <v>220.0</v>
      </c>
      <c r="E26" s="174">
        <f t="shared" si="3"/>
        <v>220</v>
      </c>
      <c r="F26" s="157"/>
      <c r="G26" s="165">
        <v>1.0</v>
      </c>
      <c r="H26" s="32">
        <f t="shared" si="4"/>
        <v>220</v>
      </c>
    </row>
    <row r="27" ht="22.5" customHeight="1">
      <c r="A27" s="227"/>
      <c r="B27" s="228"/>
      <c r="C27" s="219"/>
      <c r="D27" s="220"/>
      <c r="E27" s="216">
        <f t="shared" si="3"/>
        <v>0</v>
      </c>
      <c r="F27" s="157"/>
      <c r="G27" s="172"/>
      <c r="H27" s="32">
        <f t="shared" si="4"/>
        <v>0</v>
      </c>
    </row>
    <row r="28" ht="22.5" customHeight="1">
      <c r="A28" s="231"/>
      <c r="B28" s="205"/>
      <c r="C28" s="193"/>
      <c r="D28" s="232"/>
      <c r="E28" s="174">
        <f t="shared" si="3"/>
        <v>0</v>
      </c>
      <c r="F28" s="157"/>
      <c r="G28" s="193"/>
      <c r="H28" s="32">
        <f t="shared" si="4"/>
        <v>0</v>
      </c>
    </row>
    <row r="29" ht="22.5" customHeight="1">
      <c r="A29" s="221"/>
      <c r="B29" s="9"/>
      <c r="C29" s="197"/>
      <c r="D29" s="222"/>
      <c r="E29" s="174">
        <f t="shared" si="3"/>
        <v>0</v>
      </c>
      <c r="F29" s="157"/>
      <c r="G29" s="197"/>
      <c r="H29" s="32">
        <f t="shared" si="4"/>
        <v>0</v>
      </c>
    </row>
    <row r="30" ht="22.5" customHeight="1">
      <c r="A30" s="233" t="s">
        <v>126</v>
      </c>
      <c r="B30" s="234" t="s">
        <v>190</v>
      </c>
      <c r="C30" s="206">
        <v>1.0</v>
      </c>
      <c r="D30" s="235">
        <v>220.0</v>
      </c>
      <c r="E30" s="216">
        <f t="shared" si="3"/>
        <v>220</v>
      </c>
      <c r="F30" s="157"/>
      <c r="G30" s="165">
        <v>1.0</v>
      </c>
      <c r="H30" s="32">
        <f t="shared" si="4"/>
        <v>220</v>
      </c>
    </row>
    <row r="31" ht="22.5" customHeight="1">
      <c r="A31" s="236" t="s">
        <v>126</v>
      </c>
      <c r="B31" s="9" t="s">
        <v>240</v>
      </c>
      <c r="C31" s="103">
        <v>43.0</v>
      </c>
      <c r="D31" s="155">
        <v>5.5</v>
      </c>
      <c r="E31" s="156">
        <f t="shared" si="3"/>
        <v>236.5</v>
      </c>
      <c r="F31" s="157"/>
      <c r="G31" s="172">
        <v>50.0</v>
      </c>
      <c r="H31" s="32">
        <f t="shared" si="4"/>
        <v>275</v>
      </c>
    </row>
    <row r="32" ht="22.5" customHeight="1">
      <c r="A32" s="237" t="s">
        <v>126</v>
      </c>
      <c r="B32" s="164" t="s">
        <v>240</v>
      </c>
      <c r="C32" s="178">
        <v>150.0</v>
      </c>
      <c r="D32" s="179">
        <v>10.0</v>
      </c>
      <c r="E32" s="156">
        <f t="shared" si="3"/>
        <v>1500</v>
      </c>
      <c r="F32" s="157"/>
      <c r="G32" s="165">
        <v>170.0</v>
      </c>
      <c r="H32" s="32">
        <f t="shared" si="4"/>
        <v>1700</v>
      </c>
    </row>
    <row r="33" ht="22.5" customHeight="1">
      <c r="A33" s="236" t="s">
        <v>126</v>
      </c>
      <c r="B33" s="9" t="s">
        <v>206</v>
      </c>
      <c r="C33" s="197"/>
      <c r="D33" s="222"/>
      <c r="E33" s="174">
        <f t="shared" si="3"/>
        <v>0</v>
      </c>
      <c r="F33" s="157"/>
      <c r="G33" s="197"/>
      <c r="H33" s="32">
        <f t="shared" si="4"/>
        <v>0</v>
      </c>
    </row>
    <row r="34" ht="22.5" customHeight="1">
      <c r="A34" s="243"/>
      <c r="B34" s="205"/>
      <c r="C34" s="193"/>
      <c r="D34" s="235"/>
      <c r="E34" s="244">
        <f t="shared" si="3"/>
        <v>0</v>
      </c>
      <c r="F34" s="157"/>
      <c r="G34" s="165"/>
      <c r="H34" s="32">
        <f t="shared" si="4"/>
        <v>0</v>
      </c>
    </row>
    <row r="35" ht="22.5" customHeight="1">
      <c r="A35" s="245" t="s">
        <v>127</v>
      </c>
      <c r="B35" s="228" t="s">
        <v>190</v>
      </c>
      <c r="C35" s="219">
        <v>1.0</v>
      </c>
      <c r="D35" s="220">
        <v>220.0</v>
      </c>
      <c r="E35" s="216">
        <f t="shared" si="3"/>
        <v>220</v>
      </c>
      <c r="F35" s="157"/>
      <c r="G35" s="172">
        <v>1.0</v>
      </c>
      <c r="H35" s="32">
        <f t="shared" si="4"/>
        <v>220</v>
      </c>
    </row>
    <row r="36" ht="22.5" customHeight="1">
      <c r="A36" s="246" t="s">
        <v>127</v>
      </c>
      <c r="B36" s="164" t="s">
        <v>206</v>
      </c>
      <c r="C36" s="193"/>
      <c r="D36" s="232"/>
      <c r="E36" s="174">
        <f t="shared" si="3"/>
        <v>0</v>
      </c>
      <c r="F36" s="157"/>
      <c r="G36" s="193"/>
      <c r="H36" s="32">
        <f t="shared" si="4"/>
        <v>0</v>
      </c>
    </row>
    <row r="37" ht="22.5" customHeight="1">
      <c r="A37" s="170" t="s">
        <v>127</v>
      </c>
      <c r="B37" s="247"/>
      <c r="C37" s="197"/>
      <c r="D37" s="222"/>
      <c r="E37" s="174">
        <f t="shared" si="3"/>
        <v>0</v>
      </c>
      <c r="F37" s="157"/>
      <c r="G37" s="197"/>
      <c r="H37" s="32">
        <f t="shared" si="4"/>
        <v>0</v>
      </c>
    </row>
    <row r="38" ht="22.5" customHeight="1">
      <c r="A38" s="163"/>
      <c r="B38" s="164"/>
      <c r="C38" s="248"/>
      <c r="D38" s="232"/>
      <c r="E38" s="174">
        <f t="shared" si="3"/>
        <v>0</v>
      </c>
      <c r="F38" s="157"/>
      <c r="G38" s="193"/>
      <c r="H38" s="32">
        <f t="shared" si="4"/>
        <v>0</v>
      </c>
    </row>
    <row r="39" ht="22.5" customHeight="1">
      <c r="A39" s="250" t="s">
        <v>128</v>
      </c>
      <c r="B39" s="9" t="s">
        <v>206</v>
      </c>
      <c r="C39" s="251">
        <v>1.0</v>
      </c>
      <c r="D39" s="198">
        <v>500.0</v>
      </c>
      <c r="E39" s="156">
        <f t="shared" si="3"/>
        <v>500</v>
      </c>
      <c r="F39" s="157"/>
      <c r="G39" s="172">
        <v>1.0</v>
      </c>
      <c r="H39" s="32">
        <f t="shared" si="4"/>
        <v>500</v>
      </c>
    </row>
    <row r="40" ht="22.5" customHeight="1">
      <c r="A40" s="163" t="s">
        <v>128</v>
      </c>
      <c r="B40" s="164" t="s">
        <v>243</v>
      </c>
      <c r="C40" s="248">
        <v>1.0</v>
      </c>
      <c r="D40" s="179">
        <v>40540.0</v>
      </c>
      <c r="E40" s="156">
        <f t="shared" si="3"/>
        <v>40540</v>
      </c>
      <c r="F40" s="157"/>
      <c r="G40" s="165">
        <v>1.0</v>
      </c>
      <c r="H40" s="32">
        <f t="shared" si="4"/>
        <v>40540</v>
      </c>
    </row>
    <row r="41" ht="22.5" customHeight="1">
      <c r="A41" s="252"/>
      <c r="B41" s="247"/>
      <c r="C41" s="197"/>
      <c r="D41" s="222"/>
      <c r="E41" s="174">
        <f t="shared" si="3"/>
        <v>0</v>
      </c>
      <c r="F41" s="157"/>
      <c r="G41" s="197"/>
      <c r="H41" s="32">
        <f t="shared" si="4"/>
        <v>0</v>
      </c>
    </row>
    <row r="42" ht="22.5" customHeight="1">
      <c r="A42" s="184"/>
      <c r="B42" s="164"/>
      <c r="C42" s="193"/>
      <c r="D42" s="232"/>
      <c r="E42" s="174">
        <f t="shared" si="3"/>
        <v>0</v>
      </c>
      <c r="F42" s="157"/>
      <c r="G42" s="193"/>
      <c r="H42" s="32">
        <f t="shared" si="4"/>
        <v>0</v>
      </c>
    </row>
    <row r="43" ht="22.5" customHeight="1">
      <c r="A43" s="254" t="s">
        <v>129</v>
      </c>
      <c r="B43" s="9" t="s">
        <v>245</v>
      </c>
      <c r="C43" s="103">
        <v>65.0</v>
      </c>
      <c r="D43" s="155">
        <v>6.5</v>
      </c>
      <c r="E43" s="180">
        <f t="shared" si="3"/>
        <v>422.5</v>
      </c>
      <c r="F43" s="157"/>
      <c r="G43" s="172">
        <v>65.0</v>
      </c>
      <c r="H43" s="32">
        <f t="shared" si="4"/>
        <v>422.5</v>
      </c>
    </row>
    <row r="44" ht="22.5" customHeight="1">
      <c r="A44" s="184" t="s">
        <v>129</v>
      </c>
      <c r="B44" s="164" t="s">
        <v>206</v>
      </c>
      <c r="C44" s="193"/>
      <c r="D44" s="232"/>
      <c r="E44" s="174">
        <f t="shared" si="3"/>
        <v>0</v>
      </c>
      <c r="F44" s="157"/>
      <c r="G44" s="193"/>
      <c r="H44" s="32">
        <f t="shared" si="4"/>
        <v>0</v>
      </c>
    </row>
    <row r="45" ht="22.5" customHeight="1">
      <c r="A45" s="252"/>
      <c r="B45" s="247"/>
      <c r="C45" s="197"/>
      <c r="D45" s="222"/>
      <c r="E45" s="174">
        <f t="shared" si="3"/>
        <v>0</v>
      </c>
      <c r="F45" s="157"/>
      <c r="G45" s="197"/>
      <c r="H45" s="32">
        <f t="shared" si="4"/>
        <v>0</v>
      </c>
    </row>
    <row r="46" ht="22.5" customHeight="1">
      <c r="A46" s="255"/>
      <c r="B46" s="256"/>
      <c r="C46" s="257"/>
      <c r="D46" s="258"/>
      <c r="E46" s="174">
        <f t="shared" si="3"/>
        <v>0</v>
      </c>
      <c r="F46" s="157"/>
      <c r="G46" s="257"/>
      <c r="H46" s="32">
        <f t="shared" si="4"/>
        <v>0</v>
      </c>
    </row>
    <row r="47" ht="22.5" customHeight="1">
      <c r="A47" s="252"/>
      <c r="B47" s="247"/>
      <c r="C47" s="197"/>
      <c r="D47" s="222"/>
      <c r="E47" s="174">
        <f t="shared" si="3"/>
        <v>0</v>
      </c>
      <c r="F47" s="157"/>
      <c r="G47" s="197"/>
      <c r="H47" s="32">
        <f t="shared" si="4"/>
        <v>0</v>
      </c>
    </row>
    <row r="48" ht="22.5" customHeight="1">
      <c r="A48" s="259"/>
      <c r="B48" s="260"/>
      <c r="C48" s="193"/>
      <c r="D48" s="232"/>
      <c r="E48" s="174">
        <f t="shared" si="3"/>
        <v>0</v>
      </c>
      <c r="F48" s="157"/>
      <c r="G48" s="193"/>
      <c r="H48" s="32">
        <f t="shared" si="4"/>
        <v>0</v>
      </c>
    </row>
    <row r="49" ht="22.5" customHeight="1">
      <c r="A49" s="252"/>
      <c r="B49" s="247"/>
      <c r="C49" s="197"/>
      <c r="D49" s="222"/>
      <c r="E49" s="174">
        <f t="shared" si="3"/>
        <v>0</v>
      </c>
      <c r="F49" s="157"/>
      <c r="G49" s="197"/>
      <c r="H49" s="32">
        <f t="shared" si="4"/>
        <v>0</v>
      </c>
    </row>
    <row r="50" ht="22.5" customHeight="1">
      <c r="A50" s="259"/>
      <c r="B50" s="260"/>
      <c r="C50" s="193"/>
      <c r="D50" s="232"/>
      <c r="E50" s="174">
        <f t="shared" si="3"/>
        <v>0</v>
      </c>
      <c r="F50" s="157"/>
      <c r="G50" s="193"/>
      <c r="H50" s="32">
        <f t="shared" si="4"/>
        <v>0</v>
      </c>
    </row>
    <row r="51" ht="22.5" customHeight="1">
      <c r="A51" s="252"/>
      <c r="B51" s="247"/>
      <c r="C51" s="197"/>
      <c r="D51" s="222"/>
      <c r="E51" s="174">
        <f t="shared" si="3"/>
        <v>0</v>
      </c>
      <c r="F51" s="157"/>
      <c r="G51" s="197"/>
      <c r="H51" s="32">
        <f t="shared" si="4"/>
        <v>0</v>
      </c>
    </row>
    <row r="52" ht="22.5" customHeight="1">
      <c r="A52" s="259"/>
      <c r="B52" s="260"/>
      <c r="C52" s="193"/>
      <c r="D52" s="232"/>
      <c r="E52" s="174">
        <f t="shared" si="3"/>
        <v>0</v>
      </c>
      <c r="F52" s="157"/>
      <c r="G52" s="193"/>
      <c r="H52" s="32">
        <f t="shared" si="4"/>
        <v>0</v>
      </c>
    </row>
    <row r="53" ht="22.5" customHeight="1">
      <c r="A53" s="252"/>
      <c r="B53" s="247"/>
      <c r="C53" s="197"/>
      <c r="D53" s="222"/>
      <c r="E53" s="174">
        <f t="shared" si="3"/>
        <v>0</v>
      </c>
      <c r="F53" s="157"/>
      <c r="G53" s="197"/>
      <c r="H53" s="32">
        <f t="shared" si="4"/>
        <v>0</v>
      </c>
    </row>
    <row r="54" ht="22.5" customHeight="1">
      <c r="A54" s="255"/>
      <c r="B54" s="256"/>
      <c r="C54" s="257"/>
      <c r="D54" s="258"/>
      <c r="E54" s="174">
        <f t="shared" si="3"/>
        <v>0</v>
      </c>
      <c r="F54" s="157"/>
      <c r="G54" s="257"/>
      <c r="H54" s="32">
        <f t="shared" si="4"/>
        <v>0</v>
      </c>
    </row>
    <row r="55" ht="22.5" customHeight="1">
      <c r="A55" s="261"/>
      <c r="B55" s="262"/>
      <c r="C55" s="263"/>
      <c r="D55" s="264"/>
      <c r="E55" s="265">
        <f t="shared" si="3"/>
        <v>0</v>
      </c>
      <c r="F55" s="157"/>
      <c r="G55" s="263"/>
      <c r="H55" s="32">
        <f t="shared" si="4"/>
        <v>0</v>
      </c>
    </row>
    <row r="56" ht="22.5" customHeight="1">
      <c r="A56" s="261"/>
      <c r="B56" s="262"/>
      <c r="C56" s="263"/>
      <c r="D56" s="264"/>
      <c r="E56" s="265">
        <f t="shared" si="3"/>
        <v>0</v>
      </c>
      <c r="F56" s="157"/>
      <c r="G56" s="263"/>
      <c r="H56" s="32">
        <f t="shared" si="4"/>
        <v>0</v>
      </c>
    </row>
    <row r="57" ht="22.5" customHeight="1">
      <c r="A57" s="261"/>
      <c r="B57" s="262"/>
      <c r="C57" s="263"/>
      <c r="D57" s="264"/>
      <c r="E57" s="265">
        <f t="shared" si="3"/>
        <v>0</v>
      </c>
      <c r="F57" s="157"/>
      <c r="G57" s="263"/>
      <c r="H57" s="32">
        <f t="shared" si="4"/>
        <v>0</v>
      </c>
    </row>
    <row r="58" ht="22.5" customHeight="1">
      <c r="A58" s="261"/>
      <c r="B58" s="262"/>
      <c r="C58" s="263"/>
      <c r="D58" s="264"/>
      <c r="E58" s="265">
        <f t="shared" si="3"/>
        <v>0</v>
      </c>
      <c r="F58" s="157"/>
      <c r="G58" s="263"/>
      <c r="H58" s="32">
        <f t="shared" si="4"/>
        <v>0</v>
      </c>
    </row>
    <row r="59" ht="22.5" customHeight="1">
      <c r="A59" s="261"/>
      <c r="B59" s="262"/>
      <c r="C59" s="263"/>
      <c r="D59" s="264"/>
      <c r="E59" s="265">
        <f t="shared" si="3"/>
        <v>0</v>
      </c>
      <c r="F59" s="157"/>
      <c r="G59" s="263"/>
      <c r="H59" s="32">
        <f t="shared" si="4"/>
        <v>0</v>
      </c>
    </row>
    <row r="60" ht="22.5" customHeight="1">
      <c r="A60" s="261"/>
      <c r="B60" s="262"/>
      <c r="C60" s="263"/>
      <c r="D60" s="264"/>
      <c r="E60" s="265">
        <f t="shared" si="3"/>
        <v>0</v>
      </c>
      <c r="F60" s="157"/>
      <c r="G60" s="263"/>
      <c r="H60" s="32">
        <f t="shared" si="4"/>
        <v>0</v>
      </c>
    </row>
    <row r="61" ht="22.5" customHeight="1">
      <c r="A61" s="261"/>
      <c r="B61" s="262"/>
      <c r="C61" s="263"/>
      <c r="D61" s="264"/>
      <c r="E61" s="265">
        <f t="shared" si="3"/>
        <v>0</v>
      </c>
      <c r="F61" s="157"/>
      <c r="G61" s="263"/>
      <c r="H61" s="32">
        <f t="shared" si="4"/>
        <v>0</v>
      </c>
    </row>
    <row r="62" ht="22.5" customHeight="1">
      <c r="A62" s="261"/>
      <c r="B62" s="262"/>
      <c r="C62" s="263"/>
      <c r="D62" s="264"/>
      <c r="E62" s="265">
        <f t="shared" si="3"/>
        <v>0</v>
      </c>
      <c r="F62" s="157"/>
      <c r="G62" s="263"/>
      <c r="H62" s="32">
        <f t="shared" si="4"/>
        <v>0</v>
      </c>
    </row>
    <row r="63" ht="22.5" customHeight="1">
      <c r="A63" s="261"/>
      <c r="B63" s="262"/>
      <c r="C63" s="263"/>
      <c r="D63" s="264"/>
      <c r="E63" s="265">
        <f t="shared" si="3"/>
        <v>0</v>
      </c>
      <c r="F63" s="157"/>
      <c r="G63" s="263"/>
      <c r="H63" s="32">
        <f t="shared" si="4"/>
        <v>0</v>
      </c>
    </row>
    <row r="64" ht="22.5" customHeight="1">
      <c r="A64" s="261"/>
      <c r="B64" s="262"/>
      <c r="C64" s="263"/>
      <c r="D64" s="264"/>
      <c r="E64" s="265">
        <f t="shared" si="3"/>
        <v>0</v>
      </c>
      <c r="F64" s="157"/>
      <c r="G64" s="263"/>
      <c r="H64" s="32">
        <f t="shared" si="4"/>
        <v>0</v>
      </c>
    </row>
    <row r="65" ht="22.5" customHeight="1">
      <c r="A65" s="261"/>
      <c r="B65" s="262"/>
      <c r="C65" s="263"/>
      <c r="D65" s="264"/>
      <c r="E65" s="265">
        <f t="shared" si="3"/>
        <v>0</v>
      </c>
      <c r="F65" s="157"/>
      <c r="G65" s="263"/>
      <c r="H65" s="32">
        <f t="shared" si="4"/>
        <v>0</v>
      </c>
    </row>
    <row r="66" ht="22.5" customHeight="1">
      <c r="A66" s="261"/>
      <c r="B66" s="262"/>
      <c r="C66" s="263"/>
      <c r="D66" s="264"/>
      <c r="E66" s="265">
        <f t="shared" si="3"/>
        <v>0</v>
      </c>
      <c r="F66" s="157"/>
      <c r="G66" s="263"/>
      <c r="H66" s="32">
        <f t="shared" si="4"/>
        <v>0</v>
      </c>
    </row>
    <row r="67" ht="22.5" customHeight="1">
      <c r="A67" s="261"/>
      <c r="B67" s="262"/>
      <c r="C67" s="263"/>
      <c r="D67" s="264"/>
      <c r="E67" s="265">
        <f t="shared" si="3"/>
        <v>0</v>
      </c>
      <c r="F67" s="157"/>
      <c r="G67" s="263"/>
      <c r="H67" s="32">
        <f t="shared" si="4"/>
        <v>0</v>
      </c>
    </row>
    <row r="68" ht="22.5" customHeight="1">
      <c r="A68" s="261"/>
      <c r="B68" s="262"/>
      <c r="C68" s="263"/>
      <c r="D68" s="264"/>
      <c r="E68" s="265">
        <f t="shared" si="3"/>
        <v>0</v>
      </c>
      <c r="F68" s="157"/>
      <c r="G68" s="263"/>
      <c r="H68" s="32">
        <f t="shared" si="4"/>
        <v>0</v>
      </c>
    </row>
    <row r="69" ht="22.5" customHeight="1">
      <c r="A69" s="261"/>
      <c r="B69" s="262"/>
      <c r="C69" s="263"/>
      <c r="D69" s="264"/>
      <c r="E69" s="265">
        <f t="shared" si="3"/>
        <v>0</v>
      </c>
      <c r="F69" s="157"/>
      <c r="G69" s="263"/>
      <c r="H69" s="32">
        <f t="shared" si="4"/>
        <v>0</v>
      </c>
    </row>
    <row r="70" ht="22.5" customHeight="1">
      <c r="A70" s="261"/>
      <c r="B70" s="262"/>
      <c r="C70" s="263"/>
      <c r="D70" s="264"/>
      <c r="E70" s="265">
        <f t="shared" si="3"/>
        <v>0</v>
      </c>
      <c r="F70" s="157"/>
      <c r="G70" s="263"/>
      <c r="H70" s="32">
        <f t="shared" si="4"/>
        <v>0</v>
      </c>
    </row>
    <row r="71" ht="22.5" customHeight="1">
      <c r="A71" s="261"/>
      <c r="B71" s="262"/>
      <c r="C71" s="263"/>
      <c r="D71" s="264"/>
      <c r="E71" s="265">
        <f t="shared" si="3"/>
        <v>0</v>
      </c>
      <c r="F71" s="157"/>
      <c r="G71" s="263"/>
      <c r="H71" s="32">
        <f t="shared" si="4"/>
        <v>0</v>
      </c>
    </row>
    <row r="72" ht="22.5" customHeight="1">
      <c r="A72" s="261"/>
      <c r="B72" s="262"/>
      <c r="C72" s="263"/>
      <c r="D72" s="264"/>
      <c r="E72" s="265">
        <f t="shared" si="3"/>
        <v>0</v>
      </c>
      <c r="F72" s="157"/>
      <c r="G72" s="263"/>
      <c r="H72" s="32">
        <f t="shared" si="4"/>
        <v>0</v>
      </c>
    </row>
    <row r="73" ht="22.5" customHeight="1">
      <c r="A73" s="261"/>
      <c r="B73" s="262"/>
      <c r="C73" s="263"/>
      <c r="D73" s="264"/>
      <c r="E73" s="265">
        <f t="shared" si="3"/>
        <v>0</v>
      </c>
      <c r="F73" s="157"/>
      <c r="G73" s="263"/>
      <c r="H73" s="32">
        <f t="shared" si="4"/>
        <v>0</v>
      </c>
    </row>
    <row r="74" ht="22.5" customHeight="1">
      <c r="A74" s="261"/>
      <c r="B74" s="262"/>
      <c r="C74" s="263"/>
      <c r="D74" s="264"/>
      <c r="E74" s="265">
        <f t="shared" si="3"/>
        <v>0</v>
      </c>
      <c r="F74" s="157"/>
      <c r="G74" s="263"/>
      <c r="H74" s="32">
        <f t="shared" si="4"/>
        <v>0</v>
      </c>
    </row>
    <row r="75" ht="22.5" customHeight="1">
      <c r="A75" s="261"/>
      <c r="B75" s="262"/>
      <c r="C75" s="263"/>
      <c r="D75" s="264"/>
      <c r="E75" s="265">
        <f t="shared" si="3"/>
        <v>0</v>
      </c>
      <c r="F75" s="157"/>
      <c r="G75" s="263"/>
      <c r="H75" s="32">
        <f t="shared" si="4"/>
        <v>0</v>
      </c>
    </row>
    <row r="76" ht="22.5" customHeight="1">
      <c r="A76" s="261"/>
      <c r="B76" s="262"/>
      <c r="C76" s="263"/>
      <c r="D76" s="264"/>
      <c r="E76" s="265">
        <f t="shared" si="3"/>
        <v>0</v>
      </c>
      <c r="F76" s="157"/>
      <c r="G76" s="263"/>
      <c r="H76" s="32">
        <f t="shared" si="4"/>
        <v>0</v>
      </c>
    </row>
    <row r="77" ht="22.5" customHeight="1">
      <c r="A77" s="261"/>
      <c r="B77" s="262"/>
      <c r="C77" s="263"/>
      <c r="D77" s="264"/>
      <c r="E77" s="265">
        <f t="shared" si="3"/>
        <v>0</v>
      </c>
      <c r="F77" s="157"/>
      <c r="G77" s="263"/>
      <c r="H77" s="32">
        <f t="shared" si="4"/>
        <v>0</v>
      </c>
    </row>
    <row r="78" ht="22.5" customHeight="1">
      <c r="A78" s="261"/>
      <c r="B78" s="262"/>
      <c r="C78" s="263"/>
      <c r="D78" s="264"/>
      <c r="E78" s="265">
        <f t="shared" si="3"/>
        <v>0</v>
      </c>
      <c r="F78" s="157"/>
      <c r="G78" s="263"/>
      <c r="H78" s="32">
        <f t="shared" si="4"/>
        <v>0</v>
      </c>
    </row>
    <row r="79" ht="22.5" customHeight="1">
      <c r="A79" s="261"/>
      <c r="B79" s="262"/>
      <c r="C79" s="263"/>
      <c r="D79" s="264"/>
      <c r="E79" s="265">
        <f t="shared" si="3"/>
        <v>0</v>
      </c>
      <c r="F79" s="157"/>
      <c r="G79" s="263"/>
      <c r="H79" s="32">
        <f t="shared" si="4"/>
        <v>0</v>
      </c>
    </row>
    <row r="80" ht="22.5" customHeight="1">
      <c r="A80" s="261"/>
      <c r="B80" s="262"/>
      <c r="C80" s="263"/>
      <c r="D80" s="264"/>
      <c r="E80" s="265">
        <f t="shared" si="3"/>
        <v>0</v>
      </c>
      <c r="F80" s="157"/>
      <c r="G80" s="263"/>
      <c r="H80" s="32">
        <f t="shared" si="4"/>
        <v>0</v>
      </c>
    </row>
    <row r="81" ht="22.5" customHeight="1">
      <c r="A81" s="261"/>
      <c r="B81" s="262"/>
      <c r="C81" s="263"/>
      <c r="D81" s="264"/>
      <c r="E81" s="265">
        <f t="shared" si="3"/>
        <v>0</v>
      </c>
      <c r="F81" s="157"/>
      <c r="G81" s="263"/>
      <c r="H81" s="32">
        <f t="shared" si="4"/>
        <v>0</v>
      </c>
    </row>
    <row r="82" ht="22.5" customHeight="1">
      <c r="A82" s="261"/>
      <c r="B82" s="262"/>
      <c r="C82" s="263"/>
      <c r="D82" s="264"/>
      <c r="E82" s="265">
        <f t="shared" si="3"/>
        <v>0</v>
      </c>
      <c r="F82" s="157"/>
      <c r="G82" s="263"/>
      <c r="H82" s="32">
        <f t="shared" si="4"/>
        <v>0</v>
      </c>
    </row>
    <row r="83" ht="22.5" customHeight="1">
      <c r="A83" s="261"/>
      <c r="B83" s="262"/>
      <c r="C83" s="263"/>
      <c r="D83" s="264"/>
      <c r="E83" s="265">
        <f t="shared" si="3"/>
        <v>0</v>
      </c>
      <c r="F83" s="157"/>
      <c r="G83" s="263"/>
      <c r="H83" s="32">
        <f t="shared" si="4"/>
        <v>0</v>
      </c>
    </row>
    <row r="84" ht="22.5" customHeight="1">
      <c r="A84" s="261"/>
      <c r="B84" s="262"/>
      <c r="C84" s="263"/>
      <c r="D84" s="264"/>
      <c r="E84" s="265">
        <f t="shared" si="3"/>
        <v>0</v>
      </c>
      <c r="F84" s="157"/>
      <c r="G84" s="263"/>
      <c r="H84" s="32">
        <f t="shared" si="4"/>
        <v>0</v>
      </c>
    </row>
    <row r="85" ht="22.5" customHeight="1">
      <c r="A85" s="261"/>
      <c r="B85" s="262"/>
      <c r="C85" s="263"/>
      <c r="D85" s="264"/>
      <c r="E85" s="265">
        <f t="shared" si="3"/>
        <v>0</v>
      </c>
      <c r="F85" s="157"/>
      <c r="G85" s="263"/>
      <c r="H85" s="32">
        <f t="shared" si="4"/>
        <v>0</v>
      </c>
    </row>
    <row r="86" ht="22.5" customHeight="1">
      <c r="A86" s="261"/>
      <c r="B86" s="262"/>
      <c r="C86" s="263"/>
      <c r="D86" s="264"/>
      <c r="E86" s="265">
        <f t="shared" si="3"/>
        <v>0</v>
      </c>
      <c r="F86" s="157"/>
      <c r="G86" s="263"/>
      <c r="H86" s="32">
        <f t="shared" si="4"/>
        <v>0</v>
      </c>
    </row>
    <row r="87" ht="22.5" customHeight="1">
      <c r="A87" s="261"/>
      <c r="B87" s="262"/>
      <c r="C87" s="263"/>
      <c r="D87" s="264"/>
      <c r="E87" s="265">
        <f t="shared" si="3"/>
        <v>0</v>
      </c>
      <c r="F87" s="157"/>
      <c r="G87" s="263"/>
      <c r="H87" s="32">
        <f t="shared" si="4"/>
        <v>0</v>
      </c>
    </row>
    <row r="88" ht="22.5" customHeight="1">
      <c r="A88" s="261"/>
      <c r="B88" s="262"/>
      <c r="C88" s="263"/>
      <c r="D88" s="264"/>
      <c r="E88" s="265">
        <f t="shared" si="3"/>
        <v>0</v>
      </c>
      <c r="F88" s="157"/>
      <c r="G88" s="263"/>
      <c r="H88" s="32">
        <f t="shared" si="4"/>
        <v>0</v>
      </c>
    </row>
    <row r="89" ht="22.5" customHeight="1">
      <c r="A89" s="261"/>
      <c r="B89" s="262"/>
      <c r="C89" s="263"/>
      <c r="D89" s="264"/>
      <c r="E89" s="265">
        <f t="shared" si="3"/>
        <v>0</v>
      </c>
      <c r="F89" s="157"/>
      <c r="G89" s="263"/>
      <c r="H89" s="32">
        <f t="shared" si="4"/>
        <v>0</v>
      </c>
    </row>
    <row r="90" ht="22.5" customHeight="1">
      <c r="A90" s="261"/>
      <c r="B90" s="262"/>
      <c r="C90" s="263"/>
      <c r="D90" s="264"/>
      <c r="E90" s="265">
        <f t="shared" si="3"/>
        <v>0</v>
      </c>
      <c r="F90" s="157"/>
      <c r="G90" s="263"/>
      <c r="H90" s="32">
        <f t="shared" si="4"/>
        <v>0</v>
      </c>
    </row>
    <row r="91" ht="22.5" customHeight="1">
      <c r="A91" s="261"/>
      <c r="B91" s="262"/>
      <c r="C91" s="263"/>
      <c r="D91" s="264"/>
      <c r="E91" s="265">
        <f t="shared" si="3"/>
        <v>0</v>
      </c>
      <c r="F91" s="157"/>
      <c r="G91" s="263"/>
      <c r="H91" s="32">
        <f t="shared" si="4"/>
        <v>0</v>
      </c>
    </row>
    <row r="92" ht="22.5" customHeight="1">
      <c r="A92" s="261"/>
      <c r="B92" s="262"/>
      <c r="C92" s="263"/>
      <c r="D92" s="264"/>
      <c r="E92" s="265">
        <f t="shared" si="3"/>
        <v>0</v>
      </c>
      <c r="F92" s="157"/>
      <c r="G92" s="263"/>
      <c r="H92" s="32">
        <f t="shared" si="4"/>
        <v>0</v>
      </c>
    </row>
    <row r="93" ht="22.5" customHeight="1">
      <c r="A93" s="261"/>
      <c r="B93" s="262"/>
      <c r="C93" s="263"/>
      <c r="D93" s="264"/>
      <c r="E93" s="265">
        <f t="shared" si="3"/>
        <v>0</v>
      </c>
      <c r="F93" s="157"/>
      <c r="G93" s="263"/>
      <c r="H93" s="32">
        <f t="shared" si="4"/>
        <v>0</v>
      </c>
    </row>
    <row r="94" ht="22.5" customHeight="1">
      <c r="A94" s="261"/>
      <c r="B94" s="262"/>
      <c r="C94" s="263"/>
      <c r="D94" s="264"/>
      <c r="E94" s="265">
        <f t="shared" si="3"/>
        <v>0</v>
      </c>
      <c r="F94" s="157"/>
      <c r="G94" s="263"/>
      <c r="H94" s="32">
        <f t="shared" si="4"/>
        <v>0</v>
      </c>
    </row>
    <row r="95" ht="22.5" customHeight="1">
      <c r="A95" s="261"/>
      <c r="B95" s="262"/>
      <c r="C95" s="263"/>
      <c r="D95" s="264"/>
      <c r="E95" s="265">
        <f t="shared" si="3"/>
        <v>0</v>
      </c>
      <c r="F95" s="157"/>
      <c r="G95" s="263"/>
      <c r="H95" s="32">
        <f t="shared" si="4"/>
        <v>0</v>
      </c>
    </row>
    <row r="96" ht="22.5" customHeight="1">
      <c r="A96" s="261"/>
      <c r="B96" s="262"/>
      <c r="C96" s="263"/>
      <c r="D96" s="264"/>
      <c r="E96" s="265">
        <f t="shared" si="3"/>
        <v>0</v>
      </c>
      <c r="F96" s="157"/>
      <c r="G96" s="263"/>
      <c r="H96" s="32">
        <f t="shared" si="4"/>
        <v>0</v>
      </c>
    </row>
    <row r="97" ht="22.5" customHeight="1">
      <c r="A97" s="261"/>
      <c r="B97" s="262"/>
      <c r="C97" s="263"/>
      <c r="D97" s="264"/>
      <c r="E97" s="265">
        <f t="shared" si="3"/>
        <v>0</v>
      </c>
      <c r="F97" s="157"/>
      <c r="G97" s="263"/>
      <c r="H97" s="32">
        <f t="shared" si="4"/>
        <v>0</v>
      </c>
    </row>
    <row r="98" ht="22.5" customHeight="1">
      <c r="A98" s="261"/>
      <c r="B98" s="262"/>
      <c r="C98" s="263"/>
      <c r="D98" s="264"/>
      <c r="E98" s="265">
        <f t="shared" si="3"/>
        <v>0</v>
      </c>
      <c r="F98" s="157"/>
      <c r="G98" s="263"/>
      <c r="H98" s="32">
        <f t="shared" si="4"/>
        <v>0</v>
      </c>
    </row>
    <row r="99" ht="22.5" customHeight="1">
      <c r="A99" s="261"/>
      <c r="B99" s="262"/>
      <c r="C99" s="263"/>
      <c r="D99" s="264"/>
      <c r="E99" s="265">
        <f t="shared" si="3"/>
        <v>0</v>
      </c>
      <c r="F99" s="157"/>
      <c r="G99" s="263"/>
      <c r="H99" s="32">
        <f t="shared" si="4"/>
        <v>0</v>
      </c>
    </row>
    <row r="100" ht="22.5" customHeight="1">
      <c r="A100" s="261"/>
      <c r="B100" s="262"/>
      <c r="C100" s="263"/>
      <c r="D100" s="264"/>
      <c r="E100" s="265">
        <f t="shared" si="3"/>
        <v>0</v>
      </c>
      <c r="F100" s="157"/>
      <c r="G100" s="263"/>
      <c r="H100" s="32">
        <f t="shared" si="4"/>
        <v>0</v>
      </c>
    </row>
    <row r="101" ht="22.5" customHeight="1">
      <c r="A101" s="261"/>
      <c r="B101" s="262"/>
      <c r="C101" s="263"/>
      <c r="D101" s="264"/>
      <c r="E101" s="265">
        <f t="shared" si="3"/>
        <v>0</v>
      </c>
      <c r="F101" s="157"/>
      <c r="G101" s="263"/>
      <c r="H101" s="32">
        <f t="shared" si="4"/>
        <v>0</v>
      </c>
    </row>
    <row r="102" ht="22.5" customHeight="1">
      <c r="A102" s="261"/>
      <c r="B102" s="262"/>
      <c r="C102" s="263"/>
      <c r="D102" s="264"/>
      <c r="E102" s="265">
        <f t="shared" si="3"/>
        <v>0</v>
      </c>
      <c r="F102" s="157"/>
      <c r="G102" s="263"/>
      <c r="H102" s="32">
        <f t="shared" si="4"/>
        <v>0</v>
      </c>
    </row>
    <row r="103" ht="22.5" customHeight="1">
      <c r="A103" s="261"/>
      <c r="B103" s="262"/>
      <c r="C103" s="263"/>
      <c r="D103" s="264"/>
      <c r="E103" s="265">
        <f t="shared" si="3"/>
        <v>0</v>
      </c>
      <c r="F103" s="157"/>
      <c r="G103" s="263"/>
      <c r="H103" s="32">
        <f t="shared" si="4"/>
        <v>0</v>
      </c>
    </row>
    <row r="104" ht="22.5" customHeight="1">
      <c r="A104" s="261"/>
      <c r="B104" s="262"/>
      <c r="C104" s="263"/>
      <c r="D104" s="264"/>
      <c r="E104" s="265">
        <f t="shared" si="3"/>
        <v>0</v>
      </c>
      <c r="F104" s="157"/>
      <c r="G104" s="263"/>
      <c r="H104" s="32">
        <f t="shared" si="4"/>
        <v>0</v>
      </c>
    </row>
    <row r="105" ht="22.5" customHeight="1">
      <c r="A105" s="261"/>
      <c r="B105" s="262"/>
      <c r="C105" s="263"/>
      <c r="D105" s="264"/>
      <c r="E105" s="265">
        <f t="shared" si="3"/>
        <v>0</v>
      </c>
      <c r="F105" s="157"/>
      <c r="G105" s="263"/>
      <c r="H105" s="32">
        <f t="shared" si="4"/>
        <v>0</v>
      </c>
    </row>
    <row r="106" ht="22.5" customHeight="1">
      <c r="A106" s="261"/>
      <c r="B106" s="262"/>
      <c r="C106" s="263"/>
      <c r="D106" s="264"/>
      <c r="E106" s="265">
        <f t="shared" si="3"/>
        <v>0</v>
      </c>
      <c r="F106" s="157"/>
      <c r="G106" s="263"/>
      <c r="H106" s="32">
        <f t="shared" si="4"/>
        <v>0</v>
      </c>
    </row>
    <row r="107" ht="22.5" customHeight="1">
      <c r="A107" s="261"/>
      <c r="B107" s="262"/>
      <c r="C107" s="263"/>
      <c r="D107" s="264"/>
      <c r="E107" s="265">
        <f t="shared" si="3"/>
        <v>0</v>
      </c>
      <c r="F107" s="157"/>
      <c r="G107" s="263"/>
      <c r="H107" s="32">
        <f t="shared" si="4"/>
        <v>0</v>
      </c>
    </row>
    <row r="108" ht="22.5" customHeight="1">
      <c r="A108" s="261"/>
      <c r="B108" s="262"/>
      <c r="C108" s="263"/>
      <c r="D108" s="264"/>
      <c r="E108" s="265">
        <f t="shared" si="3"/>
        <v>0</v>
      </c>
      <c r="F108" s="157"/>
      <c r="G108" s="263"/>
      <c r="H108" s="32">
        <f t="shared" si="4"/>
        <v>0</v>
      </c>
    </row>
    <row r="109" ht="22.5" customHeight="1">
      <c r="A109" s="261"/>
      <c r="B109" s="262"/>
      <c r="C109" s="263"/>
      <c r="D109" s="264"/>
      <c r="E109" s="265">
        <f t="shared" si="3"/>
        <v>0</v>
      </c>
      <c r="F109" s="157"/>
      <c r="G109" s="263"/>
      <c r="H109" s="32">
        <f t="shared" si="4"/>
        <v>0</v>
      </c>
    </row>
    <row r="110" ht="22.5" customHeight="1">
      <c r="A110" s="261"/>
      <c r="B110" s="262"/>
      <c r="C110" s="263"/>
      <c r="D110" s="264"/>
      <c r="E110" s="265">
        <f t="shared" si="3"/>
        <v>0</v>
      </c>
      <c r="F110" s="157"/>
      <c r="G110" s="263"/>
      <c r="H110" s="32">
        <f t="shared" si="4"/>
        <v>0</v>
      </c>
    </row>
    <row r="111" ht="22.5" customHeight="1">
      <c r="A111" s="261"/>
      <c r="B111" s="262"/>
      <c r="C111" s="263"/>
      <c r="D111" s="264"/>
      <c r="E111" s="265">
        <f t="shared" si="3"/>
        <v>0</v>
      </c>
      <c r="F111" s="157"/>
      <c r="G111" s="263"/>
      <c r="H111" s="32">
        <f t="shared" si="4"/>
        <v>0</v>
      </c>
    </row>
    <row r="112" ht="22.5" customHeight="1">
      <c r="A112" s="261"/>
      <c r="B112" s="262"/>
      <c r="C112" s="263"/>
      <c r="D112" s="264"/>
      <c r="E112" s="265">
        <f t="shared" si="3"/>
        <v>0</v>
      </c>
      <c r="F112" s="157"/>
      <c r="G112" s="263"/>
      <c r="H112" s="32">
        <f t="shared" si="4"/>
        <v>0</v>
      </c>
    </row>
    <row r="113" ht="22.5" customHeight="1">
      <c r="A113" s="261"/>
      <c r="B113" s="262"/>
      <c r="C113" s="263"/>
      <c r="D113" s="264"/>
      <c r="E113" s="265">
        <f t="shared" si="3"/>
        <v>0</v>
      </c>
      <c r="F113" s="157"/>
      <c r="G113" s="263"/>
      <c r="H113" s="32">
        <f t="shared" si="4"/>
        <v>0</v>
      </c>
    </row>
    <row r="114" ht="22.5" customHeight="1">
      <c r="A114" s="261"/>
      <c r="B114" s="262"/>
      <c r="C114" s="263"/>
      <c r="D114" s="264"/>
      <c r="E114" s="265">
        <f t="shared" si="3"/>
        <v>0</v>
      </c>
      <c r="F114" s="157"/>
      <c r="G114" s="263"/>
      <c r="H114" s="272">
        <f t="shared" si="4"/>
        <v>0</v>
      </c>
    </row>
    <row r="115" ht="22.5" customHeight="1">
      <c r="A115" s="261"/>
      <c r="B115" s="262"/>
      <c r="C115" s="263"/>
      <c r="D115" s="264"/>
      <c r="E115" s="265">
        <f t="shared" si="3"/>
        <v>0</v>
      </c>
      <c r="F115" s="157"/>
      <c r="G115" s="263"/>
      <c r="H115" s="272">
        <f t="shared" si="4"/>
        <v>0</v>
      </c>
    </row>
    <row r="116" ht="22.5" customHeight="1">
      <c r="A116" s="261"/>
      <c r="B116" s="262"/>
      <c r="C116" s="263"/>
      <c r="D116" s="264"/>
      <c r="E116" s="265">
        <f t="shared" si="3"/>
        <v>0</v>
      </c>
      <c r="F116" s="157"/>
      <c r="G116" s="263"/>
      <c r="H116" s="272">
        <f t="shared" si="4"/>
        <v>0</v>
      </c>
    </row>
    <row r="117" ht="22.5" customHeight="1">
      <c r="A117" s="261"/>
      <c r="B117" s="262"/>
      <c r="C117" s="263"/>
      <c r="D117" s="264"/>
      <c r="E117" s="265">
        <f t="shared" si="3"/>
        <v>0</v>
      </c>
      <c r="F117" s="157"/>
      <c r="G117" s="263"/>
      <c r="H117" s="272">
        <f t="shared" si="4"/>
        <v>0</v>
      </c>
    </row>
    <row r="118" ht="22.5" customHeight="1">
      <c r="A118" s="261"/>
      <c r="B118" s="262"/>
      <c r="C118" s="263"/>
      <c r="D118" s="264"/>
      <c r="E118" s="265">
        <f t="shared" si="3"/>
        <v>0</v>
      </c>
      <c r="F118" s="157"/>
      <c r="G118" s="263"/>
      <c r="H118" s="272">
        <f t="shared" si="4"/>
        <v>0</v>
      </c>
    </row>
    <row r="119" ht="22.5" customHeight="1">
      <c r="A119" s="261"/>
      <c r="B119" s="262"/>
      <c r="C119" s="263"/>
      <c r="D119" s="264"/>
      <c r="E119" s="265">
        <f t="shared" si="3"/>
        <v>0</v>
      </c>
      <c r="F119" s="157"/>
      <c r="G119" s="263"/>
      <c r="H119" s="272">
        <f t="shared" si="4"/>
        <v>0</v>
      </c>
    </row>
    <row r="120" ht="22.5" customHeight="1">
      <c r="A120" s="261"/>
      <c r="B120" s="262"/>
      <c r="C120" s="263"/>
      <c r="D120" s="264"/>
      <c r="E120" s="265">
        <f t="shared" si="3"/>
        <v>0</v>
      </c>
      <c r="F120" s="157"/>
      <c r="G120" s="263"/>
      <c r="H120" s="272">
        <f t="shared" si="4"/>
        <v>0</v>
      </c>
    </row>
    <row r="121" ht="22.5" customHeight="1">
      <c r="A121" s="261"/>
      <c r="B121" s="262"/>
      <c r="C121" s="263"/>
      <c r="D121" s="264"/>
      <c r="E121" s="265">
        <f t="shared" si="3"/>
        <v>0</v>
      </c>
      <c r="F121" s="157"/>
      <c r="G121" s="263"/>
      <c r="H121" s="272">
        <f t="shared" si="4"/>
        <v>0</v>
      </c>
    </row>
    <row r="122" ht="22.5" customHeight="1">
      <c r="A122" s="261"/>
      <c r="B122" s="262"/>
      <c r="C122" s="263"/>
      <c r="D122" s="264"/>
      <c r="E122" s="265">
        <f t="shared" si="3"/>
        <v>0</v>
      </c>
      <c r="F122" s="157"/>
      <c r="G122" s="263"/>
      <c r="H122" s="272">
        <f t="shared" si="4"/>
        <v>0</v>
      </c>
    </row>
    <row r="123" ht="22.5" customHeight="1">
      <c r="A123" s="261"/>
      <c r="B123" s="262"/>
      <c r="C123" s="263"/>
      <c r="D123" s="264"/>
      <c r="E123" s="265">
        <f t="shared" si="3"/>
        <v>0</v>
      </c>
      <c r="F123" s="157"/>
      <c r="G123" s="263"/>
      <c r="H123" s="272">
        <f t="shared" si="4"/>
        <v>0</v>
      </c>
    </row>
    <row r="124" ht="22.5" customHeight="1">
      <c r="A124" s="261"/>
      <c r="B124" s="262"/>
      <c r="C124" s="263"/>
      <c r="D124" s="264"/>
      <c r="E124" s="265">
        <f t="shared" si="3"/>
        <v>0</v>
      </c>
      <c r="F124" s="157"/>
      <c r="G124" s="263"/>
      <c r="H124" s="272">
        <f t="shared" si="4"/>
        <v>0</v>
      </c>
    </row>
    <row r="125" ht="22.5" customHeight="1">
      <c r="A125" s="261"/>
      <c r="B125" s="262"/>
      <c r="C125" s="263"/>
      <c r="D125" s="264"/>
      <c r="E125" s="265">
        <f t="shared" si="3"/>
        <v>0</v>
      </c>
      <c r="F125" s="157"/>
      <c r="G125" s="263"/>
      <c r="H125" s="272">
        <f t="shared" si="4"/>
        <v>0</v>
      </c>
    </row>
    <row r="126" ht="22.5" customHeight="1">
      <c r="A126" s="261"/>
      <c r="B126" s="262"/>
      <c r="C126" s="263"/>
      <c r="D126" s="264"/>
      <c r="E126" s="265">
        <f t="shared" si="3"/>
        <v>0</v>
      </c>
      <c r="F126" s="157"/>
      <c r="G126" s="263"/>
      <c r="H126" s="272">
        <f t="shared" si="4"/>
        <v>0</v>
      </c>
    </row>
    <row r="127" ht="22.5" customHeight="1">
      <c r="A127" s="261"/>
      <c r="B127" s="262"/>
      <c r="C127" s="263"/>
      <c r="D127" s="264"/>
      <c r="E127" s="265">
        <f t="shared" si="3"/>
        <v>0</v>
      </c>
      <c r="F127" s="157"/>
      <c r="G127" s="263"/>
      <c r="H127" s="272">
        <f t="shared" si="4"/>
        <v>0</v>
      </c>
    </row>
    <row r="128" ht="22.5" customHeight="1">
      <c r="A128" s="261"/>
      <c r="B128" s="262"/>
      <c r="C128" s="263"/>
      <c r="D128" s="264"/>
      <c r="E128" s="265">
        <f t="shared" si="3"/>
        <v>0</v>
      </c>
      <c r="F128" s="157"/>
      <c r="G128" s="263"/>
      <c r="H128" s="272">
        <f t="shared" si="4"/>
        <v>0</v>
      </c>
    </row>
    <row r="129" ht="22.5" customHeight="1">
      <c r="A129" s="261"/>
      <c r="B129" s="262"/>
      <c r="C129" s="263"/>
      <c r="D129" s="264"/>
      <c r="E129" s="265">
        <f t="shared" si="3"/>
        <v>0</v>
      </c>
      <c r="F129" s="157"/>
      <c r="G129" s="263"/>
      <c r="H129" s="272">
        <f t="shared" si="4"/>
        <v>0</v>
      </c>
    </row>
    <row r="130" ht="22.5" customHeight="1">
      <c r="A130" s="261"/>
      <c r="B130" s="262"/>
      <c r="C130" s="263"/>
      <c r="D130" s="264"/>
      <c r="E130" s="265">
        <f t="shared" si="3"/>
        <v>0</v>
      </c>
      <c r="F130" s="157"/>
      <c r="G130" s="263"/>
      <c r="H130" s="272">
        <f t="shared" si="4"/>
        <v>0</v>
      </c>
    </row>
    <row r="131" ht="22.5" customHeight="1">
      <c r="A131" s="261"/>
      <c r="B131" s="262"/>
      <c r="C131" s="263"/>
      <c r="D131" s="264"/>
      <c r="E131" s="265">
        <f t="shared" si="3"/>
        <v>0</v>
      </c>
      <c r="F131" s="157"/>
      <c r="G131" s="263"/>
      <c r="H131" s="272">
        <f t="shared" si="4"/>
        <v>0</v>
      </c>
    </row>
    <row r="132" ht="22.5" customHeight="1">
      <c r="A132" s="261"/>
      <c r="B132" s="262"/>
      <c r="C132" s="263"/>
      <c r="D132" s="264"/>
      <c r="E132" s="265">
        <f t="shared" si="3"/>
        <v>0</v>
      </c>
      <c r="F132" s="157"/>
      <c r="G132" s="263"/>
      <c r="H132" s="272">
        <f t="shared" si="4"/>
        <v>0</v>
      </c>
    </row>
    <row r="133" ht="22.5" customHeight="1">
      <c r="A133" s="261"/>
      <c r="B133" s="262"/>
      <c r="C133" s="263"/>
      <c r="D133" s="264"/>
      <c r="E133" s="265">
        <f t="shared" si="3"/>
        <v>0</v>
      </c>
      <c r="F133" s="157"/>
      <c r="G133" s="263"/>
      <c r="H133" s="272">
        <f t="shared" si="4"/>
        <v>0</v>
      </c>
    </row>
    <row r="134" ht="22.5" customHeight="1">
      <c r="A134" s="261"/>
      <c r="B134" s="262"/>
      <c r="C134" s="263"/>
      <c r="D134" s="264"/>
      <c r="E134" s="265">
        <f t="shared" si="3"/>
        <v>0</v>
      </c>
      <c r="F134" s="157"/>
      <c r="G134" s="263"/>
      <c r="H134" s="272">
        <f t="shared" si="4"/>
        <v>0</v>
      </c>
    </row>
    <row r="135" ht="22.5" customHeight="1">
      <c r="A135" s="261"/>
      <c r="B135" s="262"/>
      <c r="C135" s="263"/>
      <c r="D135" s="264"/>
      <c r="E135" s="265">
        <f t="shared" si="3"/>
        <v>0</v>
      </c>
      <c r="F135" s="157"/>
      <c r="G135" s="263"/>
      <c r="H135" s="272">
        <f t="shared" si="4"/>
        <v>0</v>
      </c>
    </row>
    <row r="136" ht="22.5" customHeight="1">
      <c r="A136" s="261"/>
      <c r="B136" s="262"/>
      <c r="C136" s="263"/>
      <c r="D136" s="264"/>
      <c r="E136" s="265">
        <f t="shared" si="3"/>
        <v>0</v>
      </c>
      <c r="F136" s="157"/>
      <c r="G136" s="263"/>
      <c r="H136" s="272">
        <f t="shared" si="4"/>
        <v>0</v>
      </c>
    </row>
    <row r="137" ht="22.5" customHeight="1">
      <c r="A137" s="261"/>
      <c r="B137" s="262"/>
      <c r="C137" s="263"/>
      <c r="D137" s="264"/>
      <c r="E137" s="265">
        <f t="shared" si="3"/>
        <v>0</v>
      </c>
      <c r="F137" s="157"/>
      <c r="G137" s="263"/>
      <c r="H137" s="272">
        <f t="shared" si="4"/>
        <v>0</v>
      </c>
    </row>
    <row r="138" ht="22.5" customHeight="1">
      <c r="A138" s="261"/>
      <c r="B138" s="262"/>
      <c r="C138" s="263"/>
      <c r="D138" s="264"/>
      <c r="E138" s="265">
        <f t="shared" si="3"/>
        <v>0</v>
      </c>
      <c r="F138" s="157"/>
      <c r="G138" s="263"/>
      <c r="H138" s="272">
        <f t="shared" si="4"/>
        <v>0</v>
      </c>
    </row>
    <row r="139" ht="22.5" customHeight="1">
      <c r="A139" s="261"/>
      <c r="B139" s="262"/>
      <c r="C139" s="263"/>
      <c r="D139" s="264"/>
      <c r="E139" s="265">
        <f t="shared" si="3"/>
        <v>0</v>
      </c>
      <c r="F139" s="157"/>
      <c r="G139" s="263"/>
      <c r="H139" s="272">
        <f t="shared" si="4"/>
        <v>0</v>
      </c>
    </row>
    <row r="140" ht="22.5" customHeight="1">
      <c r="A140" s="261"/>
      <c r="B140" s="262"/>
      <c r="C140" s="263"/>
      <c r="D140" s="264"/>
      <c r="E140" s="265">
        <f t="shared" si="3"/>
        <v>0</v>
      </c>
      <c r="F140" s="157"/>
      <c r="G140" s="263"/>
      <c r="H140" s="272">
        <f t="shared" si="4"/>
        <v>0</v>
      </c>
    </row>
    <row r="141" ht="22.5" customHeight="1">
      <c r="A141" s="261"/>
      <c r="B141" s="262"/>
      <c r="C141" s="263"/>
      <c r="D141" s="264"/>
      <c r="E141" s="265">
        <f t="shared" si="3"/>
        <v>0</v>
      </c>
      <c r="F141" s="157"/>
      <c r="G141" s="263"/>
      <c r="H141" s="272">
        <f t="shared" si="4"/>
        <v>0</v>
      </c>
    </row>
    <row r="142" ht="22.5" customHeight="1">
      <c r="A142" s="261"/>
      <c r="B142" s="262"/>
      <c r="C142" s="263"/>
      <c r="D142" s="264"/>
      <c r="E142" s="265">
        <f t="shared" si="3"/>
        <v>0</v>
      </c>
      <c r="F142" s="157"/>
      <c r="G142" s="263"/>
      <c r="H142" s="272">
        <f t="shared" si="4"/>
        <v>0</v>
      </c>
    </row>
    <row r="143" ht="22.5" customHeight="1">
      <c r="A143" s="261"/>
      <c r="B143" s="262"/>
      <c r="C143" s="263"/>
      <c r="D143" s="264"/>
      <c r="E143" s="265">
        <f t="shared" si="3"/>
        <v>0</v>
      </c>
      <c r="F143" s="157"/>
      <c r="G143" s="263"/>
      <c r="H143" s="272">
        <f t="shared" si="4"/>
        <v>0</v>
      </c>
    </row>
    <row r="144" ht="22.5" customHeight="1">
      <c r="A144" s="261"/>
      <c r="B144" s="262"/>
      <c r="C144" s="263"/>
      <c r="D144" s="264"/>
      <c r="E144" s="265">
        <f t="shared" si="3"/>
        <v>0</v>
      </c>
      <c r="F144" s="157"/>
      <c r="G144" s="263"/>
      <c r="H144" s="272">
        <f t="shared" si="4"/>
        <v>0</v>
      </c>
    </row>
    <row r="145" ht="22.5" customHeight="1">
      <c r="A145" s="261"/>
      <c r="B145" s="262"/>
      <c r="C145" s="263"/>
      <c r="D145" s="264"/>
      <c r="E145" s="265">
        <f t="shared" si="3"/>
        <v>0</v>
      </c>
      <c r="F145" s="157"/>
      <c r="G145" s="263"/>
      <c r="H145" s="272">
        <f t="shared" si="4"/>
        <v>0</v>
      </c>
    </row>
    <row r="146" ht="22.5" customHeight="1">
      <c r="A146" s="261"/>
      <c r="B146" s="262"/>
      <c r="C146" s="263"/>
      <c r="D146" s="264"/>
      <c r="E146" s="265">
        <f t="shared" si="3"/>
        <v>0</v>
      </c>
      <c r="F146" s="157"/>
      <c r="G146" s="263"/>
      <c r="H146" s="272">
        <f t="shared" si="4"/>
        <v>0</v>
      </c>
    </row>
    <row r="147" ht="22.5" customHeight="1">
      <c r="A147" s="261"/>
      <c r="B147" s="262"/>
      <c r="C147" s="263"/>
      <c r="D147" s="264"/>
      <c r="E147" s="265">
        <f t="shared" si="3"/>
        <v>0</v>
      </c>
      <c r="F147" s="157"/>
      <c r="G147" s="263"/>
      <c r="H147" s="272">
        <f t="shared" si="4"/>
        <v>0</v>
      </c>
    </row>
    <row r="148" ht="22.5" customHeight="1">
      <c r="A148" s="261"/>
      <c r="B148" s="262"/>
      <c r="C148" s="263"/>
      <c r="D148" s="264"/>
      <c r="E148" s="265">
        <f t="shared" si="3"/>
        <v>0</v>
      </c>
      <c r="F148" s="157"/>
      <c r="G148" s="263"/>
      <c r="H148" s="272">
        <f t="shared" si="4"/>
        <v>0</v>
      </c>
    </row>
    <row r="149" ht="22.5" customHeight="1">
      <c r="A149" s="261"/>
      <c r="B149" s="262"/>
      <c r="C149" s="263"/>
      <c r="D149" s="264"/>
      <c r="E149" s="265">
        <f t="shared" si="3"/>
        <v>0</v>
      </c>
      <c r="F149" s="157"/>
      <c r="G149" s="263"/>
      <c r="H149" s="272">
        <f t="shared" si="4"/>
        <v>0</v>
      </c>
    </row>
    <row r="150" ht="22.5" customHeight="1">
      <c r="A150" s="261"/>
      <c r="B150" s="262"/>
      <c r="C150" s="263"/>
      <c r="D150" s="264"/>
      <c r="E150" s="265">
        <f t="shared" si="3"/>
        <v>0</v>
      </c>
      <c r="F150" s="157"/>
      <c r="G150" s="263"/>
      <c r="H150" s="272">
        <f t="shared" si="4"/>
        <v>0</v>
      </c>
    </row>
    <row r="151" ht="22.5" customHeight="1">
      <c r="A151" s="261"/>
      <c r="B151" s="262"/>
      <c r="C151" s="263"/>
      <c r="D151" s="264"/>
      <c r="E151" s="265">
        <f t="shared" si="3"/>
        <v>0</v>
      </c>
      <c r="F151" s="157"/>
      <c r="G151" s="263"/>
      <c r="H151" s="272">
        <f t="shared" si="4"/>
        <v>0</v>
      </c>
    </row>
    <row r="152" ht="22.5" customHeight="1">
      <c r="A152" s="261"/>
      <c r="B152" s="262"/>
      <c r="C152" s="263"/>
      <c r="D152" s="264"/>
      <c r="E152" s="265">
        <f t="shared" si="3"/>
        <v>0</v>
      </c>
      <c r="F152" s="157"/>
      <c r="G152" s="263"/>
      <c r="H152" s="272">
        <f t="shared" si="4"/>
        <v>0</v>
      </c>
    </row>
    <row r="153" ht="22.5" customHeight="1">
      <c r="A153" s="261"/>
      <c r="B153" s="262"/>
      <c r="C153" s="263"/>
      <c r="D153" s="264"/>
      <c r="E153" s="265">
        <f t="shared" si="3"/>
        <v>0</v>
      </c>
      <c r="F153" s="157"/>
      <c r="G153" s="263"/>
      <c r="H153" s="272">
        <f t="shared" si="4"/>
        <v>0</v>
      </c>
    </row>
    <row r="154" ht="22.5" customHeight="1">
      <c r="A154" s="261"/>
      <c r="B154" s="262"/>
      <c r="C154" s="263"/>
      <c r="D154" s="264"/>
      <c r="E154" s="265">
        <f t="shared" si="3"/>
        <v>0</v>
      </c>
      <c r="F154" s="157"/>
      <c r="G154" s="263"/>
      <c r="H154" s="272">
        <f t="shared" si="4"/>
        <v>0</v>
      </c>
    </row>
    <row r="155" ht="22.5" customHeight="1">
      <c r="A155" s="261"/>
      <c r="B155" s="262"/>
      <c r="C155" s="263"/>
      <c r="D155" s="264"/>
      <c r="E155" s="265">
        <f t="shared" si="3"/>
        <v>0</v>
      </c>
      <c r="F155" s="157"/>
      <c r="G155" s="263"/>
      <c r="H155" s="272">
        <f t="shared" si="4"/>
        <v>0</v>
      </c>
    </row>
    <row r="156" ht="22.5" customHeight="1">
      <c r="A156" s="261"/>
      <c r="B156" s="262"/>
      <c r="C156" s="263"/>
      <c r="D156" s="264"/>
      <c r="E156" s="265">
        <f t="shared" si="3"/>
        <v>0</v>
      </c>
      <c r="F156" s="157"/>
      <c r="G156" s="263"/>
      <c r="H156" s="272">
        <f t="shared" si="4"/>
        <v>0</v>
      </c>
    </row>
    <row r="157" ht="22.5" customHeight="1">
      <c r="A157" s="261"/>
      <c r="B157" s="262"/>
      <c r="C157" s="263"/>
      <c r="D157" s="264"/>
      <c r="E157" s="265">
        <f t="shared" si="3"/>
        <v>0</v>
      </c>
      <c r="F157" s="157"/>
      <c r="G157" s="263"/>
      <c r="H157" s="272">
        <f t="shared" si="4"/>
        <v>0</v>
      </c>
    </row>
    <row r="158" ht="22.5" customHeight="1">
      <c r="A158" s="261"/>
      <c r="B158" s="262"/>
      <c r="C158" s="263"/>
      <c r="D158" s="264"/>
      <c r="E158" s="265">
        <f t="shared" si="3"/>
        <v>0</v>
      </c>
      <c r="F158" s="157"/>
      <c r="G158" s="263"/>
      <c r="H158" s="272">
        <f t="shared" si="4"/>
        <v>0</v>
      </c>
    </row>
    <row r="159" ht="22.5" customHeight="1">
      <c r="A159" s="261"/>
      <c r="B159" s="262"/>
      <c r="C159" s="263"/>
      <c r="D159" s="264"/>
      <c r="E159" s="265">
        <f t="shared" si="3"/>
        <v>0</v>
      </c>
      <c r="F159" s="157"/>
      <c r="G159" s="263"/>
      <c r="H159" s="272">
        <f t="shared" si="4"/>
        <v>0</v>
      </c>
    </row>
    <row r="160" ht="22.5" customHeight="1">
      <c r="A160" s="261"/>
      <c r="B160" s="262"/>
      <c r="C160" s="263"/>
      <c r="D160" s="264"/>
      <c r="E160" s="265">
        <f t="shared" si="3"/>
        <v>0</v>
      </c>
      <c r="F160" s="157"/>
      <c r="G160" s="263"/>
      <c r="H160" s="272">
        <f t="shared" si="4"/>
        <v>0</v>
      </c>
    </row>
    <row r="161" ht="22.5" customHeight="1">
      <c r="A161" s="261"/>
      <c r="B161" s="262"/>
      <c r="C161" s="263"/>
      <c r="D161" s="264"/>
      <c r="E161" s="265">
        <f t="shared" si="3"/>
        <v>0</v>
      </c>
      <c r="F161" s="157"/>
      <c r="G161" s="263"/>
      <c r="H161" s="272">
        <f t="shared" si="4"/>
        <v>0</v>
      </c>
    </row>
    <row r="162" ht="22.5" customHeight="1">
      <c r="A162" s="261"/>
      <c r="B162" s="262"/>
      <c r="C162" s="263"/>
      <c r="D162" s="264"/>
      <c r="E162" s="265">
        <f t="shared" si="3"/>
        <v>0</v>
      </c>
      <c r="F162" s="157"/>
      <c r="G162" s="263"/>
      <c r="H162" s="272">
        <f t="shared" si="4"/>
        <v>0</v>
      </c>
    </row>
    <row r="163" ht="22.5" customHeight="1">
      <c r="A163" s="261"/>
      <c r="B163" s="262"/>
      <c r="C163" s="263"/>
      <c r="D163" s="264"/>
      <c r="E163" s="265">
        <f t="shared" si="3"/>
        <v>0</v>
      </c>
      <c r="F163" s="157"/>
      <c r="G163" s="263"/>
      <c r="H163" s="272">
        <f t="shared" si="4"/>
        <v>0</v>
      </c>
    </row>
    <row r="164" ht="22.5" customHeight="1">
      <c r="A164" s="261"/>
      <c r="B164" s="262"/>
      <c r="C164" s="263"/>
      <c r="D164" s="264"/>
      <c r="E164" s="265">
        <f t="shared" si="3"/>
        <v>0</v>
      </c>
      <c r="F164" s="157"/>
      <c r="G164" s="263"/>
      <c r="H164" s="272">
        <f t="shared" si="4"/>
        <v>0</v>
      </c>
    </row>
    <row r="165" ht="22.5" customHeight="1">
      <c r="A165" s="261"/>
      <c r="B165" s="262"/>
      <c r="C165" s="263"/>
      <c r="D165" s="264"/>
      <c r="E165" s="265">
        <f t="shared" si="3"/>
        <v>0</v>
      </c>
      <c r="F165" s="157"/>
      <c r="G165" s="263"/>
      <c r="H165" s="272">
        <f t="shared" si="4"/>
        <v>0</v>
      </c>
    </row>
    <row r="166" ht="22.5" customHeight="1">
      <c r="A166" s="261"/>
      <c r="B166" s="262"/>
      <c r="C166" s="263"/>
      <c r="D166" s="264"/>
      <c r="E166" s="265">
        <f t="shared" si="3"/>
        <v>0</v>
      </c>
      <c r="F166" s="157"/>
      <c r="G166" s="263"/>
      <c r="H166" s="272">
        <f t="shared" si="4"/>
        <v>0</v>
      </c>
    </row>
    <row r="167" ht="22.5" customHeight="1">
      <c r="A167" s="261"/>
      <c r="B167" s="262"/>
      <c r="C167" s="263"/>
      <c r="D167" s="264"/>
      <c r="E167" s="265">
        <f t="shared" si="3"/>
        <v>0</v>
      </c>
      <c r="F167" s="157"/>
      <c r="G167" s="263"/>
      <c r="H167" s="272">
        <f t="shared" si="4"/>
        <v>0</v>
      </c>
    </row>
    <row r="168" ht="22.5" customHeight="1">
      <c r="A168" s="261"/>
      <c r="B168" s="262"/>
      <c r="C168" s="263"/>
      <c r="D168" s="264"/>
      <c r="E168" s="265">
        <f t="shared" si="3"/>
        <v>0</v>
      </c>
      <c r="F168" s="157"/>
      <c r="G168" s="263"/>
      <c r="H168" s="272">
        <f t="shared" si="4"/>
        <v>0</v>
      </c>
    </row>
    <row r="169" ht="22.5" customHeight="1">
      <c r="A169" s="261"/>
      <c r="B169" s="262"/>
      <c r="C169" s="263"/>
      <c r="D169" s="264"/>
      <c r="E169" s="265">
        <f t="shared" si="3"/>
        <v>0</v>
      </c>
      <c r="F169" s="157"/>
      <c r="G169" s="263"/>
      <c r="H169" s="272">
        <f t="shared" si="4"/>
        <v>0</v>
      </c>
    </row>
    <row r="170" ht="22.5" customHeight="1">
      <c r="A170" s="261"/>
      <c r="B170" s="262"/>
      <c r="C170" s="263"/>
      <c r="D170" s="264"/>
      <c r="E170" s="265">
        <f t="shared" si="3"/>
        <v>0</v>
      </c>
      <c r="F170" s="157"/>
      <c r="G170" s="263"/>
      <c r="H170" s="272">
        <f t="shared" si="4"/>
        <v>0</v>
      </c>
    </row>
    <row r="171" ht="22.5" customHeight="1">
      <c r="A171" s="261"/>
      <c r="B171" s="262"/>
      <c r="C171" s="263"/>
      <c r="D171" s="264"/>
      <c r="E171" s="265">
        <f t="shared" si="3"/>
        <v>0</v>
      </c>
      <c r="F171" s="157"/>
      <c r="G171" s="263"/>
      <c r="H171" s="272">
        <f t="shared" si="4"/>
        <v>0</v>
      </c>
    </row>
    <row r="172" ht="22.5" customHeight="1">
      <c r="A172" s="261"/>
      <c r="B172" s="262"/>
      <c r="C172" s="263"/>
      <c r="D172" s="264"/>
      <c r="E172" s="265">
        <f t="shared" si="3"/>
        <v>0</v>
      </c>
      <c r="F172" s="157"/>
      <c r="G172" s="263"/>
      <c r="H172" s="272">
        <f t="shared" si="4"/>
        <v>0</v>
      </c>
    </row>
    <row r="173" ht="22.5" customHeight="1">
      <c r="A173" s="261"/>
      <c r="B173" s="262"/>
      <c r="C173" s="263"/>
      <c r="D173" s="264"/>
      <c r="E173" s="265">
        <f t="shared" si="3"/>
        <v>0</v>
      </c>
      <c r="F173" s="157"/>
      <c r="G173" s="263"/>
      <c r="H173" s="272">
        <f t="shared" si="4"/>
        <v>0</v>
      </c>
    </row>
    <row r="174" ht="22.5" customHeight="1">
      <c r="A174" s="261"/>
      <c r="B174" s="262"/>
      <c r="C174" s="263"/>
      <c r="D174" s="264"/>
      <c r="E174" s="265">
        <f t="shared" si="3"/>
        <v>0</v>
      </c>
      <c r="F174" s="157"/>
      <c r="G174" s="263"/>
      <c r="H174" s="272">
        <f t="shared" si="4"/>
        <v>0</v>
      </c>
    </row>
    <row r="175" ht="22.5" customHeight="1">
      <c r="A175" s="261"/>
      <c r="B175" s="262"/>
      <c r="C175" s="263"/>
      <c r="D175" s="264"/>
      <c r="E175" s="265">
        <f t="shared" si="3"/>
        <v>0</v>
      </c>
      <c r="F175" s="157"/>
      <c r="G175" s="263"/>
      <c r="H175" s="272">
        <f t="shared" si="4"/>
        <v>0</v>
      </c>
    </row>
    <row r="176" ht="22.5" customHeight="1">
      <c r="A176" s="261"/>
      <c r="B176" s="262"/>
      <c r="C176" s="263"/>
      <c r="D176" s="264"/>
      <c r="E176" s="265">
        <f t="shared" si="3"/>
        <v>0</v>
      </c>
      <c r="F176" s="157"/>
      <c r="G176" s="263"/>
      <c r="H176" s="272">
        <f t="shared" si="4"/>
        <v>0</v>
      </c>
    </row>
    <row r="177" ht="22.5" customHeight="1">
      <c r="A177" s="261"/>
      <c r="B177" s="262"/>
      <c r="C177" s="263"/>
      <c r="D177" s="264"/>
      <c r="E177" s="265">
        <f t="shared" si="3"/>
        <v>0</v>
      </c>
      <c r="F177" s="157"/>
      <c r="G177" s="263"/>
      <c r="H177" s="272">
        <f t="shared" si="4"/>
        <v>0</v>
      </c>
    </row>
    <row r="178" ht="22.5" customHeight="1">
      <c r="A178" s="261"/>
      <c r="B178" s="262"/>
      <c r="C178" s="263"/>
      <c r="D178" s="264"/>
      <c r="E178" s="265">
        <f t="shared" si="3"/>
        <v>0</v>
      </c>
      <c r="F178" s="157"/>
      <c r="G178" s="263"/>
      <c r="H178" s="272">
        <f t="shared" si="4"/>
        <v>0</v>
      </c>
    </row>
    <row r="179" ht="22.5" customHeight="1">
      <c r="A179" s="261"/>
      <c r="B179" s="262"/>
      <c r="C179" s="263"/>
      <c r="D179" s="264"/>
      <c r="E179" s="265">
        <f t="shared" si="3"/>
        <v>0</v>
      </c>
      <c r="F179" s="157"/>
      <c r="G179" s="263"/>
      <c r="H179" s="272">
        <f t="shared" si="4"/>
        <v>0</v>
      </c>
    </row>
    <row r="180" ht="22.5" customHeight="1">
      <c r="A180" s="261"/>
      <c r="B180" s="262"/>
      <c r="C180" s="263"/>
      <c r="D180" s="264"/>
      <c r="E180" s="265">
        <f t="shared" si="3"/>
        <v>0</v>
      </c>
      <c r="F180" s="157"/>
      <c r="G180" s="263"/>
      <c r="H180" s="272">
        <f t="shared" si="4"/>
        <v>0</v>
      </c>
    </row>
    <row r="181" ht="22.5" customHeight="1">
      <c r="A181" s="261"/>
      <c r="B181" s="262"/>
      <c r="C181" s="263"/>
      <c r="D181" s="264"/>
      <c r="E181" s="265">
        <f t="shared" si="3"/>
        <v>0</v>
      </c>
      <c r="F181" s="157"/>
      <c r="G181" s="263"/>
      <c r="H181" s="272">
        <f t="shared" si="4"/>
        <v>0</v>
      </c>
    </row>
    <row r="182" ht="22.5" customHeight="1">
      <c r="A182" s="261"/>
      <c r="B182" s="262"/>
      <c r="C182" s="263"/>
      <c r="D182" s="264"/>
      <c r="E182" s="265">
        <f t="shared" si="3"/>
        <v>0</v>
      </c>
      <c r="F182" s="157"/>
      <c r="G182" s="263"/>
      <c r="H182" s="272">
        <f t="shared" si="4"/>
        <v>0</v>
      </c>
    </row>
    <row r="183" ht="22.5" customHeight="1">
      <c r="A183" s="261"/>
      <c r="B183" s="262"/>
      <c r="C183" s="263"/>
      <c r="D183" s="264"/>
      <c r="E183" s="265">
        <f t="shared" si="3"/>
        <v>0</v>
      </c>
      <c r="F183" s="157"/>
      <c r="G183" s="263"/>
      <c r="H183" s="272">
        <f t="shared" si="4"/>
        <v>0</v>
      </c>
    </row>
    <row r="184" ht="22.5" customHeight="1">
      <c r="A184" s="261"/>
      <c r="B184" s="262"/>
      <c r="C184" s="263"/>
      <c r="D184" s="264"/>
      <c r="E184" s="265">
        <f t="shared" si="3"/>
        <v>0</v>
      </c>
      <c r="F184" s="157"/>
      <c r="G184" s="263"/>
      <c r="H184" s="272">
        <f t="shared" si="4"/>
        <v>0</v>
      </c>
    </row>
    <row r="185" ht="22.5" customHeight="1">
      <c r="A185" s="261"/>
      <c r="B185" s="262"/>
      <c r="C185" s="263"/>
      <c r="D185" s="264"/>
      <c r="E185" s="265">
        <f t="shared" si="3"/>
        <v>0</v>
      </c>
      <c r="F185" s="157"/>
      <c r="G185" s="263"/>
      <c r="H185" s="272">
        <f t="shared" si="4"/>
        <v>0</v>
      </c>
    </row>
    <row r="186" ht="22.5" customHeight="1">
      <c r="A186" s="261"/>
      <c r="B186" s="262"/>
      <c r="C186" s="263"/>
      <c r="D186" s="264"/>
      <c r="E186" s="265">
        <f t="shared" si="3"/>
        <v>0</v>
      </c>
      <c r="F186" s="157"/>
      <c r="G186" s="263"/>
      <c r="H186" s="272">
        <f t="shared" si="4"/>
        <v>0</v>
      </c>
    </row>
    <row r="187" ht="22.5" customHeight="1">
      <c r="A187" s="261"/>
      <c r="B187" s="262"/>
      <c r="C187" s="263"/>
      <c r="D187" s="264"/>
      <c r="E187" s="265">
        <f t="shared" si="3"/>
        <v>0</v>
      </c>
      <c r="F187" s="157"/>
      <c r="G187" s="263"/>
      <c r="H187" s="272">
        <f t="shared" si="4"/>
        <v>0</v>
      </c>
    </row>
    <row r="188" ht="22.5" customHeight="1">
      <c r="A188" s="261"/>
      <c r="B188" s="262"/>
      <c r="C188" s="263"/>
      <c r="D188" s="264"/>
      <c r="E188" s="265">
        <f t="shared" si="3"/>
        <v>0</v>
      </c>
      <c r="F188" s="157"/>
      <c r="G188" s="263"/>
      <c r="H188" s="272">
        <f t="shared" si="4"/>
        <v>0</v>
      </c>
    </row>
    <row r="189" ht="22.5" customHeight="1">
      <c r="A189" s="261"/>
      <c r="B189" s="262"/>
      <c r="C189" s="263"/>
      <c r="D189" s="264"/>
      <c r="E189" s="265">
        <f t="shared" si="3"/>
        <v>0</v>
      </c>
      <c r="F189" s="157"/>
      <c r="G189" s="263"/>
      <c r="H189" s="272">
        <f t="shared" si="4"/>
        <v>0</v>
      </c>
    </row>
    <row r="190" ht="22.5" customHeight="1">
      <c r="A190" s="261"/>
      <c r="B190" s="262"/>
      <c r="C190" s="263"/>
      <c r="D190" s="264"/>
      <c r="E190" s="265">
        <f t="shared" si="3"/>
        <v>0</v>
      </c>
      <c r="F190" s="157"/>
      <c r="G190" s="263"/>
      <c r="H190" s="272">
        <f t="shared" si="4"/>
        <v>0</v>
      </c>
    </row>
    <row r="191" ht="22.5" customHeight="1">
      <c r="A191" s="261"/>
      <c r="B191" s="262"/>
      <c r="C191" s="263"/>
      <c r="D191" s="264"/>
      <c r="E191" s="265">
        <f t="shared" si="3"/>
        <v>0</v>
      </c>
      <c r="F191" s="157"/>
      <c r="G191" s="263"/>
      <c r="H191" s="272">
        <f t="shared" si="4"/>
        <v>0</v>
      </c>
    </row>
    <row r="192" ht="22.5" customHeight="1">
      <c r="A192" s="261"/>
      <c r="B192" s="262"/>
      <c r="C192" s="263"/>
      <c r="D192" s="264"/>
      <c r="E192" s="265">
        <f t="shared" si="3"/>
        <v>0</v>
      </c>
      <c r="F192" s="157"/>
      <c r="G192" s="263"/>
      <c r="H192" s="272">
        <f t="shared" si="4"/>
        <v>0</v>
      </c>
    </row>
    <row r="193" ht="22.5" customHeight="1">
      <c r="A193" s="261"/>
      <c r="B193" s="262"/>
      <c r="C193" s="263"/>
      <c r="D193" s="264"/>
      <c r="E193" s="265">
        <f t="shared" si="3"/>
        <v>0</v>
      </c>
      <c r="F193" s="157"/>
      <c r="G193" s="263"/>
      <c r="H193" s="272">
        <f t="shared" si="4"/>
        <v>0</v>
      </c>
    </row>
    <row r="194" ht="22.5" customHeight="1">
      <c r="A194" s="261"/>
      <c r="B194" s="262"/>
      <c r="C194" s="263"/>
      <c r="D194" s="264"/>
      <c r="E194" s="265">
        <f t="shared" si="3"/>
        <v>0</v>
      </c>
      <c r="F194" s="157"/>
      <c r="G194" s="263"/>
      <c r="H194" s="272">
        <f t="shared" si="4"/>
        <v>0</v>
      </c>
    </row>
    <row r="195" ht="22.5" customHeight="1">
      <c r="A195" s="261"/>
      <c r="B195" s="262"/>
      <c r="C195" s="263"/>
      <c r="D195" s="264"/>
      <c r="E195" s="265">
        <f t="shared" si="3"/>
        <v>0</v>
      </c>
      <c r="F195" s="157"/>
      <c r="G195" s="263"/>
      <c r="H195" s="272">
        <f t="shared" si="4"/>
        <v>0</v>
      </c>
    </row>
    <row r="196" ht="22.5" customHeight="1">
      <c r="A196" s="261"/>
      <c r="B196" s="262"/>
      <c r="C196" s="263"/>
      <c r="D196" s="264"/>
      <c r="E196" s="265">
        <f t="shared" si="3"/>
        <v>0</v>
      </c>
      <c r="F196" s="157"/>
      <c r="G196" s="263"/>
      <c r="H196" s="272">
        <f t="shared" si="4"/>
        <v>0</v>
      </c>
    </row>
    <row r="197" ht="22.5" customHeight="1">
      <c r="A197" s="261"/>
      <c r="B197" s="262"/>
      <c r="C197" s="263"/>
      <c r="D197" s="264"/>
      <c r="E197" s="265">
        <f t="shared" si="3"/>
        <v>0</v>
      </c>
      <c r="F197" s="157"/>
      <c r="G197" s="263"/>
      <c r="H197" s="272">
        <f t="shared" si="4"/>
        <v>0</v>
      </c>
    </row>
    <row r="198" ht="22.5" customHeight="1">
      <c r="A198" s="261"/>
      <c r="B198" s="262"/>
      <c r="C198" s="263"/>
      <c r="D198" s="264"/>
      <c r="E198" s="265">
        <f t="shared" si="3"/>
        <v>0</v>
      </c>
      <c r="F198" s="157"/>
      <c r="G198" s="263"/>
      <c r="H198" s="272">
        <f t="shared" si="4"/>
        <v>0</v>
      </c>
    </row>
    <row r="199" ht="22.5" customHeight="1">
      <c r="A199" s="261"/>
      <c r="B199" s="262"/>
      <c r="C199" s="263"/>
      <c r="D199" s="264"/>
      <c r="E199" s="265">
        <f t="shared" si="3"/>
        <v>0</v>
      </c>
      <c r="F199" s="157"/>
      <c r="G199" s="263"/>
      <c r="H199" s="272">
        <f t="shared" si="4"/>
        <v>0</v>
      </c>
    </row>
    <row r="200" ht="22.5" customHeight="1">
      <c r="A200" s="261"/>
      <c r="B200" s="262"/>
      <c r="C200" s="263"/>
      <c r="D200" s="264"/>
      <c r="E200" s="265">
        <f t="shared" si="3"/>
        <v>0</v>
      </c>
      <c r="F200" s="157"/>
      <c r="G200" s="263"/>
      <c r="H200" s="272">
        <f t="shared" si="4"/>
        <v>0</v>
      </c>
    </row>
    <row r="201" ht="22.5" customHeight="1">
      <c r="A201" s="261"/>
      <c r="B201" s="262"/>
      <c r="C201" s="263"/>
      <c r="D201" s="264"/>
      <c r="E201" s="265">
        <f t="shared" si="3"/>
        <v>0</v>
      </c>
      <c r="F201" s="157"/>
      <c r="G201" s="263"/>
      <c r="H201" s="272">
        <f t="shared" si="4"/>
        <v>0</v>
      </c>
    </row>
    <row r="202" ht="22.5" customHeight="1">
      <c r="A202" s="261"/>
      <c r="B202" s="262"/>
      <c r="C202" s="263"/>
      <c r="D202" s="264"/>
      <c r="E202" s="265">
        <f t="shared" si="3"/>
        <v>0</v>
      </c>
      <c r="F202" s="157"/>
      <c r="G202" s="263"/>
      <c r="H202" s="272">
        <f t="shared" si="4"/>
        <v>0</v>
      </c>
    </row>
    <row r="203" ht="22.5" customHeight="1">
      <c r="A203" s="261"/>
      <c r="B203" s="262"/>
      <c r="C203" s="263"/>
      <c r="D203" s="264"/>
      <c r="E203" s="265">
        <f t="shared" si="3"/>
        <v>0</v>
      </c>
      <c r="F203" s="157"/>
      <c r="G203" s="263"/>
      <c r="H203" s="272">
        <f t="shared" si="4"/>
        <v>0</v>
      </c>
    </row>
    <row r="204" ht="22.5" customHeight="1">
      <c r="A204" s="261"/>
      <c r="B204" s="262"/>
      <c r="C204" s="263"/>
      <c r="D204" s="264"/>
      <c r="E204" s="265">
        <f t="shared" si="3"/>
        <v>0</v>
      </c>
      <c r="F204" s="157"/>
      <c r="G204" s="263"/>
      <c r="H204" s="272">
        <f t="shared" si="4"/>
        <v>0</v>
      </c>
    </row>
    <row r="205" ht="22.5" customHeight="1">
      <c r="A205" s="261"/>
      <c r="B205" s="262"/>
      <c r="C205" s="263"/>
      <c r="D205" s="264"/>
      <c r="E205" s="265">
        <f t="shared" si="3"/>
        <v>0</v>
      </c>
      <c r="F205" s="157"/>
      <c r="G205" s="263"/>
      <c r="H205" s="272">
        <f t="shared" si="4"/>
        <v>0</v>
      </c>
    </row>
    <row r="206" ht="22.5" customHeight="1">
      <c r="A206" s="261"/>
      <c r="B206" s="262"/>
      <c r="C206" s="263"/>
      <c r="D206" s="264"/>
      <c r="E206" s="265">
        <f t="shared" si="3"/>
        <v>0</v>
      </c>
      <c r="F206" s="157"/>
      <c r="G206" s="263"/>
      <c r="H206" s="272">
        <f t="shared" si="4"/>
        <v>0</v>
      </c>
    </row>
    <row r="207" ht="22.5" customHeight="1">
      <c r="A207" s="261"/>
      <c r="B207" s="262"/>
      <c r="C207" s="263"/>
      <c r="D207" s="264"/>
      <c r="E207" s="265">
        <f t="shared" si="3"/>
        <v>0</v>
      </c>
      <c r="F207" s="157"/>
      <c r="G207" s="263"/>
      <c r="H207" s="272">
        <f t="shared" si="4"/>
        <v>0</v>
      </c>
    </row>
    <row r="208" ht="22.5" customHeight="1">
      <c r="A208" s="261"/>
      <c r="B208" s="262"/>
      <c r="C208" s="263"/>
      <c r="D208" s="264"/>
      <c r="E208" s="265">
        <f t="shared" si="3"/>
        <v>0</v>
      </c>
      <c r="F208" s="157"/>
      <c r="G208" s="263"/>
      <c r="H208" s="272">
        <f t="shared" si="4"/>
        <v>0</v>
      </c>
    </row>
    <row r="209" ht="22.5" customHeight="1">
      <c r="A209" s="261"/>
      <c r="B209" s="262"/>
      <c r="C209" s="263"/>
      <c r="D209" s="264"/>
      <c r="E209" s="265">
        <f t="shared" si="3"/>
        <v>0</v>
      </c>
      <c r="F209" s="157"/>
      <c r="G209" s="263"/>
      <c r="H209" s="272">
        <f t="shared" si="4"/>
        <v>0</v>
      </c>
    </row>
    <row r="210" ht="22.5" customHeight="1">
      <c r="A210" s="261"/>
      <c r="B210" s="262"/>
      <c r="C210" s="263"/>
      <c r="D210" s="264"/>
      <c r="E210" s="265">
        <f t="shared" si="3"/>
        <v>0</v>
      </c>
      <c r="F210" s="157"/>
      <c r="G210" s="263"/>
      <c r="H210" s="272">
        <f t="shared" si="4"/>
        <v>0</v>
      </c>
    </row>
    <row r="211" ht="22.5" customHeight="1">
      <c r="A211" s="261"/>
      <c r="B211" s="262"/>
      <c r="C211" s="263"/>
      <c r="D211" s="264"/>
      <c r="E211" s="265">
        <f t="shared" si="3"/>
        <v>0</v>
      </c>
      <c r="F211" s="157"/>
      <c r="G211" s="263"/>
      <c r="H211" s="272">
        <f t="shared" si="4"/>
        <v>0</v>
      </c>
    </row>
    <row r="212" ht="22.5" customHeight="1">
      <c r="A212" s="261"/>
      <c r="B212" s="262"/>
      <c r="C212" s="263"/>
      <c r="D212" s="264"/>
      <c r="E212" s="265">
        <f t="shared" si="3"/>
        <v>0</v>
      </c>
      <c r="F212" s="157"/>
      <c r="G212" s="263"/>
      <c r="H212" s="272">
        <f t="shared" si="4"/>
        <v>0</v>
      </c>
    </row>
    <row r="213" ht="22.5" customHeight="1">
      <c r="A213" s="261"/>
      <c r="B213" s="262"/>
      <c r="C213" s="263"/>
      <c r="D213" s="264"/>
      <c r="E213" s="265">
        <f t="shared" si="3"/>
        <v>0</v>
      </c>
      <c r="F213" s="157"/>
      <c r="G213" s="263"/>
      <c r="H213" s="272">
        <f t="shared" si="4"/>
        <v>0</v>
      </c>
    </row>
    <row r="214" ht="22.5" customHeight="1">
      <c r="A214" s="261"/>
      <c r="B214" s="262"/>
      <c r="C214" s="263"/>
      <c r="D214" s="264"/>
      <c r="E214" s="265">
        <f t="shared" si="3"/>
        <v>0</v>
      </c>
      <c r="F214" s="157"/>
      <c r="G214" s="263"/>
      <c r="H214" s="272">
        <f t="shared" si="4"/>
        <v>0</v>
      </c>
    </row>
    <row r="215" ht="22.5" customHeight="1">
      <c r="A215" s="261"/>
      <c r="B215" s="262"/>
      <c r="C215" s="263"/>
      <c r="D215" s="264"/>
      <c r="E215" s="265">
        <f t="shared" si="3"/>
        <v>0</v>
      </c>
      <c r="F215" s="157"/>
      <c r="G215" s="263"/>
      <c r="H215" s="272">
        <f t="shared" si="4"/>
        <v>0</v>
      </c>
    </row>
    <row r="216" ht="22.5" customHeight="1">
      <c r="A216" s="261"/>
      <c r="B216" s="262"/>
      <c r="C216" s="263"/>
      <c r="D216" s="264"/>
      <c r="E216" s="265">
        <f t="shared" si="3"/>
        <v>0</v>
      </c>
      <c r="F216" s="157"/>
      <c r="G216" s="263"/>
      <c r="H216" s="272">
        <f t="shared" si="4"/>
        <v>0</v>
      </c>
    </row>
    <row r="217" ht="22.5" customHeight="1">
      <c r="A217" s="261"/>
      <c r="B217" s="262"/>
      <c r="C217" s="263"/>
      <c r="D217" s="264"/>
      <c r="E217" s="265">
        <f t="shared" si="3"/>
        <v>0</v>
      </c>
      <c r="F217" s="157"/>
      <c r="G217" s="263"/>
      <c r="H217" s="272">
        <f t="shared" si="4"/>
        <v>0</v>
      </c>
    </row>
    <row r="218" ht="22.5" customHeight="1">
      <c r="A218" s="261"/>
      <c r="B218" s="262"/>
      <c r="C218" s="263"/>
      <c r="D218" s="264"/>
      <c r="E218" s="265">
        <f t="shared" si="3"/>
        <v>0</v>
      </c>
      <c r="F218" s="157"/>
      <c r="G218" s="263"/>
      <c r="H218" s="272">
        <f t="shared" si="4"/>
        <v>0</v>
      </c>
    </row>
    <row r="219" ht="22.5" customHeight="1">
      <c r="A219" s="261"/>
      <c r="B219" s="262"/>
      <c r="C219" s="263"/>
      <c r="D219" s="264"/>
      <c r="E219" s="265">
        <f t="shared" si="3"/>
        <v>0</v>
      </c>
      <c r="F219" s="157"/>
      <c r="G219" s="263"/>
      <c r="H219" s="272">
        <f t="shared" si="4"/>
        <v>0</v>
      </c>
    </row>
    <row r="220" ht="22.5" customHeight="1">
      <c r="A220" s="261"/>
      <c r="B220" s="262"/>
      <c r="C220" s="263"/>
      <c r="D220" s="264"/>
      <c r="E220" s="265">
        <f t="shared" si="3"/>
        <v>0</v>
      </c>
      <c r="F220" s="157"/>
      <c r="G220" s="263"/>
      <c r="H220" s="272">
        <f t="shared" si="4"/>
        <v>0</v>
      </c>
    </row>
    <row r="221" ht="22.5" customHeight="1">
      <c r="A221" s="261"/>
      <c r="B221" s="262"/>
      <c r="C221" s="263"/>
      <c r="D221" s="264"/>
      <c r="E221" s="265">
        <f t="shared" si="3"/>
        <v>0</v>
      </c>
      <c r="F221" s="157"/>
      <c r="G221" s="263"/>
      <c r="H221" s="272">
        <f t="shared" si="4"/>
        <v>0</v>
      </c>
    </row>
    <row r="222" ht="22.5" customHeight="1">
      <c r="A222" s="261"/>
      <c r="B222" s="262"/>
      <c r="C222" s="263"/>
      <c r="D222" s="264"/>
      <c r="E222" s="265">
        <f t="shared" si="3"/>
        <v>0</v>
      </c>
      <c r="F222" s="157"/>
      <c r="G222" s="263"/>
      <c r="H222" s="272">
        <f t="shared" si="4"/>
        <v>0</v>
      </c>
    </row>
    <row r="223" ht="22.5" customHeight="1">
      <c r="A223" s="261"/>
      <c r="B223" s="262"/>
      <c r="C223" s="263"/>
      <c r="D223" s="264"/>
      <c r="E223" s="265">
        <f t="shared" si="3"/>
        <v>0</v>
      </c>
      <c r="F223" s="157"/>
      <c r="G223" s="263"/>
      <c r="H223" s="272">
        <f t="shared" si="4"/>
        <v>0</v>
      </c>
    </row>
    <row r="224" ht="22.5" customHeight="1">
      <c r="A224" s="261"/>
      <c r="B224" s="262"/>
      <c r="C224" s="263"/>
      <c r="D224" s="264"/>
      <c r="E224" s="265">
        <f t="shared" si="3"/>
        <v>0</v>
      </c>
      <c r="F224" s="157"/>
      <c r="G224" s="263"/>
      <c r="H224" s="272">
        <f t="shared" si="4"/>
        <v>0</v>
      </c>
    </row>
    <row r="225" ht="22.5" customHeight="1">
      <c r="A225" s="261"/>
      <c r="B225" s="262"/>
      <c r="C225" s="263"/>
      <c r="D225" s="264"/>
      <c r="E225" s="265">
        <f t="shared" si="3"/>
        <v>0</v>
      </c>
      <c r="F225" s="157"/>
      <c r="G225" s="263"/>
      <c r="H225" s="272">
        <f t="shared" si="4"/>
        <v>0</v>
      </c>
    </row>
    <row r="226" ht="22.5" customHeight="1">
      <c r="A226" s="261"/>
      <c r="B226" s="262"/>
      <c r="C226" s="263"/>
      <c r="D226" s="264"/>
      <c r="E226" s="265">
        <f t="shared" si="3"/>
        <v>0</v>
      </c>
      <c r="F226" s="157"/>
      <c r="G226" s="263"/>
      <c r="H226" s="272">
        <f t="shared" si="4"/>
        <v>0</v>
      </c>
    </row>
    <row r="227" ht="22.5" customHeight="1">
      <c r="A227" s="261"/>
      <c r="B227" s="262"/>
      <c r="C227" s="263"/>
      <c r="D227" s="264"/>
      <c r="E227" s="265">
        <f t="shared" si="3"/>
        <v>0</v>
      </c>
      <c r="F227" s="157"/>
      <c r="G227" s="263"/>
      <c r="H227" s="272">
        <f t="shared" si="4"/>
        <v>0</v>
      </c>
    </row>
    <row r="228" ht="22.5" customHeight="1">
      <c r="A228" s="261"/>
      <c r="B228" s="262"/>
      <c r="C228" s="263"/>
      <c r="D228" s="264"/>
      <c r="E228" s="265">
        <f t="shared" si="3"/>
        <v>0</v>
      </c>
      <c r="F228" s="157"/>
      <c r="G228" s="263"/>
      <c r="H228" s="272">
        <f t="shared" si="4"/>
        <v>0</v>
      </c>
    </row>
    <row r="229" ht="22.5" customHeight="1">
      <c r="A229" s="261"/>
      <c r="B229" s="262"/>
      <c r="C229" s="263"/>
      <c r="D229" s="264"/>
      <c r="E229" s="265">
        <f t="shared" si="3"/>
        <v>0</v>
      </c>
      <c r="F229" s="157"/>
      <c r="G229" s="263"/>
      <c r="H229" s="272">
        <f t="shared" si="4"/>
        <v>0</v>
      </c>
    </row>
    <row r="230" ht="22.5" customHeight="1">
      <c r="A230" s="261"/>
      <c r="B230" s="262"/>
      <c r="C230" s="263"/>
      <c r="D230" s="264"/>
      <c r="E230" s="265">
        <f t="shared" si="3"/>
        <v>0</v>
      </c>
      <c r="F230" s="157"/>
      <c r="G230" s="263"/>
      <c r="H230" s="272">
        <f t="shared" si="4"/>
        <v>0</v>
      </c>
    </row>
    <row r="231" ht="22.5" customHeight="1">
      <c r="A231" s="261"/>
      <c r="B231" s="262"/>
      <c r="C231" s="263"/>
      <c r="D231" s="264"/>
      <c r="E231" s="265">
        <f t="shared" si="3"/>
        <v>0</v>
      </c>
      <c r="F231" s="157"/>
      <c r="G231" s="263"/>
      <c r="H231" s="272">
        <f t="shared" si="4"/>
        <v>0</v>
      </c>
    </row>
    <row r="232" ht="22.5" customHeight="1">
      <c r="A232" s="261"/>
      <c r="B232" s="262"/>
      <c r="C232" s="263"/>
      <c r="D232" s="264"/>
      <c r="E232" s="265">
        <f t="shared" si="3"/>
        <v>0</v>
      </c>
      <c r="F232" s="157"/>
      <c r="G232" s="263"/>
      <c r="H232" s="272">
        <f t="shared" si="4"/>
        <v>0</v>
      </c>
    </row>
    <row r="233" ht="22.5" customHeight="1">
      <c r="A233" s="261"/>
      <c r="B233" s="262"/>
      <c r="C233" s="263"/>
      <c r="D233" s="264"/>
      <c r="E233" s="265">
        <f t="shared" si="3"/>
        <v>0</v>
      </c>
      <c r="F233" s="157"/>
      <c r="G233" s="263"/>
      <c r="H233" s="272">
        <f t="shared" si="4"/>
        <v>0</v>
      </c>
    </row>
    <row r="234" ht="22.5" customHeight="1">
      <c r="A234" s="261"/>
      <c r="B234" s="262"/>
      <c r="C234" s="263"/>
      <c r="D234" s="264"/>
      <c r="E234" s="265">
        <f t="shared" si="3"/>
        <v>0</v>
      </c>
      <c r="F234" s="157"/>
      <c r="G234" s="263"/>
      <c r="H234" s="272">
        <f t="shared" si="4"/>
        <v>0</v>
      </c>
    </row>
    <row r="235" ht="22.5" customHeight="1">
      <c r="A235" s="261"/>
      <c r="B235" s="262"/>
      <c r="C235" s="263"/>
      <c r="D235" s="264"/>
      <c r="E235" s="265">
        <f t="shared" si="3"/>
        <v>0</v>
      </c>
      <c r="F235" s="157"/>
      <c r="G235" s="263"/>
      <c r="H235" s="272">
        <f t="shared" si="4"/>
        <v>0</v>
      </c>
    </row>
    <row r="236" ht="22.5" customHeight="1">
      <c r="A236" s="261"/>
      <c r="B236" s="262"/>
      <c r="C236" s="263"/>
      <c r="D236" s="264"/>
      <c r="E236" s="265">
        <f t="shared" si="3"/>
        <v>0</v>
      </c>
      <c r="F236" s="157"/>
      <c r="G236" s="263"/>
      <c r="H236" s="272">
        <f t="shared" si="4"/>
        <v>0</v>
      </c>
    </row>
    <row r="237" ht="22.5" customHeight="1">
      <c r="A237" s="261"/>
      <c r="B237" s="262"/>
      <c r="C237" s="263"/>
      <c r="D237" s="264"/>
      <c r="E237" s="265">
        <f t="shared" si="3"/>
        <v>0</v>
      </c>
      <c r="F237" s="157"/>
      <c r="G237" s="263"/>
      <c r="H237" s="272">
        <f t="shared" si="4"/>
        <v>0</v>
      </c>
    </row>
    <row r="238" ht="22.5" customHeight="1">
      <c r="A238" s="261"/>
      <c r="B238" s="262"/>
      <c r="C238" s="263"/>
      <c r="D238" s="264"/>
      <c r="E238" s="265">
        <f t="shared" si="3"/>
        <v>0</v>
      </c>
      <c r="F238" s="157"/>
      <c r="G238" s="263"/>
      <c r="H238" s="272">
        <f t="shared" si="4"/>
        <v>0</v>
      </c>
    </row>
    <row r="239" ht="22.5" customHeight="1">
      <c r="A239" s="261"/>
      <c r="B239" s="262"/>
      <c r="C239" s="263"/>
      <c r="D239" s="264"/>
      <c r="E239" s="265">
        <f t="shared" si="3"/>
        <v>0</v>
      </c>
      <c r="F239" s="157"/>
      <c r="G239" s="263"/>
      <c r="H239" s="272">
        <f t="shared" si="4"/>
        <v>0</v>
      </c>
    </row>
    <row r="240" ht="22.5" customHeight="1">
      <c r="A240" s="261"/>
      <c r="B240" s="262"/>
      <c r="C240" s="263"/>
      <c r="D240" s="264"/>
      <c r="E240" s="265">
        <f t="shared" si="3"/>
        <v>0</v>
      </c>
      <c r="F240" s="157"/>
      <c r="G240" s="263"/>
      <c r="H240" s="272">
        <f t="shared" si="4"/>
        <v>0</v>
      </c>
    </row>
    <row r="241" ht="22.5" customHeight="1">
      <c r="A241" s="261"/>
      <c r="B241" s="262"/>
      <c r="C241" s="263"/>
      <c r="D241" s="264"/>
      <c r="E241" s="265">
        <f t="shared" si="3"/>
        <v>0</v>
      </c>
      <c r="F241" s="157"/>
      <c r="G241" s="263"/>
      <c r="H241" s="272">
        <f t="shared" si="4"/>
        <v>0</v>
      </c>
    </row>
    <row r="242" ht="22.5" customHeight="1">
      <c r="A242" s="261"/>
      <c r="B242" s="262"/>
      <c r="C242" s="263"/>
      <c r="D242" s="264"/>
      <c r="E242" s="265">
        <f t="shared" si="3"/>
        <v>0</v>
      </c>
      <c r="F242" s="157"/>
      <c r="G242" s="263"/>
      <c r="H242" s="272">
        <f t="shared" si="4"/>
        <v>0</v>
      </c>
    </row>
    <row r="243" ht="22.5" customHeight="1">
      <c r="A243" s="261"/>
      <c r="B243" s="262"/>
      <c r="C243" s="263"/>
      <c r="D243" s="264"/>
      <c r="E243" s="265">
        <f t="shared" si="3"/>
        <v>0</v>
      </c>
      <c r="F243" s="157"/>
      <c r="G243" s="263"/>
      <c r="H243" s="272">
        <f t="shared" si="4"/>
        <v>0</v>
      </c>
    </row>
    <row r="244" ht="22.5" customHeight="1">
      <c r="A244" s="261"/>
      <c r="B244" s="262"/>
      <c r="C244" s="263"/>
      <c r="D244" s="264"/>
      <c r="E244" s="265">
        <f t="shared" si="3"/>
        <v>0</v>
      </c>
      <c r="F244" s="157"/>
      <c r="G244" s="263"/>
      <c r="H244" s="272">
        <f t="shared" si="4"/>
        <v>0</v>
      </c>
    </row>
    <row r="245" ht="22.5" customHeight="1">
      <c r="A245" s="261"/>
      <c r="B245" s="262"/>
      <c r="C245" s="263"/>
      <c r="D245" s="264"/>
      <c r="E245" s="265">
        <f t="shared" si="3"/>
        <v>0</v>
      </c>
      <c r="F245" s="157"/>
      <c r="G245" s="263"/>
      <c r="H245" s="272">
        <f t="shared" si="4"/>
        <v>0</v>
      </c>
    </row>
    <row r="246" ht="22.5" customHeight="1">
      <c r="A246" s="261"/>
      <c r="B246" s="262"/>
      <c r="C246" s="263"/>
      <c r="D246" s="264"/>
      <c r="E246" s="265">
        <f t="shared" si="3"/>
        <v>0</v>
      </c>
      <c r="F246" s="157"/>
      <c r="G246" s="263"/>
      <c r="H246" s="272">
        <f t="shared" si="4"/>
        <v>0</v>
      </c>
    </row>
    <row r="247" ht="22.5" customHeight="1">
      <c r="A247" s="261"/>
      <c r="B247" s="262"/>
      <c r="C247" s="263"/>
      <c r="D247" s="264"/>
      <c r="E247" s="265">
        <f t="shared" si="3"/>
        <v>0</v>
      </c>
      <c r="F247" s="157"/>
      <c r="G247" s="263"/>
      <c r="H247" s="272">
        <f t="shared" si="4"/>
        <v>0</v>
      </c>
    </row>
    <row r="248" ht="22.5" customHeight="1">
      <c r="A248" s="261"/>
      <c r="B248" s="262"/>
      <c r="C248" s="263"/>
      <c r="D248" s="264"/>
      <c r="E248" s="265">
        <f t="shared" si="3"/>
        <v>0</v>
      </c>
      <c r="F248" s="157"/>
      <c r="G248" s="263"/>
      <c r="H248" s="272">
        <f t="shared" si="4"/>
        <v>0</v>
      </c>
    </row>
    <row r="249" ht="22.5" customHeight="1">
      <c r="A249" s="261"/>
      <c r="B249" s="262"/>
      <c r="C249" s="263"/>
      <c r="D249" s="264"/>
      <c r="E249" s="265">
        <f t="shared" si="3"/>
        <v>0</v>
      </c>
      <c r="F249" s="157"/>
      <c r="G249" s="263"/>
      <c r="H249" s="272">
        <f t="shared" si="4"/>
        <v>0</v>
      </c>
    </row>
    <row r="250" ht="22.5" customHeight="1">
      <c r="A250" s="261"/>
      <c r="B250" s="262"/>
      <c r="C250" s="263"/>
      <c r="D250" s="264"/>
      <c r="E250" s="265">
        <f t="shared" si="3"/>
        <v>0</v>
      </c>
      <c r="F250" s="157"/>
      <c r="G250" s="263"/>
      <c r="H250" s="272">
        <f t="shared" si="4"/>
        <v>0</v>
      </c>
    </row>
    <row r="251" ht="22.5" customHeight="1">
      <c r="A251" s="261"/>
      <c r="B251" s="262"/>
      <c r="C251" s="263"/>
      <c r="D251" s="264"/>
      <c r="E251" s="265">
        <f t="shared" si="3"/>
        <v>0</v>
      </c>
      <c r="F251" s="157"/>
      <c r="G251" s="263"/>
      <c r="H251" s="272">
        <f t="shared" si="4"/>
        <v>0</v>
      </c>
    </row>
    <row r="252" ht="22.5" customHeight="1">
      <c r="A252" s="261"/>
      <c r="B252" s="262"/>
      <c r="C252" s="263"/>
      <c r="D252" s="264"/>
      <c r="E252" s="265">
        <f t="shared" si="3"/>
        <v>0</v>
      </c>
      <c r="F252" s="157"/>
      <c r="G252" s="263"/>
      <c r="H252" s="272">
        <f t="shared" si="4"/>
        <v>0</v>
      </c>
    </row>
    <row r="253" ht="22.5" customHeight="1">
      <c r="A253" s="261"/>
      <c r="B253" s="262"/>
      <c r="C253" s="263"/>
      <c r="D253" s="264"/>
      <c r="E253" s="265">
        <f t="shared" si="3"/>
        <v>0</v>
      </c>
      <c r="F253" s="157"/>
      <c r="G253" s="263"/>
      <c r="H253" s="272">
        <f t="shared" si="4"/>
        <v>0</v>
      </c>
    </row>
    <row r="254" ht="22.5" customHeight="1">
      <c r="A254" s="261"/>
      <c r="B254" s="262"/>
      <c r="C254" s="263"/>
      <c r="D254" s="264"/>
      <c r="E254" s="265">
        <f t="shared" si="3"/>
        <v>0</v>
      </c>
      <c r="F254" s="157"/>
      <c r="G254" s="263"/>
      <c r="H254" s="272">
        <f t="shared" si="4"/>
        <v>0</v>
      </c>
    </row>
    <row r="255" ht="22.5" customHeight="1">
      <c r="A255" s="261"/>
      <c r="B255" s="262"/>
      <c r="C255" s="263"/>
      <c r="D255" s="264"/>
      <c r="E255" s="265">
        <f t="shared" si="3"/>
        <v>0</v>
      </c>
      <c r="F255" s="157"/>
      <c r="G255" s="263"/>
      <c r="H255" s="272">
        <f t="shared" si="4"/>
        <v>0</v>
      </c>
    </row>
    <row r="256" ht="22.5" customHeight="1">
      <c r="A256" s="261"/>
      <c r="B256" s="262"/>
      <c r="C256" s="263"/>
      <c r="D256" s="264"/>
      <c r="E256" s="265">
        <f t="shared" si="3"/>
        <v>0</v>
      </c>
      <c r="F256" s="157"/>
      <c r="G256" s="263"/>
      <c r="H256" s="272">
        <f t="shared" si="4"/>
        <v>0</v>
      </c>
    </row>
    <row r="257" ht="22.5" customHeight="1">
      <c r="A257" s="261"/>
      <c r="B257" s="262"/>
      <c r="C257" s="263"/>
      <c r="D257" s="264"/>
      <c r="E257" s="265">
        <f t="shared" si="3"/>
        <v>0</v>
      </c>
      <c r="F257" s="157"/>
      <c r="G257" s="263"/>
      <c r="H257" s="272">
        <f t="shared" si="4"/>
        <v>0</v>
      </c>
    </row>
    <row r="258" ht="22.5" customHeight="1">
      <c r="A258" s="261"/>
      <c r="B258" s="262"/>
      <c r="C258" s="263"/>
      <c r="D258" s="264"/>
      <c r="E258" s="265">
        <f t="shared" si="3"/>
        <v>0</v>
      </c>
      <c r="F258" s="157"/>
      <c r="G258" s="263"/>
      <c r="H258" s="272">
        <f t="shared" si="4"/>
        <v>0</v>
      </c>
    </row>
    <row r="259" ht="22.5" customHeight="1">
      <c r="A259" s="261"/>
      <c r="B259" s="262"/>
      <c r="C259" s="263"/>
      <c r="D259" s="264"/>
      <c r="E259" s="265">
        <f t="shared" si="3"/>
        <v>0</v>
      </c>
      <c r="F259" s="157"/>
      <c r="G259" s="263"/>
      <c r="H259" s="272">
        <f t="shared" si="4"/>
        <v>0</v>
      </c>
    </row>
    <row r="260" ht="22.5" customHeight="1">
      <c r="A260" s="261"/>
      <c r="B260" s="262"/>
      <c r="C260" s="263"/>
      <c r="D260" s="264"/>
      <c r="E260" s="265">
        <f t="shared" si="3"/>
        <v>0</v>
      </c>
      <c r="F260" s="157"/>
      <c r="G260" s="263"/>
      <c r="H260" s="272">
        <f t="shared" si="4"/>
        <v>0</v>
      </c>
    </row>
    <row r="261" ht="22.5" customHeight="1">
      <c r="A261" s="261"/>
      <c r="B261" s="262"/>
      <c r="C261" s="263"/>
      <c r="D261" s="264"/>
      <c r="E261" s="265">
        <f t="shared" si="3"/>
        <v>0</v>
      </c>
      <c r="F261" s="157"/>
      <c r="G261" s="263"/>
      <c r="H261" s="272">
        <f t="shared" si="4"/>
        <v>0</v>
      </c>
    </row>
    <row r="262" ht="22.5" customHeight="1">
      <c r="A262" s="261"/>
      <c r="B262" s="262"/>
      <c r="C262" s="263"/>
      <c r="D262" s="264"/>
      <c r="E262" s="265">
        <f t="shared" si="3"/>
        <v>0</v>
      </c>
      <c r="F262" s="157"/>
      <c r="G262" s="263"/>
      <c r="H262" s="272">
        <f t="shared" si="4"/>
        <v>0</v>
      </c>
    </row>
    <row r="263" ht="22.5" customHeight="1">
      <c r="A263" s="261"/>
      <c r="B263" s="262"/>
      <c r="C263" s="263"/>
      <c r="D263" s="264"/>
      <c r="E263" s="265">
        <f t="shared" si="3"/>
        <v>0</v>
      </c>
      <c r="F263" s="157"/>
      <c r="G263" s="263"/>
      <c r="H263" s="272">
        <f t="shared" si="4"/>
        <v>0</v>
      </c>
    </row>
    <row r="264" ht="22.5" customHeight="1">
      <c r="A264" s="261"/>
      <c r="B264" s="262"/>
      <c r="C264" s="263"/>
      <c r="D264" s="264"/>
      <c r="E264" s="265">
        <f t="shared" si="3"/>
        <v>0</v>
      </c>
      <c r="F264" s="157"/>
      <c r="G264" s="263"/>
      <c r="H264" s="272">
        <f t="shared" si="4"/>
        <v>0</v>
      </c>
    </row>
    <row r="265" ht="22.5" customHeight="1">
      <c r="A265" s="261"/>
      <c r="B265" s="262"/>
      <c r="C265" s="263"/>
      <c r="D265" s="264"/>
      <c r="E265" s="265">
        <f t="shared" si="3"/>
        <v>0</v>
      </c>
      <c r="F265" s="157"/>
      <c r="G265" s="263"/>
      <c r="H265" s="272">
        <f t="shared" si="4"/>
        <v>0</v>
      </c>
    </row>
    <row r="266" ht="22.5" customHeight="1">
      <c r="A266" s="261"/>
      <c r="B266" s="262"/>
      <c r="C266" s="263"/>
      <c r="D266" s="264"/>
      <c r="E266" s="265">
        <f t="shared" si="3"/>
        <v>0</v>
      </c>
      <c r="F266" s="157"/>
      <c r="G266" s="263"/>
      <c r="H266" s="272">
        <f t="shared" si="4"/>
        <v>0</v>
      </c>
    </row>
    <row r="267" ht="22.5" customHeight="1">
      <c r="A267" s="261"/>
      <c r="B267" s="262"/>
      <c r="C267" s="263"/>
      <c r="D267" s="264"/>
      <c r="E267" s="265">
        <f t="shared" si="3"/>
        <v>0</v>
      </c>
      <c r="F267" s="157"/>
      <c r="G267" s="263"/>
      <c r="H267" s="272">
        <f t="shared" si="4"/>
        <v>0</v>
      </c>
    </row>
    <row r="268" ht="22.5" customHeight="1">
      <c r="A268" s="261"/>
      <c r="B268" s="262"/>
      <c r="C268" s="263"/>
      <c r="D268" s="264"/>
      <c r="E268" s="265">
        <f t="shared" si="3"/>
        <v>0</v>
      </c>
      <c r="F268" s="157"/>
      <c r="G268" s="263"/>
      <c r="H268" s="272">
        <f t="shared" si="4"/>
        <v>0</v>
      </c>
    </row>
    <row r="269" ht="22.5" customHeight="1">
      <c r="A269" s="261"/>
      <c r="B269" s="262"/>
      <c r="C269" s="263"/>
      <c r="D269" s="264"/>
      <c r="E269" s="265">
        <f t="shared" si="3"/>
        <v>0</v>
      </c>
      <c r="F269" s="157"/>
      <c r="G269" s="263"/>
      <c r="H269" s="272">
        <f t="shared" si="4"/>
        <v>0</v>
      </c>
    </row>
    <row r="270" ht="22.5" customHeight="1">
      <c r="A270" s="261"/>
      <c r="B270" s="262"/>
      <c r="C270" s="263"/>
      <c r="D270" s="264"/>
      <c r="E270" s="265">
        <f t="shared" si="3"/>
        <v>0</v>
      </c>
      <c r="F270" s="157"/>
      <c r="G270" s="263"/>
      <c r="H270" s="272">
        <f t="shared" si="4"/>
        <v>0</v>
      </c>
    </row>
    <row r="271" ht="22.5" customHeight="1">
      <c r="A271" s="261"/>
      <c r="B271" s="262"/>
      <c r="C271" s="263"/>
      <c r="D271" s="264"/>
      <c r="E271" s="265">
        <f t="shared" si="3"/>
        <v>0</v>
      </c>
      <c r="F271" s="157"/>
      <c r="G271" s="263"/>
      <c r="H271" s="272">
        <f t="shared" si="4"/>
        <v>0</v>
      </c>
    </row>
    <row r="272" ht="22.5" customHeight="1">
      <c r="A272" s="261"/>
      <c r="B272" s="262"/>
      <c r="C272" s="263"/>
      <c r="D272" s="264"/>
      <c r="E272" s="265">
        <f t="shared" si="3"/>
        <v>0</v>
      </c>
      <c r="F272" s="157"/>
      <c r="G272" s="263"/>
      <c r="H272" s="272">
        <f t="shared" si="4"/>
        <v>0</v>
      </c>
    </row>
    <row r="273" ht="22.5" customHeight="1">
      <c r="A273" s="261"/>
      <c r="B273" s="262"/>
      <c r="C273" s="263"/>
      <c r="D273" s="264"/>
      <c r="E273" s="265">
        <f t="shared" si="3"/>
        <v>0</v>
      </c>
      <c r="F273" s="157"/>
      <c r="G273" s="263"/>
      <c r="H273" s="272">
        <f t="shared" si="4"/>
        <v>0</v>
      </c>
    </row>
    <row r="274" ht="22.5" customHeight="1">
      <c r="A274" s="261"/>
      <c r="B274" s="262"/>
      <c r="C274" s="263"/>
      <c r="D274" s="264"/>
      <c r="E274" s="265">
        <f t="shared" si="3"/>
        <v>0</v>
      </c>
      <c r="F274" s="157"/>
      <c r="G274" s="263"/>
      <c r="H274" s="272">
        <f t="shared" si="4"/>
        <v>0</v>
      </c>
    </row>
    <row r="275" ht="22.5" customHeight="1">
      <c r="A275" s="261"/>
      <c r="B275" s="262"/>
      <c r="C275" s="263"/>
      <c r="D275" s="264"/>
      <c r="E275" s="265">
        <f t="shared" si="3"/>
        <v>0</v>
      </c>
      <c r="F275" s="157"/>
      <c r="G275" s="263"/>
      <c r="H275" s="272">
        <f t="shared" si="4"/>
        <v>0</v>
      </c>
    </row>
    <row r="276" ht="22.5" customHeight="1">
      <c r="A276" s="261"/>
      <c r="B276" s="262"/>
      <c r="C276" s="263"/>
      <c r="D276" s="264"/>
      <c r="E276" s="265">
        <f t="shared" si="3"/>
        <v>0</v>
      </c>
      <c r="F276" s="157"/>
      <c r="G276" s="263"/>
      <c r="H276" s="272">
        <f t="shared" si="4"/>
        <v>0</v>
      </c>
    </row>
    <row r="277" ht="22.5" customHeight="1">
      <c r="A277" s="261"/>
      <c r="B277" s="262"/>
      <c r="C277" s="263"/>
      <c r="D277" s="264"/>
      <c r="E277" s="265">
        <f t="shared" si="3"/>
        <v>0</v>
      </c>
      <c r="F277" s="157"/>
      <c r="G277" s="263"/>
      <c r="H277" s="272">
        <f t="shared" si="4"/>
        <v>0</v>
      </c>
    </row>
    <row r="278" ht="22.5" customHeight="1">
      <c r="A278" s="261"/>
      <c r="B278" s="262"/>
      <c r="C278" s="263"/>
      <c r="D278" s="264"/>
      <c r="E278" s="265">
        <f t="shared" si="3"/>
        <v>0</v>
      </c>
      <c r="F278" s="157"/>
      <c r="G278" s="263"/>
      <c r="H278" s="272">
        <f t="shared" si="4"/>
        <v>0</v>
      </c>
    </row>
    <row r="279" ht="22.5" customHeight="1">
      <c r="A279" s="261"/>
      <c r="B279" s="262"/>
      <c r="C279" s="263"/>
      <c r="D279" s="264"/>
      <c r="E279" s="265">
        <f t="shared" si="3"/>
        <v>0</v>
      </c>
      <c r="F279" s="157"/>
      <c r="G279" s="263"/>
      <c r="H279" s="272">
        <f t="shared" si="4"/>
        <v>0</v>
      </c>
    </row>
    <row r="280" ht="22.5" customHeight="1">
      <c r="A280" s="261"/>
      <c r="B280" s="262"/>
      <c r="C280" s="263"/>
      <c r="D280" s="264"/>
      <c r="E280" s="265">
        <f t="shared" si="3"/>
        <v>0</v>
      </c>
      <c r="F280" s="157"/>
      <c r="G280" s="263"/>
      <c r="H280" s="272">
        <f t="shared" si="4"/>
        <v>0</v>
      </c>
    </row>
    <row r="281" ht="22.5" customHeight="1">
      <c r="A281" s="261"/>
      <c r="B281" s="262"/>
      <c r="C281" s="263"/>
      <c r="D281" s="264"/>
      <c r="E281" s="265">
        <f t="shared" si="3"/>
        <v>0</v>
      </c>
      <c r="F281" s="157"/>
      <c r="G281" s="263"/>
      <c r="H281" s="272">
        <f t="shared" si="4"/>
        <v>0</v>
      </c>
    </row>
    <row r="282" ht="22.5" customHeight="1">
      <c r="A282" s="261"/>
      <c r="B282" s="262"/>
      <c r="C282" s="263"/>
      <c r="D282" s="264"/>
      <c r="E282" s="265">
        <f t="shared" si="3"/>
        <v>0</v>
      </c>
      <c r="F282" s="157"/>
      <c r="G282" s="263"/>
      <c r="H282" s="272">
        <f t="shared" si="4"/>
        <v>0</v>
      </c>
    </row>
    <row r="283" ht="22.5" customHeight="1">
      <c r="A283" s="261"/>
      <c r="B283" s="262"/>
      <c r="C283" s="263"/>
      <c r="D283" s="264"/>
      <c r="E283" s="265">
        <f t="shared" si="3"/>
        <v>0</v>
      </c>
      <c r="F283" s="157"/>
      <c r="G283" s="263"/>
      <c r="H283" s="272">
        <f t="shared" si="4"/>
        <v>0</v>
      </c>
    </row>
    <row r="284" ht="22.5" customHeight="1">
      <c r="A284" s="261"/>
      <c r="B284" s="262"/>
      <c r="C284" s="263"/>
      <c r="D284" s="264"/>
      <c r="E284" s="265">
        <f t="shared" si="3"/>
        <v>0</v>
      </c>
      <c r="F284" s="157"/>
      <c r="G284" s="263"/>
      <c r="H284" s="272">
        <f t="shared" si="4"/>
        <v>0</v>
      </c>
    </row>
    <row r="285" ht="22.5" customHeight="1">
      <c r="A285" s="261"/>
      <c r="B285" s="262"/>
      <c r="C285" s="263"/>
      <c r="D285" s="264"/>
      <c r="E285" s="265">
        <f t="shared" si="3"/>
        <v>0</v>
      </c>
      <c r="F285" s="157"/>
      <c r="G285" s="263"/>
      <c r="H285" s="272">
        <f t="shared" si="4"/>
        <v>0</v>
      </c>
    </row>
    <row r="286" ht="22.5" customHeight="1">
      <c r="A286" s="261"/>
      <c r="B286" s="262"/>
      <c r="C286" s="263"/>
      <c r="D286" s="264"/>
      <c r="E286" s="265">
        <f t="shared" si="3"/>
        <v>0</v>
      </c>
      <c r="F286" s="157"/>
      <c r="G286" s="263"/>
      <c r="H286" s="272">
        <f t="shared" si="4"/>
        <v>0</v>
      </c>
    </row>
    <row r="287" ht="22.5" customHeight="1">
      <c r="A287" s="261"/>
      <c r="B287" s="262"/>
      <c r="C287" s="263"/>
      <c r="D287" s="264"/>
      <c r="E287" s="265">
        <f t="shared" si="3"/>
        <v>0</v>
      </c>
      <c r="F287" s="157"/>
      <c r="G287" s="263"/>
      <c r="H287" s="272">
        <f t="shared" si="4"/>
        <v>0</v>
      </c>
    </row>
    <row r="288" ht="22.5" customHeight="1">
      <c r="A288" s="261"/>
      <c r="B288" s="262"/>
      <c r="C288" s="263"/>
      <c r="D288" s="264"/>
      <c r="E288" s="265">
        <f t="shared" si="3"/>
        <v>0</v>
      </c>
      <c r="F288" s="157"/>
      <c r="G288" s="263"/>
      <c r="H288" s="272">
        <f t="shared" si="4"/>
        <v>0</v>
      </c>
    </row>
    <row r="289" ht="22.5" customHeight="1">
      <c r="A289" s="261"/>
      <c r="B289" s="262"/>
      <c r="C289" s="263"/>
      <c r="D289" s="264"/>
      <c r="E289" s="265">
        <f t="shared" si="3"/>
        <v>0</v>
      </c>
      <c r="F289" s="157"/>
      <c r="G289" s="263"/>
      <c r="H289" s="272">
        <f t="shared" si="4"/>
        <v>0</v>
      </c>
    </row>
    <row r="290" ht="22.5" customHeight="1">
      <c r="A290" s="261"/>
      <c r="B290" s="262"/>
      <c r="C290" s="263"/>
      <c r="D290" s="264"/>
      <c r="E290" s="265">
        <f t="shared" si="3"/>
        <v>0</v>
      </c>
      <c r="F290" s="157"/>
      <c r="G290" s="263"/>
      <c r="H290" s="272">
        <f t="shared" si="4"/>
        <v>0</v>
      </c>
    </row>
    <row r="291" ht="22.5" customHeight="1">
      <c r="A291" s="261"/>
      <c r="B291" s="262"/>
      <c r="C291" s="263"/>
      <c r="D291" s="264"/>
      <c r="E291" s="265">
        <f t="shared" si="3"/>
        <v>0</v>
      </c>
      <c r="F291" s="157"/>
      <c r="G291" s="263"/>
      <c r="H291" s="272">
        <f t="shared" si="4"/>
        <v>0</v>
      </c>
    </row>
    <row r="292" ht="22.5" customHeight="1">
      <c r="A292" s="261"/>
      <c r="B292" s="262"/>
      <c r="C292" s="263"/>
      <c r="D292" s="264"/>
      <c r="E292" s="265">
        <f t="shared" si="3"/>
        <v>0</v>
      </c>
      <c r="F292" s="157"/>
      <c r="G292" s="263"/>
      <c r="H292" s="272">
        <f t="shared" si="4"/>
        <v>0</v>
      </c>
    </row>
    <row r="293" ht="22.5" customHeight="1">
      <c r="A293" s="261"/>
      <c r="B293" s="262"/>
      <c r="C293" s="263"/>
      <c r="D293" s="264"/>
      <c r="E293" s="265">
        <f t="shared" si="3"/>
        <v>0</v>
      </c>
      <c r="F293" s="157"/>
      <c r="G293" s="263"/>
      <c r="H293" s="272">
        <f t="shared" si="4"/>
        <v>0</v>
      </c>
    </row>
    <row r="294" ht="22.5" customHeight="1">
      <c r="A294" s="261"/>
      <c r="B294" s="262"/>
      <c r="C294" s="263"/>
      <c r="D294" s="264"/>
      <c r="E294" s="265">
        <f t="shared" si="3"/>
        <v>0</v>
      </c>
      <c r="F294" s="157"/>
      <c r="G294" s="263"/>
      <c r="H294" s="272">
        <f t="shared" si="4"/>
        <v>0</v>
      </c>
    </row>
    <row r="295" ht="22.5" customHeight="1">
      <c r="A295" s="261"/>
      <c r="B295" s="262"/>
      <c r="C295" s="263"/>
      <c r="D295" s="264"/>
      <c r="E295" s="265">
        <f t="shared" si="3"/>
        <v>0</v>
      </c>
      <c r="F295" s="157"/>
      <c r="G295" s="263"/>
      <c r="H295" s="272">
        <f t="shared" si="4"/>
        <v>0</v>
      </c>
    </row>
    <row r="296" ht="22.5" customHeight="1">
      <c r="A296" s="261"/>
      <c r="B296" s="262"/>
      <c r="C296" s="263"/>
      <c r="D296" s="264"/>
      <c r="E296" s="265">
        <f t="shared" si="3"/>
        <v>0</v>
      </c>
      <c r="F296" s="157"/>
      <c r="G296" s="263"/>
      <c r="H296" s="272">
        <f t="shared" si="4"/>
        <v>0</v>
      </c>
    </row>
    <row r="297" ht="22.5" customHeight="1">
      <c r="A297" s="261"/>
      <c r="B297" s="262"/>
      <c r="C297" s="263"/>
      <c r="D297" s="264"/>
      <c r="E297" s="265">
        <f t="shared" si="3"/>
        <v>0</v>
      </c>
      <c r="F297" s="157"/>
      <c r="G297" s="263"/>
      <c r="H297" s="272">
        <f t="shared" si="4"/>
        <v>0</v>
      </c>
    </row>
    <row r="298" ht="22.5" customHeight="1">
      <c r="A298" s="261"/>
      <c r="B298" s="262"/>
      <c r="C298" s="263"/>
      <c r="D298" s="264"/>
      <c r="E298" s="265">
        <f t="shared" si="3"/>
        <v>0</v>
      </c>
      <c r="F298" s="157"/>
      <c r="G298" s="263"/>
      <c r="H298" s="272">
        <f t="shared" si="4"/>
        <v>0</v>
      </c>
    </row>
    <row r="299" ht="22.5" customHeight="1">
      <c r="A299" s="261"/>
      <c r="B299" s="262"/>
      <c r="C299" s="263"/>
      <c r="D299" s="264"/>
      <c r="E299" s="265">
        <f t="shared" si="3"/>
        <v>0</v>
      </c>
      <c r="F299" s="157"/>
      <c r="G299" s="263"/>
      <c r="H299" s="272">
        <f t="shared" si="4"/>
        <v>0</v>
      </c>
    </row>
    <row r="300" ht="22.5" customHeight="1">
      <c r="A300" s="261"/>
      <c r="B300" s="262"/>
      <c r="C300" s="263"/>
      <c r="D300" s="264"/>
      <c r="E300" s="265">
        <f t="shared" si="3"/>
        <v>0</v>
      </c>
      <c r="F300" s="157"/>
      <c r="G300" s="263"/>
      <c r="H300" s="272">
        <f t="shared" si="4"/>
        <v>0</v>
      </c>
    </row>
    <row r="301" ht="22.5" customHeight="1">
      <c r="A301" s="261"/>
      <c r="B301" s="262"/>
      <c r="C301" s="263"/>
      <c r="D301" s="264"/>
      <c r="E301" s="265">
        <f t="shared" si="3"/>
        <v>0</v>
      </c>
      <c r="F301" s="157"/>
      <c r="G301" s="263"/>
      <c r="H301" s="272">
        <f t="shared" si="4"/>
        <v>0</v>
      </c>
    </row>
    <row r="302" ht="22.5" customHeight="1">
      <c r="A302" s="261"/>
      <c r="B302" s="262"/>
      <c r="C302" s="263"/>
      <c r="D302" s="264"/>
      <c r="E302" s="265">
        <f t="shared" si="3"/>
        <v>0</v>
      </c>
      <c r="F302" s="157"/>
      <c r="G302" s="263"/>
      <c r="H302" s="272">
        <f t="shared" si="4"/>
        <v>0</v>
      </c>
    </row>
    <row r="303" ht="22.5" customHeight="1">
      <c r="A303" s="261"/>
      <c r="B303" s="262"/>
      <c r="C303" s="263"/>
      <c r="D303" s="264"/>
      <c r="E303" s="265">
        <f t="shared" si="3"/>
        <v>0</v>
      </c>
      <c r="F303" s="157"/>
      <c r="G303" s="263"/>
      <c r="H303" s="272">
        <f t="shared" si="4"/>
        <v>0</v>
      </c>
    </row>
    <row r="304" ht="22.5" customHeight="1">
      <c r="A304" s="261"/>
      <c r="B304" s="262"/>
      <c r="C304" s="263"/>
      <c r="D304" s="264"/>
      <c r="E304" s="265">
        <f t="shared" si="3"/>
        <v>0</v>
      </c>
      <c r="F304" s="157"/>
      <c r="G304" s="263"/>
      <c r="H304" s="272">
        <f t="shared" si="4"/>
        <v>0</v>
      </c>
    </row>
    <row r="305" ht="22.5" customHeight="1">
      <c r="A305" s="261"/>
      <c r="B305" s="262"/>
      <c r="C305" s="263"/>
      <c r="D305" s="264"/>
      <c r="E305" s="265">
        <f t="shared" si="3"/>
        <v>0</v>
      </c>
      <c r="F305" s="157"/>
      <c r="G305" s="263"/>
      <c r="H305" s="272">
        <f t="shared" si="4"/>
        <v>0</v>
      </c>
    </row>
    <row r="306" ht="22.5" customHeight="1">
      <c r="A306" s="261"/>
      <c r="B306" s="262"/>
      <c r="C306" s="263"/>
      <c r="D306" s="264"/>
      <c r="E306" s="265">
        <f t="shared" si="3"/>
        <v>0</v>
      </c>
      <c r="F306" s="157"/>
      <c r="G306" s="263"/>
      <c r="H306" s="272">
        <f t="shared" si="4"/>
        <v>0</v>
      </c>
    </row>
    <row r="307" ht="22.5" customHeight="1">
      <c r="A307" s="261"/>
      <c r="B307" s="262"/>
      <c r="C307" s="263"/>
      <c r="D307" s="264"/>
      <c r="E307" s="265">
        <f t="shared" si="3"/>
        <v>0</v>
      </c>
      <c r="F307" s="157"/>
      <c r="G307" s="263"/>
      <c r="H307" s="272">
        <f t="shared" si="4"/>
        <v>0</v>
      </c>
    </row>
    <row r="308" ht="22.5" customHeight="1">
      <c r="A308" s="261"/>
      <c r="B308" s="262"/>
      <c r="C308" s="263"/>
      <c r="D308" s="264"/>
      <c r="E308" s="265">
        <f t="shared" si="3"/>
        <v>0</v>
      </c>
      <c r="F308" s="157"/>
      <c r="G308" s="263"/>
      <c r="H308" s="272">
        <f t="shared" si="4"/>
        <v>0</v>
      </c>
    </row>
    <row r="309" ht="22.5" customHeight="1">
      <c r="A309" s="261"/>
      <c r="B309" s="262"/>
      <c r="C309" s="263"/>
      <c r="D309" s="264"/>
      <c r="E309" s="265">
        <f t="shared" si="3"/>
        <v>0</v>
      </c>
      <c r="F309" s="157"/>
      <c r="G309" s="263"/>
      <c r="H309" s="272">
        <f t="shared" si="4"/>
        <v>0</v>
      </c>
    </row>
    <row r="310" ht="22.5" customHeight="1">
      <c r="A310" s="261"/>
      <c r="B310" s="262"/>
      <c r="C310" s="263"/>
      <c r="D310" s="264"/>
      <c r="E310" s="265">
        <f t="shared" si="3"/>
        <v>0</v>
      </c>
      <c r="F310" s="157"/>
      <c r="G310" s="263"/>
      <c r="H310" s="272">
        <f t="shared" si="4"/>
        <v>0</v>
      </c>
    </row>
    <row r="311" ht="22.5" customHeight="1">
      <c r="A311" s="261"/>
      <c r="B311" s="262"/>
      <c r="C311" s="263"/>
      <c r="D311" s="264"/>
      <c r="E311" s="265">
        <f t="shared" si="3"/>
        <v>0</v>
      </c>
      <c r="F311" s="157"/>
      <c r="G311" s="263"/>
      <c r="H311" s="272">
        <f t="shared" si="4"/>
        <v>0</v>
      </c>
    </row>
    <row r="312" ht="22.5" customHeight="1">
      <c r="A312" s="261"/>
      <c r="B312" s="262"/>
      <c r="C312" s="263"/>
      <c r="D312" s="264"/>
      <c r="E312" s="265">
        <f t="shared" si="3"/>
        <v>0</v>
      </c>
      <c r="F312" s="157"/>
      <c r="G312" s="263"/>
      <c r="H312" s="272">
        <f t="shared" si="4"/>
        <v>0</v>
      </c>
    </row>
    <row r="313" ht="22.5" customHeight="1">
      <c r="A313" s="261"/>
      <c r="B313" s="262"/>
      <c r="C313" s="263"/>
      <c r="D313" s="264"/>
      <c r="E313" s="265">
        <f t="shared" si="3"/>
        <v>0</v>
      </c>
      <c r="F313" s="157"/>
      <c r="G313" s="263"/>
      <c r="H313" s="272">
        <f t="shared" si="4"/>
        <v>0</v>
      </c>
    </row>
    <row r="314" ht="22.5" customHeight="1">
      <c r="A314" s="261"/>
      <c r="B314" s="262"/>
      <c r="C314" s="263"/>
      <c r="D314" s="264"/>
      <c r="E314" s="265">
        <f t="shared" si="3"/>
        <v>0</v>
      </c>
      <c r="F314" s="157"/>
      <c r="G314" s="263"/>
      <c r="H314" s="272">
        <f t="shared" si="4"/>
        <v>0</v>
      </c>
    </row>
    <row r="315" ht="22.5" customHeight="1">
      <c r="A315" s="261"/>
      <c r="B315" s="262"/>
      <c r="C315" s="263"/>
      <c r="D315" s="264"/>
      <c r="E315" s="265">
        <f t="shared" si="3"/>
        <v>0</v>
      </c>
      <c r="F315" s="157"/>
      <c r="G315" s="263"/>
      <c r="H315" s="272">
        <f t="shared" si="4"/>
        <v>0</v>
      </c>
    </row>
    <row r="316" ht="22.5" customHeight="1">
      <c r="A316" s="261"/>
      <c r="B316" s="262"/>
      <c r="C316" s="263"/>
      <c r="D316" s="264"/>
      <c r="E316" s="265">
        <f t="shared" si="3"/>
        <v>0</v>
      </c>
      <c r="F316" s="157"/>
      <c r="G316" s="263"/>
      <c r="H316" s="272">
        <f t="shared" si="4"/>
        <v>0</v>
      </c>
    </row>
    <row r="317" ht="22.5" customHeight="1">
      <c r="A317" s="261"/>
      <c r="B317" s="262"/>
      <c r="C317" s="263"/>
      <c r="D317" s="264"/>
      <c r="E317" s="264">
        <f t="shared" si="3"/>
        <v>0</v>
      </c>
      <c r="F317" s="157"/>
      <c r="G317" s="263"/>
      <c r="H317" s="272">
        <f t="shared" si="4"/>
        <v>0</v>
      </c>
    </row>
    <row r="318" ht="22.5" customHeight="1">
      <c r="A318" s="261"/>
      <c r="B318" s="262"/>
      <c r="C318" s="263"/>
      <c r="D318" s="264"/>
      <c r="E318" s="264">
        <f t="shared" si="3"/>
        <v>0</v>
      </c>
      <c r="F318" s="157"/>
      <c r="G318" s="263"/>
      <c r="H318" s="272">
        <f t="shared" si="4"/>
        <v>0</v>
      </c>
    </row>
    <row r="319" ht="22.5" customHeight="1">
      <c r="A319" s="261"/>
      <c r="B319" s="262"/>
      <c r="C319" s="263"/>
      <c r="D319" s="264"/>
      <c r="E319" s="264">
        <f t="shared" si="3"/>
        <v>0</v>
      </c>
      <c r="F319" s="157"/>
      <c r="G319" s="263"/>
      <c r="H319" s="272">
        <f t="shared" si="4"/>
        <v>0</v>
      </c>
    </row>
    <row r="320" ht="22.5" customHeight="1">
      <c r="A320" s="261"/>
      <c r="B320" s="262"/>
      <c r="C320" s="263"/>
      <c r="D320" s="264"/>
      <c r="E320" s="264">
        <f t="shared" si="3"/>
        <v>0</v>
      </c>
      <c r="F320" s="157"/>
      <c r="G320" s="263"/>
      <c r="H320" s="272">
        <f t="shared" si="4"/>
        <v>0</v>
      </c>
    </row>
    <row r="321" ht="22.5" customHeight="1">
      <c r="A321" s="261"/>
      <c r="B321" s="262"/>
      <c r="C321" s="263"/>
      <c r="D321" s="264"/>
      <c r="E321" s="264">
        <f t="shared" si="3"/>
        <v>0</v>
      </c>
      <c r="F321" s="157"/>
      <c r="G321" s="263"/>
      <c r="H321" s="272">
        <f t="shared" si="4"/>
        <v>0</v>
      </c>
    </row>
    <row r="322" ht="22.5" customHeight="1">
      <c r="A322" s="261"/>
      <c r="B322" s="262"/>
      <c r="C322" s="263"/>
      <c r="D322" s="264"/>
      <c r="E322" s="264">
        <f t="shared" si="3"/>
        <v>0</v>
      </c>
      <c r="F322" s="157"/>
      <c r="G322" s="263"/>
      <c r="H322" s="272">
        <f t="shared" si="4"/>
        <v>0</v>
      </c>
    </row>
    <row r="323" ht="22.5" customHeight="1">
      <c r="A323" s="261"/>
      <c r="B323" s="262"/>
      <c r="C323" s="263"/>
      <c r="D323" s="264"/>
      <c r="E323" s="264">
        <f t="shared" si="3"/>
        <v>0</v>
      </c>
      <c r="F323" s="157"/>
      <c r="G323" s="263"/>
      <c r="H323" s="272">
        <f t="shared" si="4"/>
        <v>0</v>
      </c>
    </row>
    <row r="324" ht="22.5" customHeight="1">
      <c r="A324" s="261"/>
      <c r="B324" s="262"/>
      <c r="C324" s="263"/>
      <c r="D324" s="264"/>
      <c r="E324" s="264">
        <f t="shared" si="3"/>
        <v>0</v>
      </c>
      <c r="F324" s="157"/>
      <c r="G324" s="263"/>
      <c r="H324" s="272">
        <f t="shared" si="4"/>
        <v>0</v>
      </c>
    </row>
    <row r="325" ht="22.5" customHeight="1">
      <c r="A325" s="261"/>
      <c r="B325" s="262"/>
      <c r="C325" s="263"/>
      <c r="D325" s="264"/>
      <c r="E325" s="264">
        <f t="shared" si="3"/>
        <v>0</v>
      </c>
      <c r="F325" s="157"/>
      <c r="G325" s="263"/>
      <c r="H325" s="272">
        <f t="shared" si="4"/>
        <v>0</v>
      </c>
    </row>
    <row r="326" ht="22.5" customHeight="1">
      <c r="A326" s="261"/>
      <c r="B326" s="262"/>
      <c r="C326" s="263"/>
      <c r="D326" s="264"/>
      <c r="E326" s="264">
        <f t="shared" si="3"/>
        <v>0</v>
      </c>
      <c r="F326" s="157"/>
      <c r="G326" s="263"/>
      <c r="H326" s="272">
        <f t="shared" si="4"/>
        <v>0</v>
      </c>
    </row>
    <row r="327" ht="22.5" customHeight="1">
      <c r="A327" s="261"/>
      <c r="B327" s="262"/>
      <c r="C327" s="263"/>
      <c r="D327" s="264"/>
      <c r="E327" s="264">
        <f t="shared" si="3"/>
        <v>0</v>
      </c>
      <c r="F327" s="157"/>
      <c r="G327" s="263"/>
      <c r="H327" s="272">
        <f t="shared" si="4"/>
        <v>0</v>
      </c>
    </row>
    <row r="328" ht="22.5" customHeight="1">
      <c r="A328" s="261"/>
      <c r="B328" s="262"/>
      <c r="C328" s="263"/>
      <c r="D328" s="264"/>
      <c r="E328" s="264">
        <f t="shared" si="3"/>
        <v>0</v>
      </c>
      <c r="F328" s="157"/>
      <c r="G328" s="263"/>
      <c r="H328" s="272">
        <f t="shared" si="4"/>
        <v>0</v>
      </c>
    </row>
    <row r="329" ht="22.5" customHeight="1">
      <c r="A329" s="261"/>
      <c r="B329" s="262"/>
      <c r="C329" s="263"/>
      <c r="D329" s="264"/>
      <c r="E329" s="264">
        <f t="shared" si="3"/>
        <v>0</v>
      </c>
      <c r="F329" s="157"/>
      <c r="G329" s="263"/>
      <c r="H329" s="272">
        <f t="shared" si="4"/>
        <v>0</v>
      </c>
    </row>
    <row r="330" ht="22.5" customHeight="1">
      <c r="A330" s="261"/>
      <c r="B330" s="262"/>
      <c r="C330" s="263"/>
      <c r="D330" s="264"/>
      <c r="E330" s="264">
        <f t="shared" si="3"/>
        <v>0</v>
      </c>
      <c r="F330" s="157"/>
      <c r="G330" s="263"/>
      <c r="H330" s="272">
        <f t="shared" si="4"/>
        <v>0</v>
      </c>
    </row>
    <row r="331" ht="22.5" customHeight="1">
      <c r="A331" s="261"/>
      <c r="B331" s="262"/>
      <c r="C331" s="263"/>
      <c r="D331" s="264"/>
      <c r="E331" s="264">
        <f t="shared" si="3"/>
        <v>0</v>
      </c>
      <c r="F331" s="157"/>
      <c r="G331" s="263"/>
      <c r="H331" s="272">
        <f t="shared" si="4"/>
        <v>0</v>
      </c>
    </row>
    <row r="332" ht="22.5" customHeight="1">
      <c r="A332" s="261"/>
      <c r="B332" s="262"/>
      <c r="C332" s="263"/>
      <c r="D332" s="264"/>
      <c r="E332" s="264">
        <f t="shared" si="3"/>
        <v>0</v>
      </c>
      <c r="F332" s="157"/>
      <c r="G332" s="263"/>
      <c r="H332" s="272">
        <f t="shared" si="4"/>
        <v>0</v>
      </c>
    </row>
    <row r="333" ht="22.5" customHeight="1">
      <c r="A333" s="261"/>
      <c r="B333" s="262"/>
      <c r="C333" s="263"/>
      <c r="D333" s="264"/>
      <c r="E333" s="264">
        <f t="shared" si="3"/>
        <v>0</v>
      </c>
      <c r="F333" s="157"/>
      <c r="G333" s="263"/>
      <c r="H333" s="272">
        <f t="shared" si="4"/>
        <v>0</v>
      </c>
    </row>
    <row r="334" ht="22.5" customHeight="1">
      <c r="A334" s="261"/>
      <c r="B334" s="262"/>
      <c r="C334" s="263"/>
      <c r="D334" s="264"/>
      <c r="E334" s="264">
        <f t="shared" si="3"/>
        <v>0</v>
      </c>
      <c r="F334" s="157"/>
      <c r="G334" s="263"/>
      <c r="H334" s="272">
        <f t="shared" si="4"/>
        <v>0</v>
      </c>
    </row>
    <row r="335" ht="22.5" customHeight="1">
      <c r="A335" s="261"/>
      <c r="B335" s="262"/>
      <c r="C335" s="263"/>
      <c r="D335" s="264"/>
      <c r="E335" s="264">
        <f t="shared" si="3"/>
        <v>0</v>
      </c>
      <c r="F335" s="157"/>
      <c r="G335" s="263"/>
      <c r="H335" s="272">
        <f t="shared" si="4"/>
        <v>0</v>
      </c>
    </row>
    <row r="336" ht="22.5" customHeight="1">
      <c r="A336" s="261"/>
      <c r="B336" s="262"/>
      <c r="C336" s="263"/>
      <c r="D336" s="264"/>
      <c r="E336" s="264">
        <f t="shared" si="3"/>
        <v>0</v>
      </c>
      <c r="F336" s="157"/>
      <c r="G336" s="263"/>
      <c r="H336" s="272">
        <f t="shared" si="4"/>
        <v>0</v>
      </c>
    </row>
    <row r="337" ht="22.5" customHeight="1">
      <c r="A337" s="261"/>
      <c r="B337" s="262"/>
      <c r="C337" s="263"/>
      <c r="D337" s="264"/>
      <c r="E337" s="264">
        <f t="shared" si="3"/>
        <v>0</v>
      </c>
      <c r="F337" s="157"/>
      <c r="G337" s="263"/>
      <c r="H337" s="272">
        <f t="shared" si="4"/>
        <v>0</v>
      </c>
    </row>
    <row r="338" ht="22.5" customHeight="1">
      <c r="A338" s="261"/>
      <c r="B338" s="262"/>
      <c r="C338" s="263"/>
      <c r="D338" s="264"/>
      <c r="E338" s="264">
        <f t="shared" si="3"/>
        <v>0</v>
      </c>
      <c r="F338" s="157"/>
      <c r="G338" s="263"/>
      <c r="H338" s="272">
        <f t="shared" si="4"/>
        <v>0</v>
      </c>
    </row>
    <row r="339" ht="22.5" customHeight="1">
      <c r="A339" s="261"/>
      <c r="B339" s="262"/>
      <c r="C339" s="263"/>
      <c r="D339" s="264"/>
      <c r="E339" s="264">
        <f t="shared" si="3"/>
        <v>0</v>
      </c>
      <c r="F339" s="157"/>
      <c r="G339" s="263"/>
      <c r="H339" s="272">
        <f t="shared" si="4"/>
        <v>0</v>
      </c>
    </row>
    <row r="340" ht="22.5" customHeight="1">
      <c r="A340" s="261"/>
      <c r="B340" s="262"/>
      <c r="C340" s="263"/>
      <c r="D340" s="264"/>
      <c r="E340" s="264">
        <f t="shared" si="3"/>
        <v>0</v>
      </c>
      <c r="F340" s="157"/>
      <c r="G340" s="263"/>
      <c r="H340" s="272">
        <f t="shared" si="4"/>
        <v>0</v>
      </c>
    </row>
    <row r="341" ht="22.5" customHeight="1">
      <c r="A341" s="261"/>
      <c r="B341" s="262"/>
      <c r="C341" s="263"/>
      <c r="D341" s="264"/>
      <c r="E341" s="264">
        <f t="shared" si="3"/>
        <v>0</v>
      </c>
      <c r="F341" s="157"/>
      <c r="G341" s="263"/>
      <c r="H341" s="272">
        <f t="shared" si="4"/>
        <v>0</v>
      </c>
    </row>
    <row r="342" ht="22.5" customHeight="1">
      <c r="A342" s="261"/>
      <c r="B342" s="262"/>
      <c r="C342" s="263"/>
      <c r="D342" s="264"/>
      <c r="E342" s="264">
        <f t="shared" si="3"/>
        <v>0</v>
      </c>
      <c r="F342" s="157"/>
      <c r="G342" s="263"/>
      <c r="H342" s="272">
        <f t="shared" si="4"/>
        <v>0</v>
      </c>
    </row>
    <row r="343" ht="22.5" customHeight="1">
      <c r="A343" s="261"/>
      <c r="B343" s="262"/>
      <c r="C343" s="263"/>
      <c r="D343" s="264"/>
      <c r="E343" s="264">
        <f t="shared" si="3"/>
        <v>0</v>
      </c>
      <c r="F343" s="157"/>
      <c r="G343" s="263"/>
      <c r="H343" s="272">
        <f t="shared" si="4"/>
        <v>0</v>
      </c>
    </row>
    <row r="344" ht="22.5" customHeight="1">
      <c r="A344" s="261"/>
      <c r="B344" s="262"/>
      <c r="C344" s="263"/>
      <c r="D344" s="264"/>
      <c r="E344" s="264">
        <f t="shared" si="3"/>
        <v>0</v>
      </c>
      <c r="F344" s="157"/>
      <c r="G344" s="263"/>
      <c r="H344" s="272">
        <f t="shared" si="4"/>
        <v>0</v>
      </c>
    </row>
    <row r="345" ht="22.5" customHeight="1">
      <c r="A345" s="261"/>
      <c r="B345" s="262"/>
      <c r="C345" s="263"/>
      <c r="D345" s="264"/>
      <c r="E345" s="264">
        <f t="shared" si="3"/>
        <v>0</v>
      </c>
      <c r="F345" s="157"/>
      <c r="G345" s="263"/>
      <c r="H345" s="272">
        <f t="shared" si="4"/>
        <v>0</v>
      </c>
    </row>
    <row r="346" ht="22.5" customHeight="1">
      <c r="A346" s="261"/>
      <c r="B346" s="262"/>
      <c r="C346" s="263"/>
      <c r="D346" s="264"/>
      <c r="E346" s="264">
        <f t="shared" si="3"/>
        <v>0</v>
      </c>
      <c r="F346" s="157"/>
      <c r="G346" s="263"/>
      <c r="H346" s="272">
        <f t="shared" si="4"/>
        <v>0</v>
      </c>
    </row>
    <row r="347" ht="22.5" customHeight="1">
      <c r="A347" s="261"/>
      <c r="B347" s="262"/>
      <c r="C347" s="263"/>
      <c r="D347" s="264"/>
      <c r="E347" s="264">
        <f t="shared" si="3"/>
        <v>0</v>
      </c>
      <c r="F347" s="157"/>
      <c r="G347" s="263"/>
      <c r="H347" s="272">
        <f t="shared" si="4"/>
        <v>0</v>
      </c>
    </row>
    <row r="348" ht="22.5" customHeight="1">
      <c r="A348" s="261"/>
      <c r="B348" s="262"/>
      <c r="C348" s="263"/>
      <c r="D348" s="264"/>
      <c r="E348" s="264">
        <f t="shared" si="3"/>
        <v>0</v>
      </c>
      <c r="F348" s="157"/>
      <c r="G348" s="263"/>
      <c r="H348" s="272">
        <f t="shared" si="4"/>
        <v>0</v>
      </c>
    </row>
    <row r="349" ht="22.5" customHeight="1">
      <c r="A349" s="261"/>
      <c r="B349" s="262"/>
      <c r="C349" s="263"/>
      <c r="D349" s="264"/>
      <c r="E349" s="264">
        <f t="shared" si="3"/>
        <v>0</v>
      </c>
      <c r="F349" s="157"/>
      <c r="G349" s="263"/>
      <c r="H349" s="272">
        <f t="shared" si="4"/>
        <v>0</v>
      </c>
    </row>
    <row r="350" ht="22.5" customHeight="1">
      <c r="A350" s="261"/>
      <c r="B350" s="262"/>
      <c r="C350" s="263"/>
      <c r="D350" s="264"/>
      <c r="E350" s="264">
        <f t="shared" si="3"/>
        <v>0</v>
      </c>
      <c r="F350" s="157"/>
      <c r="G350" s="263"/>
      <c r="H350" s="272">
        <f t="shared" si="4"/>
        <v>0</v>
      </c>
    </row>
    <row r="351" ht="22.5" customHeight="1">
      <c r="A351" s="261"/>
      <c r="B351" s="262"/>
      <c r="C351" s="263"/>
      <c r="D351" s="264"/>
      <c r="E351" s="264">
        <f t="shared" si="3"/>
        <v>0</v>
      </c>
      <c r="F351" s="157"/>
      <c r="G351" s="263"/>
      <c r="H351" s="272">
        <f t="shared" si="4"/>
        <v>0</v>
      </c>
    </row>
    <row r="352" ht="22.5" customHeight="1">
      <c r="A352" s="261"/>
      <c r="B352" s="262"/>
      <c r="C352" s="263"/>
      <c r="D352" s="264"/>
      <c r="E352" s="264">
        <f t="shared" si="3"/>
        <v>0</v>
      </c>
      <c r="F352" s="157"/>
      <c r="G352" s="263"/>
      <c r="H352" s="272">
        <f t="shared" si="4"/>
        <v>0</v>
      </c>
    </row>
    <row r="353" ht="22.5" customHeight="1">
      <c r="A353" s="261"/>
      <c r="B353" s="262"/>
      <c r="C353" s="263"/>
      <c r="D353" s="264"/>
      <c r="E353" s="264">
        <f t="shared" si="3"/>
        <v>0</v>
      </c>
      <c r="F353" s="157"/>
      <c r="G353" s="263"/>
      <c r="H353" s="272">
        <f t="shared" si="4"/>
        <v>0</v>
      </c>
    </row>
    <row r="354" ht="22.5" customHeight="1">
      <c r="A354" s="261"/>
      <c r="B354" s="262"/>
      <c r="C354" s="263"/>
      <c r="D354" s="264"/>
      <c r="E354" s="264">
        <f t="shared" si="3"/>
        <v>0</v>
      </c>
      <c r="F354" s="157"/>
      <c r="G354" s="263"/>
      <c r="H354" s="272">
        <f t="shared" si="4"/>
        <v>0</v>
      </c>
    </row>
    <row r="355" ht="22.5" customHeight="1">
      <c r="A355" s="261"/>
      <c r="B355" s="262"/>
      <c r="C355" s="263"/>
      <c r="D355" s="264"/>
      <c r="E355" s="264">
        <f t="shared" si="3"/>
        <v>0</v>
      </c>
      <c r="F355" s="157"/>
      <c r="G355" s="263"/>
      <c r="H355" s="272">
        <f t="shared" si="4"/>
        <v>0</v>
      </c>
    </row>
    <row r="356" ht="22.5" customHeight="1">
      <c r="A356" s="261"/>
      <c r="B356" s="262"/>
      <c r="C356" s="263"/>
      <c r="D356" s="264"/>
      <c r="E356" s="264">
        <f t="shared" si="3"/>
        <v>0</v>
      </c>
      <c r="F356" s="157"/>
      <c r="G356" s="263"/>
      <c r="H356" s="272">
        <f t="shared" si="4"/>
        <v>0</v>
      </c>
    </row>
    <row r="357" ht="22.5" customHeight="1">
      <c r="A357" s="261"/>
      <c r="B357" s="262"/>
      <c r="C357" s="263"/>
      <c r="D357" s="264"/>
      <c r="E357" s="264">
        <f t="shared" si="3"/>
        <v>0</v>
      </c>
      <c r="F357" s="157"/>
      <c r="G357" s="263"/>
      <c r="H357" s="272">
        <f t="shared" si="4"/>
        <v>0</v>
      </c>
    </row>
    <row r="358" ht="22.5" customHeight="1">
      <c r="A358" s="261"/>
      <c r="B358" s="262"/>
      <c r="C358" s="263"/>
      <c r="D358" s="264"/>
      <c r="E358" s="264">
        <f t="shared" si="3"/>
        <v>0</v>
      </c>
      <c r="F358" s="157"/>
      <c r="G358" s="263"/>
      <c r="H358" s="272">
        <f t="shared" si="4"/>
        <v>0</v>
      </c>
    </row>
    <row r="359" ht="22.5" customHeight="1">
      <c r="A359" s="261"/>
      <c r="B359" s="262"/>
      <c r="C359" s="263"/>
      <c r="D359" s="264"/>
      <c r="E359" s="264">
        <f t="shared" si="3"/>
        <v>0</v>
      </c>
      <c r="F359" s="157"/>
      <c r="G359" s="263"/>
      <c r="H359" s="272">
        <f t="shared" si="4"/>
        <v>0</v>
      </c>
    </row>
    <row r="360" ht="22.5" customHeight="1">
      <c r="A360" s="261"/>
      <c r="B360" s="262"/>
      <c r="C360" s="263"/>
      <c r="D360" s="264"/>
      <c r="E360" s="264">
        <f t="shared" si="3"/>
        <v>0</v>
      </c>
      <c r="F360" s="157"/>
      <c r="G360" s="263"/>
      <c r="H360" s="272">
        <f t="shared" si="4"/>
        <v>0</v>
      </c>
    </row>
    <row r="361" ht="22.5" customHeight="1">
      <c r="A361" s="261"/>
      <c r="B361" s="262"/>
      <c r="C361" s="263"/>
      <c r="D361" s="264"/>
      <c r="E361" s="264">
        <f t="shared" si="3"/>
        <v>0</v>
      </c>
      <c r="F361" s="157"/>
      <c r="G361" s="263"/>
      <c r="H361" s="272">
        <f t="shared" si="4"/>
        <v>0</v>
      </c>
    </row>
    <row r="362" ht="22.5" customHeight="1">
      <c r="A362" s="261"/>
      <c r="B362" s="262"/>
      <c r="C362" s="263"/>
      <c r="D362" s="264"/>
      <c r="E362" s="264">
        <f t="shared" si="3"/>
        <v>0</v>
      </c>
      <c r="F362" s="157"/>
      <c r="G362" s="263"/>
      <c r="H362" s="272">
        <f t="shared" si="4"/>
        <v>0</v>
      </c>
    </row>
    <row r="363" ht="22.5" customHeight="1">
      <c r="A363" s="261"/>
      <c r="B363" s="262"/>
      <c r="C363" s="263"/>
      <c r="D363" s="264"/>
      <c r="E363" s="264">
        <f t="shared" si="3"/>
        <v>0</v>
      </c>
      <c r="F363" s="157"/>
      <c r="G363" s="263"/>
      <c r="H363" s="272">
        <f t="shared" si="4"/>
        <v>0</v>
      </c>
    </row>
    <row r="364" ht="22.5" customHeight="1">
      <c r="A364" s="261"/>
      <c r="B364" s="262"/>
      <c r="C364" s="263"/>
      <c r="D364" s="264"/>
      <c r="E364" s="264">
        <f t="shared" si="3"/>
        <v>0</v>
      </c>
      <c r="F364" s="157"/>
      <c r="G364" s="263"/>
      <c r="H364" s="272">
        <f t="shared" si="4"/>
        <v>0</v>
      </c>
    </row>
    <row r="365" ht="22.5" customHeight="1">
      <c r="A365" s="261"/>
      <c r="B365" s="262"/>
      <c r="C365" s="263"/>
      <c r="D365" s="264"/>
      <c r="E365" s="264">
        <f t="shared" si="3"/>
        <v>0</v>
      </c>
      <c r="F365" s="157"/>
      <c r="G365" s="263"/>
      <c r="H365" s="272">
        <f t="shared" si="4"/>
        <v>0</v>
      </c>
    </row>
    <row r="366" ht="22.5" customHeight="1">
      <c r="A366" s="261"/>
      <c r="B366" s="262"/>
      <c r="C366" s="263"/>
      <c r="D366" s="264"/>
      <c r="E366" s="264">
        <f t="shared" si="3"/>
        <v>0</v>
      </c>
      <c r="F366" s="157"/>
      <c r="G366" s="263"/>
      <c r="H366" s="272">
        <f t="shared" si="4"/>
        <v>0</v>
      </c>
    </row>
    <row r="367" ht="22.5" customHeight="1">
      <c r="A367" s="261"/>
      <c r="B367" s="262"/>
      <c r="C367" s="263"/>
      <c r="D367" s="264"/>
      <c r="E367" s="264">
        <f t="shared" si="3"/>
        <v>0</v>
      </c>
      <c r="F367" s="157"/>
      <c r="G367" s="263"/>
      <c r="H367" s="272">
        <f t="shared" si="4"/>
        <v>0</v>
      </c>
    </row>
    <row r="368" ht="22.5" customHeight="1">
      <c r="A368" s="261"/>
      <c r="B368" s="262"/>
      <c r="C368" s="263"/>
      <c r="D368" s="264"/>
      <c r="E368" s="264">
        <f t="shared" si="3"/>
        <v>0</v>
      </c>
      <c r="F368" s="157"/>
      <c r="G368" s="263"/>
      <c r="H368" s="272">
        <f t="shared" si="4"/>
        <v>0</v>
      </c>
    </row>
    <row r="369" ht="22.5" customHeight="1">
      <c r="A369" s="261"/>
      <c r="B369" s="262"/>
      <c r="C369" s="263"/>
      <c r="D369" s="264"/>
      <c r="E369" s="264">
        <f t="shared" si="3"/>
        <v>0</v>
      </c>
      <c r="F369" s="157"/>
      <c r="G369" s="263"/>
      <c r="H369" s="272">
        <f t="shared" si="4"/>
        <v>0</v>
      </c>
    </row>
    <row r="370" ht="22.5" customHeight="1">
      <c r="A370" s="261"/>
      <c r="B370" s="262"/>
      <c r="C370" s="263"/>
      <c r="D370" s="264"/>
      <c r="E370" s="264">
        <f t="shared" si="3"/>
        <v>0</v>
      </c>
      <c r="F370" s="157"/>
      <c r="G370" s="263"/>
      <c r="H370" s="272">
        <f t="shared" si="4"/>
        <v>0</v>
      </c>
    </row>
    <row r="371" ht="22.5" customHeight="1">
      <c r="A371" s="261"/>
      <c r="B371" s="262"/>
      <c r="C371" s="263"/>
      <c r="D371" s="264"/>
      <c r="E371" s="264">
        <f t="shared" si="3"/>
        <v>0</v>
      </c>
      <c r="F371" s="157"/>
      <c r="G371" s="263"/>
      <c r="H371" s="272">
        <f t="shared" si="4"/>
        <v>0</v>
      </c>
    </row>
    <row r="372" ht="22.5" customHeight="1">
      <c r="A372" s="261"/>
      <c r="B372" s="262"/>
      <c r="C372" s="263"/>
      <c r="D372" s="264"/>
      <c r="E372" s="264">
        <f t="shared" si="3"/>
        <v>0</v>
      </c>
      <c r="F372" s="157"/>
      <c r="G372" s="263"/>
      <c r="H372" s="272">
        <f t="shared" si="4"/>
        <v>0</v>
      </c>
    </row>
    <row r="373" ht="22.5" customHeight="1">
      <c r="A373" s="261"/>
      <c r="B373" s="262"/>
      <c r="C373" s="263"/>
      <c r="D373" s="264"/>
      <c r="E373" s="264">
        <f t="shared" si="3"/>
        <v>0</v>
      </c>
      <c r="F373" s="157"/>
      <c r="G373" s="263"/>
      <c r="H373" s="272">
        <f t="shared" si="4"/>
        <v>0</v>
      </c>
    </row>
    <row r="374" ht="22.5" customHeight="1">
      <c r="A374" s="261"/>
      <c r="B374" s="262"/>
      <c r="C374" s="263"/>
      <c r="D374" s="264"/>
      <c r="E374" s="264">
        <f t="shared" si="3"/>
        <v>0</v>
      </c>
      <c r="F374" s="157"/>
      <c r="G374" s="263"/>
      <c r="H374" s="272">
        <f t="shared" si="4"/>
        <v>0</v>
      </c>
    </row>
    <row r="375" ht="22.5" customHeight="1">
      <c r="A375" s="261"/>
      <c r="B375" s="262"/>
      <c r="C375" s="263"/>
      <c r="D375" s="264"/>
      <c r="E375" s="264">
        <f t="shared" si="3"/>
        <v>0</v>
      </c>
      <c r="F375" s="157"/>
      <c r="G375" s="263"/>
      <c r="H375" s="272">
        <f t="shared" si="4"/>
        <v>0</v>
      </c>
    </row>
    <row r="376" ht="22.5" customHeight="1">
      <c r="A376" s="261"/>
      <c r="B376" s="262"/>
      <c r="C376" s="263"/>
      <c r="D376" s="264"/>
      <c r="E376" s="264">
        <f t="shared" si="3"/>
        <v>0</v>
      </c>
      <c r="F376" s="157"/>
      <c r="G376" s="263"/>
      <c r="H376" s="272">
        <f t="shared" si="4"/>
        <v>0</v>
      </c>
    </row>
    <row r="377" ht="22.5" customHeight="1">
      <c r="A377" s="261"/>
      <c r="B377" s="262"/>
      <c r="C377" s="263"/>
      <c r="D377" s="264"/>
      <c r="E377" s="264">
        <f t="shared" si="3"/>
        <v>0</v>
      </c>
      <c r="F377" s="157"/>
      <c r="G377" s="263"/>
      <c r="H377" s="272">
        <f t="shared" si="4"/>
        <v>0</v>
      </c>
    </row>
    <row r="378" ht="22.5" customHeight="1">
      <c r="A378" s="261"/>
      <c r="B378" s="262"/>
      <c r="C378" s="263"/>
      <c r="D378" s="264"/>
      <c r="E378" s="264">
        <f t="shared" si="3"/>
        <v>0</v>
      </c>
      <c r="F378" s="157"/>
      <c r="G378" s="263"/>
      <c r="H378" s="272">
        <f t="shared" si="4"/>
        <v>0</v>
      </c>
    </row>
    <row r="379" ht="22.5" customHeight="1">
      <c r="A379" s="261"/>
      <c r="B379" s="262"/>
      <c r="C379" s="263"/>
      <c r="D379" s="264"/>
      <c r="E379" s="264">
        <f t="shared" si="3"/>
        <v>0</v>
      </c>
      <c r="F379" s="157"/>
      <c r="G379" s="263"/>
      <c r="H379" s="272">
        <f t="shared" si="4"/>
        <v>0</v>
      </c>
    </row>
    <row r="380" ht="22.5" customHeight="1">
      <c r="A380" s="261"/>
      <c r="B380" s="262"/>
      <c r="C380" s="263"/>
      <c r="D380" s="264"/>
      <c r="E380" s="264">
        <f t="shared" si="3"/>
        <v>0</v>
      </c>
      <c r="F380" s="157"/>
      <c r="G380" s="263"/>
      <c r="H380" s="272">
        <f t="shared" si="4"/>
        <v>0</v>
      </c>
    </row>
    <row r="381" ht="22.5" customHeight="1">
      <c r="A381" s="261"/>
      <c r="B381" s="262"/>
      <c r="C381" s="263"/>
      <c r="D381" s="264"/>
      <c r="E381" s="264">
        <f t="shared" si="3"/>
        <v>0</v>
      </c>
      <c r="F381" s="157"/>
      <c r="G381" s="263"/>
      <c r="H381" s="272">
        <f t="shared" si="4"/>
        <v>0</v>
      </c>
    </row>
    <row r="382" ht="22.5" customHeight="1">
      <c r="A382" s="261"/>
      <c r="B382" s="262"/>
      <c r="C382" s="263"/>
      <c r="D382" s="264"/>
      <c r="E382" s="264">
        <f t="shared" si="3"/>
        <v>0</v>
      </c>
      <c r="F382" s="157"/>
      <c r="G382" s="263"/>
      <c r="H382" s="272">
        <f t="shared" si="4"/>
        <v>0</v>
      </c>
    </row>
    <row r="383" ht="22.5" customHeight="1">
      <c r="A383" s="261"/>
      <c r="B383" s="262"/>
      <c r="C383" s="263"/>
      <c r="D383" s="264"/>
      <c r="E383" s="264">
        <f t="shared" si="3"/>
        <v>0</v>
      </c>
      <c r="F383" s="157"/>
      <c r="G383" s="263"/>
      <c r="H383" s="272">
        <f t="shared" si="4"/>
        <v>0</v>
      </c>
    </row>
    <row r="384" ht="22.5" customHeight="1">
      <c r="A384" s="261"/>
      <c r="B384" s="262"/>
      <c r="C384" s="263"/>
      <c r="D384" s="264"/>
      <c r="E384" s="264">
        <f t="shared" si="3"/>
        <v>0</v>
      </c>
      <c r="F384" s="157"/>
      <c r="G384" s="263"/>
      <c r="H384" s="272">
        <f t="shared" si="4"/>
        <v>0</v>
      </c>
    </row>
    <row r="385" ht="22.5" customHeight="1">
      <c r="A385" s="261"/>
      <c r="B385" s="262"/>
      <c r="C385" s="263"/>
      <c r="D385" s="264"/>
      <c r="E385" s="264">
        <f t="shared" si="3"/>
        <v>0</v>
      </c>
      <c r="F385" s="157"/>
      <c r="G385" s="263"/>
      <c r="H385" s="272">
        <f t="shared" si="4"/>
        <v>0</v>
      </c>
    </row>
    <row r="386" ht="22.5" customHeight="1">
      <c r="A386" s="261"/>
      <c r="B386" s="262"/>
      <c r="C386" s="263"/>
      <c r="D386" s="264"/>
      <c r="E386" s="264">
        <f t="shared" si="3"/>
        <v>0</v>
      </c>
      <c r="F386" s="157"/>
      <c r="G386" s="263"/>
      <c r="H386" s="272">
        <f t="shared" si="4"/>
        <v>0</v>
      </c>
    </row>
    <row r="387" ht="22.5" customHeight="1">
      <c r="A387" s="261"/>
      <c r="B387" s="262"/>
      <c r="C387" s="263"/>
      <c r="D387" s="264"/>
      <c r="E387" s="264">
        <f t="shared" si="3"/>
        <v>0</v>
      </c>
      <c r="F387" s="157"/>
      <c r="G387" s="263"/>
      <c r="H387" s="272">
        <f t="shared" si="4"/>
        <v>0</v>
      </c>
    </row>
    <row r="388" ht="22.5" customHeight="1">
      <c r="A388" s="261"/>
      <c r="B388" s="262"/>
      <c r="C388" s="263"/>
      <c r="D388" s="264"/>
      <c r="E388" s="264">
        <f t="shared" si="3"/>
        <v>0</v>
      </c>
      <c r="F388" s="157"/>
      <c r="G388" s="263"/>
      <c r="H388" s="272">
        <f t="shared" si="4"/>
        <v>0</v>
      </c>
    </row>
    <row r="389" ht="22.5" customHeight="1">
      <c r="A389" s="261"/>
      <c r="B389" s="262"/>
      <c r="C389" s="263"/>
      <c r="D389" s="264"/>
      <c r="E389" s="264">
        <f t="shared" si="3"/>
        <v>0</v>
      </c>
      <c r="F389" s="157"/>
      <c r="G389" s="263"/>
      <c r="H389" s="272">
        <f t="shared" si="4"/>
        <v>0</v>
      </c>
    </row>
    <row r="390" ht="22.5" customHeight="1">
      <c r="A390" s="261"/>
      <c r="B390" s="262"/>
      <c r="C390" s="263"/>
      <c r="D390" s="264"/>
      <c r="E390" s="264">
        <f t="shared" si="3"/>
        <v>0</v>
      </c>
      <c r="F390" s="157"/>
      <c r="G390" s="263"/>
      <c r="H390" s="272">
        <f t="shared" si="4"/>
        <v>0</v>
      </c>
    </row>
    <row r="391" ht="22.5" customHeight="1">
      <c r="A391" s="261"/>
      <c r="B391" s="262"/>
      <c r="C391" s="263"/>
      <c r="D391" s="264"/>
      <c r="E391" s="264">
        <f t="shared" si="3"/>
        <v>0</v>
      </c>
      <c r="F391" s="157"/>
      <c r="G391" s="263"/>
      <c r="H391" s="272">
        <f t="shared" si="4"/>
        <v>0</v>
      </c>
    </row>
    <row r="392" ht="22.5" customHeight="1">
      <c r="A392" s="261"/>
      <c r="B392" s="262"/>
      <c r="C392" s="263"/>
      <c r="D392" s="264"/>
      <c r="E392" s="264">
        <f t="shared" si="3"/>
        <v>0</v>
      </c>
      <c r="F392" s="157"/>
      <c r="G392" s="263"/>
      <c r="H392" s="272">
        <f t="shared" si="4"/>
        <v>0</v>
      </c>
    </row>
    <row r="393" ht="22.5" customHeight="1">
      <c r="A393" s="261"/>
      <c r="B393" s="262"/>
      <c r="C393" s="263"/>
      <c r="D393" s="264"/>
      <c r="E393" s="264">
        <f t="shared" si="3"/>
        <v>0</v>
      </c>
      <c r="F393" s="157"/>
      <c r="G393" s="263"/>
      <c r="H393" s="272">
        <f t="shared" si="4"/>
        <v>0</v>
      </c>
    </row>
    <row r="394" ht="22.5" customHeight="1">
      <c r="A394" s="261"/>
      <c r="B394" s="262"/>
      <c r="C394" s="263"/>
      <c r="D394" s="264"/>
      <c r="E394" s="264">
        <f t="shared" si="3"/>
        <v>0</v>
      </c>
      <c r="F394" s="157"/>
      <c r="G394" s="263"/>
      <c r="H394" s="272">
        <f t="shared" si="4"/>
        <v>0</v>
      </c>
    </row>
    <row r="395" ht="22.5" customHeight="1">
      <c r="A395" s="261"/>
      <c r="B395" s="262"/>
      <c r="C395" s="263"/>
      <c r="D395" s="264"/>
      <c r="E395" s="264">
        <f t="shared" si="3"/>
        <v>0</v>
      </c>
      <c r="F395" s="157"/>
      <c r="G395" s="263"/>
      <c r="H395" s="272">
        <f t="shared" si="4"/>
        <v>0</v>
      </c>
    </row>
    <row r="396" ht="22.5" customHeight="1">
      <c r="A396" s="261"/>
      <c r="B396" s="262"/>
      <c r="C396" s="263"/>
      <c r="D396" s="264"/>
      <c r="E396" s="264">
        <f t="shared" si="3"/>
        <v>0</v>
      </c>
      <c r="F396" s="157"/>
      <c r="G396" s="263"/>
      <c r="H396" s="272">
        <f t="shared" si="4"/>
        <v>0</v>
      </c>
    </row>
    <row r="397" ht="22.5" customHeight="1">
      <c r="A397" s="261"/>
      <c r="B397" s="262"/>
      <c r="C397" s="263"/>
      <c r="D397" s="264"/>
      <c r="E397" s="264">
        <f t="shared" si="3"/>
        <v>0</v>
      </c>
      <c r="F397" s="157"/>
      <c r="G397" s="263"/>
      <c r="H397" s="272">
        <f t="shared" si="4"/>
        <v>0</v>
      </c>
    </row>
    <row r="398" ht="22.5" customHeight="1">
      <c r="A398" s="261"/>
      <c r="B398" s="262"/>
      <c r="C398" s="263"/>
      <c r="D398" s="264"/>
      <c r="E398" s="264">
        <f t="shared" si="3"/>
        <v>0</v>
      </c>
      <c r="F398" s="157"/>
      <c r="G398" s="263"/>
      <c r="H398" s="272">
        <f t="shared" si="4"/>
        <v>0</v>
      </c>
    </row>
    <row r="399" ht="22.5" customHeight="1">
      <c r="A399" s="261"/>
      <c r="B399" s="262"/>
      <c r="C399" s="263"/>
      <c r="D399" s="264"/>
      <c r="E399" s="264">
        <f t="shared" si="3"/>
        <v>0</v>
      </c>
      <c r="F399" s="157"/>
      <c r="G399" s="263"/>
      <c r="H399" s="272">
        <f t="shared" si="4"/>
        <v>0</v>
      </c>
    </row>
    <row r="400" ht="22.5" customHeight="1">
      <c r="A400" s="261"/>
      <c r="B400" s="262"/>
      <c r="C400" s="263"/>
      <c r="D400" s="264"/>
      <c r="E400" s="264">
        <f t="shared" si="3"/>
        <v>0</v>
      </c>
      <c r="F400" s="157"/>
      <c r="G400" s="263"/>
      <c r="H400" s="272">
        <f t="shared" si="4"/>
        <v>0</v>
      </c>
    </row>
    <row r="401" ht="22.5" customHeight="1">
      <c r="A401" s="261"/>
      <c r="B401" s="262"/>
      <c r="C401" s="263"/>
      <c r="D401" s="264"/>
      <c r="E401" s="264">
        <f t="shared" si="3"/>
        <v>0</v>
      </c>
      <c r="F401" s="157"/>
      <c r="G401" s="263"/>
      <c r="H401" s="272">
        <f t="shared" si="4"/>
        <v>0</v>
      </c>
    </row>
    <row r="402" ht="22.5" customHeight="1">
      <c r="A402" s="261"/>
      <c r="B402" s="262"/>
      <c r="C402" s="263"/>
      <c r="D402" s="264"/>
      <c r="E402" s="264">
        <f t="shared" si="3"/>
        <v>0</v>
      </c>
      <c r="F402" s="157"/>
      <c r="G402" s="263"/>
      <c r="H402" s="272">
        <f t="shared" si="4"/>
        <v>0</v>
      </c>
    </row>
    <row r="403" ht="22.5" customHeight="1">
      <c r="A403" s="261"/>
      <c r="B403" s="262"/>
      <c r="C403" s="263"/>
      <c r="D403" s="264"/>
      <c r="E403" s="264">
        <f t="shared" si="3"/>
        <v>0</v>
      </c>
      <c r="F403" s="157"/>
      <c r="G403" s="263"/>
      <c r="H403" s="272">
        <f t="shared" si="4"/>
        <v>0</v>
      </c>
    </row>
    <row r="404" ht="22.5" customHeight="1">
      <c r="A404" s="261"/>
      <c r="B404" s="262"/>
      <c r="C404" s="263"/>
      <c r="D404" s="264"/>
      <c r="E404" s="264">
        <f t="shared" si="3"/>
        <v>0</v>
      </c>
      <c r="F404" s="157"/>
      <c r="G404" s="263"/>
      <c r="H404" s="272">
        <f t="shared" si="4"/>
        <v>0</v>
      </c>
    </row>
    <row r="405" ht="22.5" customHeight="1">
      <c r="A405" s="261"/>
      <c r="B405" s="262"/>
      <c r="C405" s="263"/>
      <c r="D405" s="264"/>
      <c r="E405" s="264">
        <f t="shared" si="3"/>
        <v>0</v>
      </c>
      <c r="F405" s="157"/>
      <c r="G405" s="263"/>
      <c r="H405" s="272">
        <f t="shared" si="4"/>
        <v>0</v>
      </c>
    </row>
    <row r="406" ht="22.5" customHeight="1">
      <c r="A406" s="261"/>
      <c r="B406" s="262"/>
      <c r="C406" s="263"/>
      <c r="D406" s="264"/>
      <c r="E406" s="264">
        <f t="shared" si="3"/>
        <v>0</v>
      </c>
      <c r="F406" s="157"/>
      <c r="G406" s="263"/>
      <c r="H406" s="272">
        <f t="shared" si="4"/>
        <v>0</v>
      </c>
    </row>
    <row r="407" ht="22.5" customHeight="1">
      <c r="A407" s="261"/>
      <c r="B407" s="262"/>
      <c r="C407" s="263"/>
      <c r="D407" s="264"/>
      <c r="E407" s="264">
        <f t="shared" si="3"/>
        <v>0</v>
      </c>
      <c r="F407" s="157"/>
      <c r="G407" s="263"/>
      <c r="H407" s="272">
        <f t="shared" si="4"/>
        <v>0</v>
      </c>
    </row>
    <row r="408" ht="22.5" customHeight="1">
      <c r="A408" s="261"/>
      <c r="B408" s="262"/>
      <c r="C408" s="263"/>
      <c r="D408" s="264"/>
      <c r="E408" s="264">
        <f t="shared" si="3"/>
        <v>0</v>
      </c>
      <c r="F408" s="157"/>
      <c r="G408" s="263"/>
      <c r="H408" s="272">
        <f t="shared" si="4"/>
        <v>0</v>
      </c>
    </row>
    <row r="409" ht="22.5" customHeight="1">
      <c r="A409" s="261"/>
      <c r="B409" s="262"/>
      <c r="C409" s="263"/>
      <c r="D409" s="264"/>
      <c r="E409" s="264">
        <f t="shared" si="3"/>
        <v>0</v>
      </c>
      <c r="F409" s="157"/>
      <c r="G409" s="263"/>
      <c r="H409" s="272">
        <f t="shared" si="4"/>
        <v>0</v>
      </c>
    </row>
    <row r="410" ht="22.5" customHeight="1">
      <c r="A410" s="261"/>
      <c r="B410" s="262"/>
      <c r="C410" s="263"/>
      <c r="D410" s="264"/>
      <c r="E410" s="264">
        <f t="shared" si="3"/>
        <v>0</v>
      </c>
      <c r="F410" s="157"/>
      <c r="G410" s="263"/>
      <c r="H410" s="272">
        <f t="shared" si="4"/>
        <v>0</v>
      </c>
    </row>
    <row r="411" ht="22.5" customHeight="1">
      <c r="A411" s="261"/>
      <c r="B411" s="262"/>
      <c r="C411" s="263"/>
      <c r="D411" s="264"/>
      <c r="E411" s="264">
        <f t="shared" si="3"/>
        <v>0</v>
      </c>
      <c r="F411" s="157"/>
      <c r="G411" s="263"/>
      <c r="H411" s="272">
        <f t="shared" si="4"/>
        <v>0</v>
      </c>
    </row>
    <row r="412" ht="22.5" customHeight="1">
      <c r="A412" s="261"/>
      <c r="B412" s="262"/>
      <c r="C412" s="263"/>
      <c r="D412" s="264"/>
      <c r="E412" s="264">
        <f t="shared" si="3"/>
        <v>0</v>
      </c>
      <c r="F412" s="157"/>
      <c r="G412" s="263"/>
      <c r="H412" s="272">
        <f t="shared" si="4"/>
        <v>0</v>
      </c>
    </row>
    <row r="413" ht="22.5" customHeight="1">
      <c r="A413" s="261"/>
      <c r="B413" s="262"/>
      <c r="C413" s="263"/>
      <c r="D413" s="264"/>
      <c r="E413" s="264">
        <f t="shared" si="3"/>
        <v>0</v>
      </c>
      <c r="F413" s="157"/>
      <c r="G413" s="263"/>
      <c r="H413" s="272">
        <f t="shared" si="4"/>
        <v>0</v>
      </c>
    </row>
    <row r="414" ht="22.5" customHeight="1">
      <c r="A414" s="261"/>
      <c r="B414" s="262"/>
      <c r="C414" s="263"/>
      <c r="D414" s="264"/>
      <c r="E414" s="264">
        <f t="shared" si="3"/>
        <v>0</v>
      </c>
      <c r="F414" s="157"/>
      <c r="G414" s="263"/>
      <c r="H414" s="272">
        <f t="shared" si="4"/>
        <v>0</v>
      </c>
    </row>
    <row r="415" ht="22.5" customHeight="1">
      <c r="A415" s="261"/>
      <c r="B415" s="262"/>
      <c r="C415" s="263"/>
      <c r="D415" s="264"/>
      <c r="E415" s="264">
        <f t="shared" si="3"/>
        <v>0</v>
      </c>
      <c r="F415" s="157"/>
      <c r="G415" s="263"/>
      <c r="H415" s="272">
        <f t="shared" si="4"/>
        <v>0</v>
      </c>
    </row>
    <row r="416" ht="22.5" customHeight="1">
      <c r="A416" s="261"/>
      <c r="B416" s="262"/>
      <c r="C416" s="263"/>
      <c r="D416" s="264"/>
      <c r="E416" s="264">
        <f t="shared" si="3"/>
        <v>0</v>
      </c>
      <c r="F416" s="157"/>
      <c r="G416" s="263"/>
      <c r="H416" s="272">
        <f t="shared" si="4"/>
        <v>0</v>
      </c>
    </row>
    <row r="417" ht="22.5" customHeight="1">
      <c r="A417" s="261"/>
      <c r="B417" s="262"/>
      <c r="C417" s="263"/>
      <c r="D417" s="264"/>
      <c r="E417" s="264">
        <f t="shared" si="3"/>
        <v>0</v>
      </c>
      <c r="F417" s="157"/>
      <c r="G417" s="263"/>
      <c r="H417" s="272">
        <f t="shared" si="4"/>
        <v>0</v>
      </c>
    </row>
    <row r="418" ht="22.5" customHeight="1">
      <c r="A418" s="261"/>
      <c r="B418" s="262"/>
      <c r="C418" s="263"/>
      <c r="D418" s="264"/>
      <c r="E418" s="264">
        <f t="shared" si="3"/>
        <v>0</v>
      </c>
      <c r="F418" s="157"/>
      <c r="G418" s="263"/>
      <c r="H418" s="272">
        <f t="shared" si="4"/>
        <v>0</v>
      </c>
    </row>
    <row r="419" ht="22.5" customHeight="1">
      <c r="A419" s="261"/>
      <c r="B419" s="262"/>
      <c r="C419" s="263"/>
      <c r="D419" s="264"/>
      <c r="E419" s="264">
        <f t="shared" si="3"/>
        <v>0</v>
      </c>
      <c r="F419" s="157"/>
      <c r="G419" s="263"/>
      <c r="H419" s="272">
        <f t="shared" si="4"/>
        <v>0</v>
      </c>
    </row>
    <row r="420" ht="22.5" customHeight="1">
      <c r="A420" s="261"/>
      <c r="B420" s="262"/>
      <c r="C420" s="263"/>
      <c r="D420" s="264"/>
      <c r="E420" s="264">
        <f t="shared" si="3"/>
        <v>0</v>
      </c>
      <c r="F420" s="157"/>
      <c r="G420" s="263"/>
      <c r="H420" s="272">
        <f t="shared" si="4"/>
        <v>0</v>
      </c>
    </row>
    <row r="421" ht="22.5" customHeight="1">
      <c r="A421" s="261"/>
      <c r="B421" s="262"/>
      <c r="C421" s="263"/>
      <c r="D421" s="264"/>
      <c r="E421" s="264">
        <f t="shared" si="3"/>
        <v>0</v>
      </c>
      <c r="F421" s="157"/>
      <c r="G421" s="263"/>
      <c r="H421" s="272">
        <f t="shared" si="4"/>
        <v>0</v>
      </c>
    </row>
    <row r="422" ht="22.5" customHeight="1">
      <c r="A422" s="261"/>
      <c r="B422" s="262"/>
      <c r="C422" s="263"/>
      <c r="D422" s="264"/>
      <c r="E422" s="264">
        <f t="shared" si="3"/>
        <v>0</v>
      </c>
      <c r="F422" s="157"/>
      <c r="G422" s="263"/>
      <c r="H422" s="272">
        <f t="shared" si="4"/>
        <v>0</v>
      </c>
    </row>
    <row r="423" ht="22.5" customHeight="1">
      <c r="A423" s="261"/>
      <c r="B423" s="262"/>
      <c r="C423" s="263"/>
      <c r="D423" s="264"/>
      <c r="E423" s="264">
        <f t="shared" si="3"/>
        <v>0</v>
      </c>
      <c r="F423" s="157"/>
      <c r="G423" s="263"/>
      <c r="H423" s="272">
        <f t="shared" si="4"/>
        <v>0</v>
      </c>
    </row>
    <row r="424" ht="22.5" customHeight="1">
      <c r="A424" s="261"/>
      <c r="B424" s="262"/>
      <c r="C424" s="263"/>
      <c r="D424" s="264"/>
      <c r="E424" s="264">
        <f t="shared" si="3"/>
        <v>0</v>
      </c>
      <c r="F424" s="157"/>
      <c r="G424" s="263"/>
      <c r="H424" s="272">
        <f t="shared" si="4"/>
        <v>0</v>
      </c>
    </row>
    <row r="425" ht="22.5" customHeight="1">
      <c r="A425" s="261"/>
      <c r="B425" s="262"/>
      <c r="C425" s="263"/>
      <c r="D425" s="264"/>
      <c r="E425" s="264">
        <f t="shared" si="3"/>
        <v>0</v>
      </c>
      <c r="F425" s="157"/>
      <c r="G425" s="263"/>
      <c r="H425" s="272">
        <f t="shared" si="4"/>
        <v>0</v>
      </c>
    </row>
    <row r="426" ht="22.5" customHeight="1">
      <c r="A426" s="261"/>
      <c r="B426" s="262"/>
      <c r="C426" s="263"/>
      <c r="D426" s="264"/>
      <c r="E426" s="264">
        <f t="shared" si="3"/>
        <v>0</v>
      </c>
      <c r="F426" s="157"/>
      <c r="G426" s="263"/>
      <c r="H426" s="272">
        <f t="shared" si="4"/>
        <v>0</v>
      </c>
    </row>
    <row r="427" ht="22.5" customHeight="1">
      <c r="A427" s="261"/>
      <c r="B427" s="262"/>
      <c r="C427" s="263"/>
      <c r="D427" s="264"/>
      <c r="E427" s="264">
        <f t="shared" si="3"/>
        <v>0</v>
      </c>
      <c r="F427" s="157"/>
      <c r="G427" s="263"/>
      <c r="H427" s="272">
        <f t="shared" si="4"/>
        <v>0</v>
      </c>
    </row>
    <row r="428" ht="22.5" customHeight="1">
      <c r="A428" s="261"/>
      <c r="B428" s="262"/>
      <c r="C428" s="263"/>
      <c r="D428" s="264"/>
      <c r="E428" s="264">
        <f t="shared" si="3"/>
        <v>0</v>
      </c>
      <c r="F428" s="157"/>
      <c r="G428" s="263"/>
      <c r="H428" s="272">
        <f t="shared" si="4"/>
        <v>0</v>
      </c>
    </row>
    <row r="429" ht="22.5" customHeight="1">
      <c r="A429" s="261"/>
      <c r="B429" s="262"/>
      <c r="C429" s="263"/>
      <c r="D429" s="264"/>
      <c r="E429" s="264">
        <f t="shared" si="3"/>
        <v>0</v>
      </c>
      <c r="F429" s="157"/>
      <c r="G429" s="263"/>
      <c r="H429" s="272">
        <f t="shared" si="4"/>
        <v>0</v>
      </c>
    </row>
    <row r="430" ht="22.5" customHeight="1">
      <c r="A430" s="261"/>
      <c r="B430" s="262"/>
      <c r="C430" s="263"/>
      <c r="D430" s="264"/>
      <c r="E430" s="264">
        <f t="shared" si="3"/>
        <v>0</v>
      </c>
      <c r="F430" s="157"/>
      <c r="G430" s="263"/>
      <c r="H430" s="272">
        <f t="shared" si="4"/>
        <v>0</v>
      </c>
    </row>
    <row r="431" ht="22.5" customHeight="1">
      <c r="A431" s="261"/>
      <c r="B431" s="262"/>
      <c r="C431" s="263"/>
      <c r="D431" s="264"/>
      <c r="E431" s="264">
        <f t="shared" si="3"/>
        <v>0</v>
      </c>
      <c r="F431" s="157"/>
      <c r="G431" s="263"/>
      <c r="H431" s="272">
        <f t="shared" si="4"/>
        <v>0</v>
      </c>
    </row>
    <row r="432" ht="22.5" customHeight="1">
      <c r="A432" s="261"/>
      <c r="B432" s="262"/>
      <c r="C432" s="263"/>
      <c r="D432" s="264"/>
      <c r="E432" s="264">
        <f t="shared" si="3"/>
        <v>0</v>
      </c>
      <c r="F432" s="157"/>
      <c r="G432" s="263"/>
      <c r="H432" s="272">
        <f t="shared" si="4"/>
        <v>0</v>
      </c>
    </row>
    <row r="433" ht="22.5" customHeight="1">
      <c r="A433" s="261"/>
      <c r="B433" s="262"/>
      <c r="C433" s="263"/>
      <c r="D433" s="264"/>
      <c r="E433" s="264">
        <f t="shared" si="3"/>
        <v>0</v>
      </c>
      <c r="F433" s="157"/>
      <c r="G433" s="263"/>
      <c r="H433" s="272">
        <f t="shared" si="4"/>
        <v>0</v>
      </c>
    </row>
    <row r="434" ht="22.5" customHeight="1">
      <c r="A434" s="261"/>
      <c r="B434" s="262"/>
      <c r="C434" s="263"/>
      <c r="D434" s="264"/>
      <c r="E434" s="264">
        <f t="shared" si="3"/>
        <v>0</v>
      </c>
      <c r="F434" s="157"/>
      <c r="G434" s="263"/>
      <c r="H434" s="272">
        <f t="shared" si="4"/>
        <v>0</v>
      </c>
    </row>
    <row r="435" ht="22.5" customHeight="1">
      <c r="A435" s="261"/>
      <c r="B435" s="262"/>
      <c r="C435" s="263"/>
      <c r="D435" s="264"/>
      <c r="E435" s="264">
        <f t="shared" si="3"/>
        <v>0</v>
      </c>
      <c r="F435" s="157"/>
      <c r="G435" s="263"/>
      <c r="H435" s="272">
        <f t="shared" si="4"/>
        <v>0</v>
      </c>
    </row>
    <row r="436" ht="22.5" customHeight="1">
      <c r="A436" s="261"/>
      <c r="B436" s="262"/>
      <c r="C436" s="263"/>
      <c r="D436" s="264"/>
      <c r="E436" s="264">
        <f t="shared" si="3"/>
        <v>0</v>
      </c>
      <c r="F436" s="157"/>
      <c r="G436" s="263"/>
      <c r="H436" s="272">
        <f t="shared" si="4"/>
        <v>0</v>
      </c>
    </row>
    <row r="437" ht="22.5" customHeight="1">
      <c r="A437" s="261"/>
      <c r="B437" s="262"/>
      <c r="C437" s="263"/>
      <c r="D437" s="264"/>
      <c r="E437" s="264">
        <f t="shared" si="3"/>
        <v>0</v>
      </c>
      <c r="F437" s="157"/>
      <c r="G437" s="263"/>
      <c r="H437" s="272">
        <f t="shared" si="4"/>
        <v>0</v>
      </c>
    </row>
    <row r="438" ht="22.5" customHeight="1">
      <c r="A438" s="261"/>
      <c r="B438" s="262"/>
      <c r="C438" s="263"/>
      <c r="D438" s="264"/>
      <c r="E438" s="264">
        <f t="shared" si="3"/>
        <v>0</v>
      </c>
      <c r="F438" s="157"/>
      <c r="G438" s="263"/>
      <c r="H438" s="272">
        <f t="shared" si="4"/>
        <v>0</v>
      </c>
    </row>
    <row r="439" ht="22.5" customHeight="1">
      <c r="A439" s="261"/>
      <c r="B439" s="262"/>
      <c r="C439" s="263"/>
      <c r="D439" s="264"/>
      <c r="E439" s="264">
        <f t="shared" si="3"/>
        <v>0</v>
      </c>
      <c r="F439" s="157"/>
      <c r="G439" s="263"/>
      <c r="H439" s="272">
        <f t="shared" si="4"/>
        <v>0</v>
      </c>
    </row>
    <row r="440" ht="22.5" customHeight="1">
      <c r="A440" s="261"/>
      <c r="B440" s="262"/>
      <c r="C440" s="263"/>
      <c r="D440" s="264"/>
      <c r="E440" s="264">
        <f t="shared" si="3"/>
        <v>0</v>
      </c>
      <c r="F440" s="157"/>
      <c r="G440" s="263"/>
      <c r="H440" s="272">
        <f t="shared" si="4"/>
        <v>0</v>
      </c>
    </row>
    <row r="441" ht="22.5" customHeight="1">
      <c r="A441" s="261"/>
      <c r="B441" s="262"/>
      <c r="C441" s="263"/>
      <c r="D441" s="264"/>
      <c r="E441" s="264">
        <f t="shared" si="3"/>
        <v>0</v>
      </c>
      <c r="F441" s="157"/>
      <c r="G441" s="263"/>
      <c r="H441" s="272">
        <f t="shared" si="4"/>
        <v>0</v>
      </c>
    </row>
    <row r="442" ht="22.5" customHeight="1">
      <c r="A442" s="261"/>
      <c r="B442" s="262"/>
      <c r="C442" s="263"/>
      <c r="D442" s="264"/>
      <c r="E442" s="264">
        <f t="shared" si="3"/>
        <v>0</v>
      </c>
      <c r="F442" s="157"/>
      <c r="G442" s="263"/>
      <c r="H442" s="272">
        <f t="shared" si="4"/>
        <v>0</v>
      </c>
    </row>
    <row r="443" ht="22.5" customHeight="1">
      <c r="A443" s="261"/>
      <c r="B443" s="262"/>
      <c r="C443" s="263"/>
      <c r="D443" s="264"/>
      <c r="E443" s="264">
        <f t="shared" si="3"/>
        <v>0</v>
      </c>
      <c r="F443" s="157"/>
      <c r="G443" s="263"/>
      <c r="H443" s="272">
        <f t="shared" si="4"/>
        <v>0</v>
      </c>
    </row>
    <row r="444" ht="22.5" customHeight="1">
      <c r="A444" s="261"/>
      <c r="B444" s="262"/>
      <c r="C444" s="263"/>
      <c r="D444" s="264"/>
      <c r="E444" s="264">
        <f t="shared" si="3"/>
        <v>0</v>
      </c>
      <c r="F444" s="157"/>
      <c r="G444" s="263"/>
      <c r="H444" s="272">
        <f t="shared" si="4"/>
        <v>0</v>
      </c>
    </row>
    <row r="445" ht="22.5" customHeight="1">
      <c r="A445" s="261"/>
      <c r="B445" s="262"/>
      <c r="C445" s="263"/>
      <c r="D445" s="264"/>
      <c r="E445" s="264">
        <f t="shared" si="3"/>
        <v>0</v>
      </c>
      <c r="F445" s="157"/>
      <c r="G445" s="263"/>
      <c r="H445" s="272">
        <f t="shared" si="4"/>
        <v>0</v>
      </c>
    </row>
    <row r="446" ht="22.5" customHeight="1">
      <c r="A446" s="261"/>
      <c r="B446" s="262"/>
      <c r="C446" s="263"/>
      <c r="D446" s="264"/>
      <c r="E446" s="264">
        <f t="shared" si="3"/>
        <v>0</v>
      </c>
      <c r="F446" s="157"/>
      <c r="G446" s="263"/>
      <c r="H446" s="272">
        <f t="shared" si="4"/>
        <v>0</v>
      </c>
    </row>
    <row r="447" ht="22.5" customHeight="1">
      <c r="A447" s="261"/>
      <c r="B447" s="262"/>
      <c r="C447" s="263"/>
      <c r="D447" s="264"/>
      <c r="E447" s="264">
        <f t="shared" si="3"/>
        <v>0</v>
      </c>
      <c r="F447" s="157"/>
      <c r="G447" s="263"/>
      <c r="H447" s="272">
        <f t="shared" si="4"/>
        <v>0</v>
      </c>
    </row>
    <row r="448" ht="22.5" customHeight="1">
      <c r="A448" s="261"/>
      <c r="B448" s="262"/>
      <c r="C448" s="263"/>
      <c r="D448" s="264"/>
      <c r="E448" s="264">
        <f t="shared" si="3"/>
        <v>0</v>
      </c>
      <c r="F448" s="157"/>
      <c r="G448" s="263"/>
      <c r="H448" s="272">
        <f t="shared" si="4"/>
        <v>0</v>
      </c>
    </row>
    <row r="449" ht="22.5" customHeight="1">
      <c r="A449" s="261"/>
      <c r="B449" s="262"/>
      <c r="C449" s="263"/>
      <c r="D449" s="264"/>
      <c r="E449" s="264">
        <f t="shared" si="3"/>
        <v>0</v>
      </c>
      <c r="F449" s="157"/>
      <c r="G449" s="263"/>
      <c r="H449" s="272">
        <f t="shared" si="4"/>
        <v>0</v>
      </c>
    </row>
    <row r="450" ht="22.5" customHeight="1">
      <c r="A450" s="261"/>
      <c r="B450" s="262"/>
      <c r="C450" s="263"/>
      <c r="D450" s="264"/>
      <c r="E450" s="264">
        <f t="shared" si="3"/>
        <v>0</v>
      </c>
      <c r="F450" s="157"/>
      <c r="G450" s="263"/>
      <c r="H450" s="272">
        <f t="shared" si="4"/>
        <v>0</v>
      </c>
    </row>
    <row r="451" ht="22.5" customHeight="1">
      <c r="A451" s="261"/>
      <c r="B451" s="262"/>
      <c r="C451" s="263"/>
      <c r="D451" s="264"/>
      <c r="E451" s="264">
        <f t="shared" si="3"/>
        <v>0</v>
      </c>
      <c r="F451" s="157"/>
      <c r="G451" s="263"/>
      <c r="H451" s="272">
        <f t="shared" si="4"/>
        <v>0</v>
      </c>
    </row>
    <row r="452" ht="22.5" customHeight="1">
      <c r="A452" s="261"/>
      <c r="B452" s="262"/>
      <c r="C452" s="263"/>
      <c r="D452" s="264"/>
      <c r="E452" s="264">
        <f t="shared" si="3"/>
        <v>0</v>
      </c>
      <c r="F452" s="157"/>
      <c r="G452" s="263"/>
      <c r="H452" s="272">
        <f t="shared" si="4"/>
        <v>0</v>
      </c>
    </row>
    <row r="453" ht="22.5" customHeight="1">
      <c r="A453" s="261"/>
      <c r="B453" s="262"/>
      <c r="C453" s="263"/>
      <c r="D453" s="264"/>
      <c r="E453" s="264">
        <f t="shared" si="3"/>
        <v>0</v>
      </c>
      <c r="F453" s="157"/>
      <c r="G453" s="263"/>
      <c r="H453" s="272">
        <f t="shared" si="4"/>
        <v>0</v>
      </c>
    </row>
    <row r="454" ht="22.5" customHeight="1">
      <c r="A454" s="261"/>
      <c r="B454" s="262"/>
      <c r="C454" s="263"/>
      <c r="D454" s="264"/>
      <c r="E454" s="264">
        <f t="shared" si="3"/>
        <v>0</v>
      </c>
      <c r="F454" s="157"/>
      <c r="G454" s="263"/>
      <c r="H454" s="272">
        <f t="shared" si="4"/>
        <v>0</v>
      </c>
    </row>
    <row r="455" ht="22.5" customHeight="1">
      <c r="A455" s="261"/>
      <c r="B455" s="262"/>
      <c r="C455" s="263"/>
      <c r="D455" s="264"/>
      <c r="E455" s="264">
        <f t="shared" si="3"/>
        <v>0</v>
      </c>
      <c r="F455" s="157"/>
      <c r="G455" s="263"/>
      <c r="H455" s="272">
        <f t="shared" si="4"/>
        <v>0</v>
      </c>
    </row>
    <row r="456" ht="22.5" customHeight="1">
      <c r="A456" s="261"/>
      <c r="B456" s="262"/>
      <c r="C456" s="263"/>
      <c r="D456" s="264"/>
      <c r="E456" s="264">
        <f t="shared" si="3"/>
        <v>0</v>
      </c>
      <c r="F456" s="157"/>
      <c r="G456" s="263"/>
      <c r="H456" s="272">
        <f t="shared" si="4"/>
        <v>0</v>
      </c>
    </row>
    <row r="457" ht="22.5" customHeight="1">
      <c r="A457" s="261"/>
      <c r="B457" s="262"/>
      <c r="C457" s="263"/>
      <c r="D457" s="264"/>
      <c r="E457" s="264">
        <f t="shared" si="3"/>
        <v>0</v>
      </c>
      <c r="F457" s="157"/>
      <c r="G457" s="263"/>
      <c r="H457" s="272">
        <f t="shared" si="4"/>
        <v>0</v>
      </c>
    </row>
    <row r="458" ht="22.5" customHeight="1">
      <c r="A458" s="261"/>
      <c r="B458" s="262"/>
      <c r="C458" s="263"/>
      <c r="D458" s="264"/>
      <c r="E458" s="264">
        <f t="shared" si="3"/>
        <v>0</v>
      </c>
      <c r="F458" s="157"/>
      <c r="G458" s="263"/>
      <c r="H458" s="272">
        <f t="shared" si="4"/>
        <v>0</v>
      </c>
    </row>
    <row r="459" ht="22.5" customHeight="1">
      <c r="A459" s="261"/>
      <c r="B459" s="262"/>
      <c r="C459" s="263"/>
      <c r="D459" s="264"/>
      <c r="E459" s="264">
        <f t="shared" si="3"/>
        <v>0</v>
      </c>
      <c r="F459" s="157"/>
      <c r="G459" s="263"/>
      <c r="H459" s="272">
        <f t="shared" si="4"/>
        <v>0</v>
      </c>
    </row>
    <row r="460" ht="22.5" customHeight="1">
      <c r="A460" s="261"/>
      <c r="B460" s="262"/>
      <c r="C460" s="263"/>
      <c r="D460" s="264"/>
      <c r="E460" s="264">
        <f t="shared" si="3"/>
        <v>0</v>
      </c>
      <c r="F460" s="157"/>
      <c r="G460" s="263"/>
      <c r="H460" s="272">
        <f t="shared" si="4"/>
        <v>0</v>
      </c>
    </row>
    <row r="461" ht="22.5" customHeight="1">
      <c r="A461" s="261"/>
      <c r="B461" s="262"/>
      <c r="C461" s="263"/>
      <c r="D461" s="264"/>
      <c r="E461" s="264">
        <f t="shared" si="3"/>
        <v>0</v>
      </c>
      <c r="F461" s="157"/>
      <c r="G461" s="263"/>
      <c r="H461" s="272">
        <f t="shared" si="4"/>
        <v>0</v>
      </c>
    </row>
    <row r="462" ht="22.5" customHeight="1">
      <c r="A462" s="261"/>
      <c r="B462" s="262"/>
      <c r="C462" s="263"/>
      <c r="D462" s="264"/>
      <c r="E462" s="264">
        <f t="shared" si="3"/>
        <v>0</v>
      </c>
      <c r="F462" s="157"/>
      <c r="G462" s="263"/>
      <c r="H462" s="272">
        <f t="shared" si="4"/>
        <v>0</v>
      </c>
    </row>
    <row r="463" ht="22.5" customHeight="1">
      <c r="A463" s="261"/>
      <c r="B463" s="262"/>
      <c r="C463" s="263"/>
      <c r="D463" s="264"/>
      <c r="E463" s="264">
        <f t="shared" si="3"/>
        <v>0</v>
      </c>
      <c r="F463" s="157"/>
      <c r="G463" s="263"/>
      <c r="H463" s="272">
        <f t="shared" si="4"/>
        <v>0</v>
      </c>
    </row>
    <row r="464" ht="22.5" customHeight="1">
      <c r="A464" s="261"/>
      <c r="B464" s="262"/>
      <c r="C464" s="263"/>
      <c r="D464" s="264"/>
      <c r="E464" s="264">
        <f t="shared" si="3"/>
        <v>0</v>
      </c>
      <c r="F464" s="157"/>
      <c r="G464" s="263"/>
      <c r="H464" s="272">
        <f t="shared" si="4"/>
        <v>0</v>
      </c>
    </row>
    <row r="465" ht="22.5" customHeight="1">
      <c r="A465" s="261"/>
      <c r="B465" s="262"/>
      <c r="C465" s="263"/>
      <c r="D465" s="264"/>
      <c r="E465" s="264">
        <f t="shared" si="3"/>
        <v>0</v>
      </c>
      <c r="F465" s="157"/>
      <c r="G465" s="263"/>
      <c r="H465" s="272">
        <f t="shared" si="4"/>
        <v>0</v>
      </c>
    </row>
    <row r="466" ht="22.5" customHeight="1">
      <c r="A466" s="261"/>
      <c r="B466" s="262"/>
      <c r="C466" s="263"/>
      <c r="D466" s="264"/>
      <c r="E466" s="264">
        <f t="shared" si="3"/>
        <v>0</v>
      </c>
      <c r="F466" s="157"/>
      <c r="G466" s="263"/>
      <c r="H466" s="272">
        <f t="shared" si="4"/>
        <v>0</v>
      </c>
    </row>
    <row r="467" ht="22.5" customHeight="1">
      <c r="A467" s="261"/>
      <c r="B467" s="262"/>
      <c r="C467" s="263"/>
      <c r="D467" s="264"/>
      <c r="E467" s="264">
        <f t="shared" si="3"/>
        <v>0</v>
      </c>
      <c r="F467" s="157"/>
      <c r="G467" s="263"/>
      <c r="H467" s="272">
        <f t="shared" si="4"/>
        <v>0</v>
      </c>
    </row>
    <row r="468" ht="22.5" customHeight="1">
      <c r="A468" s="261"/>
      <c r="B468" s="262"/>
      <c r="C468" s="263"/>
      <c r="D468" s="264"/>
      <c r="E468" s="264">
        <f t="shared" si="3"/>
        <v>0</v>
      </c>
      <c r="F468" s="157"/>
      <c r="G468" s="263"/>
      <c r="H468" s="272">
        <f t="shared" si="4"/>
        <v>0</v>
      </c>
    </row>
    <row r="469" ht="22.5" customHeight="1">
      <c r="A469" s="261"/>
      <c r="B469" s="262"/>
      <c r="C469" s="263"/>
      <c r="D469" s="264"/>
      <c r="E469" s="264">
        <f t="shared" si="3"/>
        <v>0</v>
      </c>
      <c r="F469" s="157"/>
      <c r="G469" s="263"/>
      <c r="H469" s="272">
        <f t="shared" si="4"/>
        <v>0</v>
      </c>
    </row>
    <row r="470" ht="22.5" customHeight="1">
      <c r="A470" s="261"/>
      <c r="B470" s="262"/>
      <c r="C470" s="263"/>
      <c r="D470" s="264"/>
      <c r="E470" s="264">
        <f t="shared" si="3"/>
        <v>0</v>
      </c>
      <c r="F470" s="157"/>
      <c r="G470" s="263"/>
      <c r="H470" s="272">
        <f t="shared" si="4"/>
        <v>0</v>
      </c>
    </row>
    <row r="471" ht="22.5" customHeight="1">
      <c r="A471" s="261"/>
      <c r="B471" s="262"/>
      <c r="C471" s="263"/>
      <c r="D471" s="264"/>
      <c r="E471" s="264">
        <f t="shared" si="3"/>
        <v>0</v>
      </c>
      <c r="F471" s="157"/>
      <c r="G471" s="263"/>
      <c r="H471" s="272">
        <f t="shared" si="4"/>
        <v>0</v>
      </c>
    </row>
    <row r="472" ht="22.5" customHeight="1">
      <c r="A472" s="261"/>
      <c r="B472" s="262"/>
      <c r="C472" s="263"/>
      <c r="D472" s="264"/>
      <c r="E472" s="264">
        <f t="shared" si="3"/>
        <v>0</v>
      </c>
      <c r="F472" s="157"/>
      <c r="G472" s="263"/>
      <c r="H472" s="272">
        <f t="shared" si="4"/>
        <v>0</v>
      </c>
    </row>
    <row r="473" ht="22.5" customHeight="1">
      <c r="A473" s="261"/>
      <c r="B473" s="262"/>
      <c r="C473" s="263"/>
      <c r="D473" s="264"/>
      <c r="E473" s="264">
        <f t="shared" si="3"/>
        <v>0</v>
      </c>
      <c r="F473" s="157"/>
      <c r="G473" s="263"/>
      <c r="H473" s="272">
        <f t="shared" si="4"/>
        <v>0</v>
      </c>
    </row>
    <row r="474" ht="22.5" customHeight="1">
      <c r="A474" s="261"/>
      <c r="B474" s="262"/>
      <c r="C474" s="263"/>
      <c r="D474" s="264"/>
      <c r="E474" s="264">
        <f t="shared" si="3"/>
        <v>0</v>
      </c>
      <c r="F474" s="157"/>
      <c r="G474" s="263"/>
      <c r="H474" s="272">
        <f t="shared" si="4"/>
        <v>0</v>
      </c>
    </row>
    <row r="475" ht="22.5" customHeight="1">
      <c r="A475" s="261"/>
      <c r="B475" s="262"/>
      <c r="C475" s="263"/>
      <c r="D475" s="264"/>
      <c r="E475" s="264">
        <f t="shared" si="3"/>
        <v>0</v>
      </c>
      <c r="F475" s="157"/>
      <c r="G475" s="263"/>
      <c r="H475" s="272">
        <f t="shared" si="4"/>
        <v>0</v>
      </c>
    </row>
    <row r="476" ht="22.5" customHeight="1">
      <c r="A476" s="261"/>
      <c r="B476" s="262"/>
      <c r="C476" s="263"/>
      <c r="D476" s="264"/>
      <c r="E476" s="264">
        <f t="shared" si="3"/>
        <v>0</v>
      </c>
      <c r="F476" s="157"/>
      <c r="G476" s="263"/>
      <c r="H476" s="272">
        <f t="shared" si="4"/>
        <v>0</v>
      </c>
    </row>
    <row r="477" ht="22.5" customHeight="1">
      <c r="A477" s="261"/>
      <c r="B477" s="262"/>
      <c r="C477" s="263"/>
      <c r="D477" s="264"/>
      <c r="E477" s="264">
        <f t="shared" si="3"/>
        <v>0</v>
      </c>
      <c r="F477" s="157"/>
      <c r="G477" s="263"/>
      <c r="H477" s="272">
        <f t="shared" si="4"/>
        <v>0</v>
      </c>
    </row>
    <row r="478" ht="22.5" customHeight="1">
      <c r="A478" s="261"/>
      <c r="B478" s="262"/>
      <c r="C478" s="263"/>
      <c r="D478" s="264"/>
      <c r="E478" s="264">
        <f t="shared" si="3"/>
        <v>0</v>
      </c>
      <c r="F478" s="157"/>
      <c r="G478" s="263"/>
      <c r="H478" s="272">
        <f t="shared" si="4"/>
        <v>0</v>
      </c>
    </row>
    <row r="479" ht="22.5" customHeight="1">
      <c r="A479" s="261"/>
      <c r="B479" s="262"/>
      <c r="C479" s="263"/>
      <c r="D479" s="264"/>
      <c r="E479" s="264">
        <f t="shared" si="3"/>
        <v>0</v>
      </c>
      <c r="F479" s="157"/>
      <c r="G479" s="263"/>
      <c r="H479" s="272">
        <f t="shared" si="4"/>
        <v>0</v>
      </c>
    </row>
    <row r="480" ht="22.5" customHeight="1">
      <c r="A480" s="261"/>
      <c r="B480" s="262"/>
      <c r="C480" s="263"/>
      <c r="D480" s="264"/>
      <c r="E480" s="264">
        <f t="shared" si="3"/>
        <v>0</v>
      </c>
      <c r="F480" s="157"/>
      <c r="G480" s="263"/>
      <c r="H480" s="272">
        <f t="shared" si="4"/>
        <v>0</v>
      </c>
    </row>
    <row r="481" ht="22.5" customHeight="1">
      <c r="A481" s="261"/>
      <c r="B481" s="262"/>
      <c r="C481" s="263"/>
      <c r="D481" s="264"/>
      <c r="E481" s="264">
        <f t="shared" si="3"/>
        <v>0</v>
      </c>
      <c r="F481" s="157"/>
      <c r="G481" s="263"/>
      <c r="H481" s="272">
        <f t="shared" si="4"/>
        <v>0</v>
      </c>
    </row>
    <row r="482" ht="22.5" customHeight="1">
      <c r="A482" s="261"/>
      <c r="B482" s="262"/>
      <c r="C482" s="263"/>
      <c r="D482" s="264"/>
      <c r="E482" s="264">
        <f t="shared" si="3"/>
        <v>0</v>
      </c>
      <c r="F482" s="157"/>
      <c r="G482" s="263"/>
      <c r="H482" s="272">
        <f t="shared" si="4"/>
        <v>0</v>
      </c>
    </row>
    <row r="483" ht="22.5" customHeight="1">
      <c r="A483" s="261"/>
      <c r="B483" s="262"/>
      <c r="C483" s="263"/>
      <c r="D483" s="264"/>
      <c r="E483" s="264">
        <f t="shared" si="3"/>
        <v>0</v>
      </c>
      <c r="F483" s="157"/>
      <c r="G483" s="263"/>
      <c r="H483" s="272">
        <f t="shared" si="4"/>
        <v>0</v>
      </c>
    </row>
    <row r="484" ht="22.5" customHeight="1">
      <c r="A484" s="261"/>
      <c r="B484" s="262"/>
      <c r="C484" s="263"/>
      <c r="D484" s="264"/>
      <c r="E484" s="264">
        <f t="shared" si="3"/>
        <v>0</v>
      </c>
      <c r="F484" s="157"/>
      <c r="G484" s="263"/>
      <c r="H484" s="272">
        <f t="shared" si="4"/>
        <v>0</v>
      </c>
    </row>
    <row r="485" ht="22.5" customHeight="1">
      <c r="A485" s="261"/>
      <c r="B485" s="262"/>
      <c r="C485" s="263"/>
      <c r="D485" s="264"/>
      <c r="E485" s="264">
        <f t="shared" si="3"/>
        <v>0</v>
      </c>
      <c r="F485" s="157"/>
      <c r="G485" s="263"/>
      <c r="H485" s="272">
        <f t="shared" si="4"/>
        <v>0</v>
      </c>
    </row>
    <row r="486" ht="22.5" customHeight="1">
      <c r="A486" s="261"/>
      <c r="B486" s="262"/>
      <c r="C486" s="263"/>
      <c r="D486" s="264"/>
      <c r="E486" s="264">
        <f t="shared" si="3"/>
        <v>0</v>
      </c>
      <c r="F486" s="157"/>
      <c r="G486" s="263"/>
      <c r="H486" s="272">
        <f t="shared" si="4"/>
        <v>0</v>
      </c>
    </row>
    <row r="487" ht="22.5" customHeight="1">
      <c r="A487" s="261"/>
      <c r="B487" s="262"/>
      <c r="C487" s="263"/>
      <c r="D487" s="264"/>
      <c r="E487" s="264">
        <f t="shared" si="3"/>
        <v>0</v>
      </c>
      <c r="F487" s="157"/>
      <c r="G487" s="263"/>
      <c r="H487" s="272">
        <f t="shared" si="4"/>
        <v>0</v>
      </c>
    </row>
    <row r="488" ht="22.5" customHeight="1">
      <c r="A488" s="261"/>
      <c r="B488" s="262"/>
      <c r="C488" s="263"/>
      <c r="D488" s="264"/>
      <c r="E488" s="264">
        <f t="shared" si="3"/>
        <v>0</v>
      </c>
      <c r="F488" s="157"/>
      <c r="G488" s="263"/>
      <c r="H488" s="272">
        <f t="shared" si="4"/>
        <v>0</v>
      </c>
    </row>
    <row r="489" ht="22.5" customHeight="1">
      <c r="A489" s="261"/>
      <c r="B489" s="262"/>
      <c r="C489" s="263"/>
      <c r="D489" s="264"/>
      <c r="E489" s="264">
        <f t="shared" si="3"/>
        <v>0</v>
      </c>
      <c r="F489" s="157"/>
      <c r="G489" s="263"/>
      <c r="H489" s="272">
        <f t="shared" si="4"/>
        <v>0</v>
      </c>
    </row>
    <row r="490" ht="22.5" customHeight="1">
      <c r="A490" s="261"/>
      <c r="B490" s="262"/>
      <c r="C490" s="263"/>
      <c r="D490" s="264"/>
      <c r="E490" s="264">
        <f t="shared" si="3"/>
        <v>0</v>
      </c>
      <c r="F490" s="157"/>
      <c r="G490" s="263"/>
      <c r="H490" s="272">
        <f t="shared" si="4"/>
        <v>0</v>
      </c>
    </row>
    <row r="491" ht="22.5" customHeight="1">
      <c r="A491" s="261"/>
      <c r="B491" s="262"/>
      <c r="C491" s="263"/>
      <c r="D491" s="264"/>
      <c r="E491" s="264">
        <f t="shared" si="3"/>
        <v>0</v>
      </c>
      <c r="F491" s="157"/>
      <c r="G491" s="263"/>
      <c r="H491" s="272">
        <f t="shared" si="4"/>
        <v>0</v>
      </c>
    </row>
    <row r="492" ht="22.5" customHeight="1">
      <c r="A492" s="261"/>
      <c r="B492" s="262"/>
      <c r="C492" s="263"/>
      <c r="D492" s="264"/>
      <c r="E492" s="264">
        <f t="shared" si="3"/>
        <v>0</v>
      </c>
      <c r="F492" s="157"/>
      <c r="G492" s="263"/>
      <c r="H492" s="272">
        <f t="shared" si="4"/>
        <v>0</v>
      </c>
    </row>
    <row r="493" ht="22.5" customHeight="1">
      <c r="A493" s="261"/>
      <c r="B493" s="262"/>
      <c r="C493" s="263"/>
      <c r="D493" s="264"/>
      <c r="E493" s="264">
        <f t="shared" si="3"/>
        <v>0</v>
      </c>
      <c r="F493" s="157"/>
      <c r="G493" s="263"/>
      <c r="H493" s="272">
        <f t="shared" si="4"/>
        <v>0</v>
      </c>
    </row>
    <row r="494" ht="22.5" customHeight="1">
      <c r="A494" s="261"/>
      <c r="B494" s="262"/>
      <c r="C494" s="263"/>
      <c r="D494" s="264"/>
      <c r="E494" s="264">
        <f t="shared" si="3"/>
        <v>0</v>
      </c>
      <c r="F494" s="157"/>
      <c r="G494" s="263"/>
      <c r="H494" s="272">
        <f t="shared" si="4"/>
        <v>0</v>
      </c>
    </row>
    <row r="495" ht="22.5" customHeight="1">
      <c r="A495" s="261"/>
      <c r="B495" s="262"/>
      <c r="C495" s="263"/>
      <c r="D495" s="264"/>
      <c r="E495" s="264">
        <f t="shared" si="3"/>
        <v>0</v>
      </c>
      <c r="F495" s="157"/>
      <c r="G495" s="263"/>
      <c r="H495" s="272">
        <f t="shared" si="4"/>
        <v>0</v>
      </c>
    </row>
    <row r="496" ht="22.5" customHeight="1">
      <c r="A496" s="261"/>
      <c r="B496" s="262"/>
      <c r="C496" s="263"/>
      <c r="D496" s="264"/>
      <c r="E496" s="264">
        <f t="shared" si="3"/>
        <v>0</v>
      </c>
      <c r="F496" s="157"/>
      <c r="G496" s="263"/>
      <c r="H496" s="272">
        <f t="shared" si="4"/>
        <v>0</v>
      </c>
    </row>
    <row r="497" ht="22.5" customHeight="1">
      <c r="A497" s="261"/>
      <c r="B497" s="262"/>
      <c r="C497" s="263"/>
      <c r="D497" s="264"/>
      <c r="E497" s="264">
        <f t="shared" si="3"/>
        <v>0</v>
      </c>
      <c r="F497" s="157"/>
      <c r="G497" s="263"/>
      <c r="H497" s="272">
        <f t="shared" si="4"/>
        <v>0</v>
      </c>
    </row>
    <row r="498" ht="22.5" customHeight="1">
      <c r="A498" s="261"/>
      <c r="B498" s="262"/>
      <c r="C498" s="263"/>
      <c r="D498" s="264"/>
      <c r="E498" s="264">
        <f t="shared" si="3"/>
        <v>0</v>
      </c>
      <c r="F498" s="157"/>
      <c r="G498" s="263"/>
      <c r="H498" s="272">
        <f t="shared" si="4"/>
        <v>0</v>
      </c>
    </row>
    <row r="499" ht="22.5" customHeight="1">
      <c r="A499" s="261"/>
      <c r="B499" s="262"/>
      <c r="C499" s="263"/>
      <c r="D499" s="264"/>
      <c r="E499" s="264">
        <f t="shared" si="3"/>
        <v>0</v>
      </c>
      <c r="F499" s="157"/>
      <c r="G499" s="263"/>
      <c r="H499" s="272">
        <f t="shared" si="4"/>
        <v>0</v>
      </c>
    </row>
    <row r="500" ht="22.5" customHeight="1">
      <c r="A500" s="261"/>
      <c r="B500" s="262"/>
      <c r="C500" s="263"/>
      <c r="D500" s="264"/>
      <c r="E500" s="264">
        <f t="shared" si="3"/>
        <v>0</v>
      </c>
      <c r="F500" s="157"/>
      <c r="G500" s="263"/>
      <c r="H500" s="272">
        <f t="shared" si="4"/>
        <v>0</v>
      </c>
    </row>
    <row r="501" ht="22.5" customHeight="1">
      <c r="A501" s="261"/>
      <c r="B501" s="262"/>
      <c r="C501" s="263"/>
      <c r="D501" s="264"/>
      <c r="E501" s="264">
        <f t="shared" si="3"/>
        <v>0</v>
      </c>
      <c r="F501" s="157"/>
      <c r="G501" s="263"/>
      <c r="H501" s="272">
        <f t="shared" si="4"/>
        <v>0</v>
      </c>
    </row>
    <row r="502" ht="22.5" customHeight="1">
      <c r="A502" s="261"/>
      <c r="B502" s="262"/>
      <c r="C502" s="263"/>
      <c r="D502" s="264"/>
      <c r="E502" s="264">
        <f t="shared" si="3"/>
        <v>0</v>
      </c>
      <c r="F502" s="157"/>
      <c r="G502" s="263"/>
      <c r="H502" s="272">
        <f t="shared" si="4"/>
        <v>0</v>
      </c>
    </row>
    <row r="503" ht="22.5" customHeight="1">
      <c r="A503" s="261"/>
      <c r="B503" s="262"/>
      <c r="C503" s="263"/>
      <c r="D503" s="264"/>
      <c r="E503" s="264">
        <f t="shared" si="3"/>
        <v>0</v>
      </c>
      <c r="F503" s="157"/>
      <c r="G503" s="263"/>
      <c r="H503" s="272">
        <f t="shared" si="4"/>
        <v>0</v>
      </c>
    </row>
    <row r="504" ht="22.5" customHeight="1">
      <c r="A504" s="261"/>
      <c r="B504" s="262"/>
      <c r="C504" s="263"/>
      <c r="D504" s="264"/>
      <c r="E504" s="264">
        <f t="shared" si="3"/>
        <v>0</v>
      </c>
      <c r="F504" s="157"/>
      <c r="G504" s="263"/>
      <c r="H504" s="272">
        <f t="shared" si="4"/>
        <v>0</v>
      </c>
    </row>
    <row r="505" ht="22.5" customHeight="1">
      <c r="A505" s="261"/>
      <c r="B505" s="262"/>
      <c r="C505" s="263"/>
      <c r="D505" s="264"/>
      <c r="E505" s="264">
        <f t="shared" si="3"/>
        <v>0</v>
      </c>
      <c r="F505" s="157"/>
      <c r="G505" s="263"/>
      <c r="H505" s="272">
        <f t="shared" si="4"/>
        <v>0</v>
      </c>
    </row>
    <row r="506" ht="22.5" customHeight="1">
      <c r="A506" s="261"/>
      <c r="B506" s="262"/>
      <c r="C506" s="263"/>
      <c r="D506" s="264"/>
      <c r="E506" s="264">
        <f t="shared" si="3"/>
        <v>0</v>
      </c>
      <c r="F506" s="157"/>
      <c r="G506" s="263"/>
      <c r="H506" s="272">
        <f t="shared" si="4"/>
        <v>0</v>
      </c>
    </row>
    <row r="507" ht="22.5" customHeight="1">
      <c r="A507" s="261"/>
      <c r="B507" s="262"/>
      <c r="C507" s="263"/>
      <c r="D507" s="264"/>
      <c r="E507" s="264">
        <f t="shared" si="3"/>
        <v>0</v>
      </c>
      <c r="F507" s="157"/>
      <c r="G507" s="263"/>
      <c r="H507" s="272">
        <f t="shared" si="4"/>
        <v>0</v>
      </c>
    </row>
    <row r="508" ht="22.5" customHeight="1">
      <c r="A508" s="261"/>
      <c r="B508" s="262"/>
      <c r="C508" s="263"/>
      <c r="D508" s="264"/>
      <c r="E508" s="264">
        <f t="shared" si="3"/>
        <v>0</v>
      </c>
      <c r="F508" s="157"/>
      <c r="G508" s="263"/>
      <c r="H508" s="272">
        <f t="shared" si="4"/>
        <v>0</v>
      </c>
    </row>
    <row r="509" ht="22.5" customHeight="1">
      <c r="A509" s="261"/>
      <c r="B509" s="262"/>
      <c r="C509" s="263"/>
      <c r="D509" s="264"/>
      <c r="E509" s="264">
        <f t="shared" si="3"/>
        <v>0</v>
      </c>
      <c r="F509" s="157"/>
      <c r="G509" s="263"/>
      <c r="H509" s="272">
        <f t="shared" si="4"/>
        <v>0</v>
      </c>
    </row>
    <row r="510" ht="22.5" customHeight="1">
      <c r="A510" s="261"/>
      <c r="B510" s="262"/>
      <c r="C510" s="263"/>
      <c r="D510" s="264"/>
      <c r="E510" s="264">
        <f t="shared" si="3"/>
        <v>0</v>
      </c>
      <c r="F510" s="157"/>
      <c r="G510" s="263"/>
      <c r="H510" s="272">
        <f t="shared" si="4"/>
        <v>0</v>
      </c>
    </row>
    <row r="511" ht="22.5" customHeight="1">
      <c r="A511" s="261"/>
      <c r="B511" s="262"/>
      <c r="C511" s="263"/>
      <c r="D511" s="264"/>
      <c r="E511" s="264">
        <f t="shared" si="3"/>
        <v>0</v>
      </c>
      <c r="F511" s="157"/>
      <c r="G511" s="263"/>
      <c r="H511" s="272">
        <f t="shared" si="4"/>
        <v>0</v>
      </c>
    </row>
    <row r="512" ht="22.5" customHeight="1">
      <c r="A512" s="261"/>
      <c r="B512" s="262"/>
      <c r="C512" s="263"/>
      <c r="D512" s="264"/>
      <c r="E512" s="264">
        <f t="shared" si="3"/>
        <v>0</v>
      </c>
      <c r="F512" s="157"/>
      <c r="G512" s="263"/>
      <c r="H512" s="272">
        <f t="shared" si="4"/>
        <v>0</v>
      </c>
    </row>
    <row r="513" ht="22.5" customHeight="1">
      <c r="A513" s="261"/>
      <c r="B513" s="262"/>
      <c r="C513" s="263"/>
      <c r="D513" s="264"/>
      <c r="E513" s="264">
        <f t="shared" si="3"/>
        <v>0</v>
      </c>
      <c r="F513" s="157"/>
      <c r="G513" s="263"/>
      <c r="H513" s="272">
        <f t="shared" si="4"/>
        <v>0</v>
      </c>
    </row>
    <row r="514" ht="22.5" customHeight="1">
      <c r="A514" s="261"/>
      <c r="B514" s="262"/>
      <c r="C514" s="263"/>
      <c r="D514" s="264"/>
      <c r="E514" s="264">
        <f t="shared" si="3"/>
        <v>0</v>
      </c>
      <c r="F514" s="157"/>
      <c r="G514" s="263"/>
      <c r="H514" s="272">
        <f t="shared" si="4"/>
        <v>0</v>
      </c>
    </row>
    <row r="515" ht="22.5" customHeight="1">
      <c r="A515" s="261"/>
      <c r="B515" s="262"/>
      <c r="C515" s="263"/>
      <c r="D515" s="264"/>
      <c r="E515" s="264">
        <f t="shared" si="3"/>
        <v>0</v>
      </c>
      <c r="F515" s="157"/>
      <c r="G515" s="263"/>
      <c r="H515" s="272">
        <f t="shared" si="4"/>
        <v>0</v>
      </c>
    </row>
    <row r="516" ht="22.5" customHeight="1">
      <c r="A516" s="261"/>
      <c r="B516" s="262"/>
      <c r="C516" s="263"/>
      <c r="D516" s="264"/>
      <c r="E516" s="264">
        <f t="shared" si="3"/>
        <v>0</v>
      </c>
      <c r="F516" s="157"/>
      <c r="G516" s="263"/>
      <c r="H516" s="272">
        <f t="shared" si="4"/>
        <v>0</v>
      </c>
    </row>
    <row r="517" ht="22.5" customHeight="1">
      <c r="A517" s="261"/>
      <c r="B517" s="262"/>
      <c r="C517" s="263"/>
      <c r="D517" s="264"/>
      <c r="E517" s="264">
        <f t="shared" si="3"/>
        <v>0</v>
      </c>
      <c r="F517" s="157"/>
      <c r="G517" s="263"/>
      <c r="H517" s="272">
        <f t="shared" si="4"/>
        <v>0</v>
      </c>
    </row>
    <row r="518" ht="22.5" customHeight="1">
      <c r="A518" s="261"/>
      <c r="B518" s="262"/>
      <c r="C518" s="263"/>
      <c r="D518" s="264"/>
      <c r="E518" s="264">
        <f t="shared" si="3"/>
        <v>0</v>
      </c>
      <c r="F518" s="157"/>
      <c r="G518" s="263"/>
      <c r="H518" s="272">
        <f t="shared" si="4"/>
        <v>0</v>
      </c>
    </row>
    <row r="519" ht="22.5" customHeight="1">
      <c r="A519" s="261"/>
      <c r="B519" s="262"/>
      <c r="C519" s="263"/>
      <c r="D519" s="264"/>
      <c r="E519" s="264">
        <f t="shared" si="3"/>
        <v>0</v>
      </c>
      <c r="F519" s="157"/>
      <c r="G519" s="263"/>
      <c r="H519" s="272">
        <f t="shared" si="4"/>
        <v>0</v>
      </c>
    </row>
    <row r="520" ht="22.5" customHeight="1">
      <c r="A520" s="261"/>
      <c r="B520" s="262"/>
      <c r="C520" s="263"/>
      <c r="D520" s="264"/>
      <c r="E520" s="264">
        <f t="shared" si="3"/>
        <v>0</v>
      </c>
      <c r="F520" s="157"/>
      <c r="G520" s="263"/>
      <c r="H520" s="272">
        <f t="shared" si="4"/>
        <v>0</v>
      </c>
    </row>
    <row r="521" ht="22.5" customHeight="1">
      <c r="A521" s="261"/>
      <c r="B521" s="262"/>
      <c r="C521" s="263"/>
      <c r="D521" s="264"/>
      <c r="E521" s="264">
        <f t="shared" si="3"/>
        <v>0</v>
      </c>
      <c r="F521" s="157"/>
      <c r="G521" s="263"/>
      <c r="H521" s="272">
        <f t="shared" si="4"/>
        <v>0</v>
      </c>
    </row>
    <row r="522" ht="22.5" customHeight="1">
      <c r="A522" s="261"/>
      <c r="B522" s="262"/>
      <c r="C522" s="263"/>
      <c r="D522" s="264"/>
      <c r="E522" s="264">
        <f t="shared" si="3"/>
        <v>0</v>
      </c>
      <c r="F522" s="157"/>
      <c r="G522" s="263"/>
      <c r="H522" s="272">
        <f t="shared" si="4"/>
        <v>0</v>
      </c>
    </row>
    <row r="523" ht="22.5" customHeight="1">
      <c r="A523" s="261"/>
      <c r="B523" s="262"/>
      <c r="C523" s="263"/>
      <c r="D523" s="264"/>
      <c r="E523" s="264">
        <f t="shared" si="3"/>
        <v>0</v>
      </c>
      <c r="F523" s="157"/>
      <c r="G523" s="263"/>
      <c r="H523" s="272">
        <f t="shared" si="4"/>
        <v>0</v>
      </c>
    </row>
    <row r="524" ht="22.5" customHeight="1">
      <c r="A524" s="261"/>
      <c r="B524" s="262"/>
      <c r="C524" s="263"/>
      <c r="D524" s="264"/>
      <c r="E524" s="264">
        <f t="shared" si="3"/>
        <v>0</v>
      </c>
      <c r="F524" s="157"/>
      <c r="G524" s="263"/>
      <c r="H524" s="272">
        <f t="shared" si="4"/>
        <v>0</v>
      </c>
    </row>
    <row r="525" ht="22.5" customHeight="1">
      <c r="A525" s="261"/>
      <c r="B525" s="262"/>
      <c r="C525" s="263"/>
      <c r="D525" s="264"/>
      <c r="E525" s="264">
        <f t="shared" si="3"/>
        <v>0</v>
      </c>
      <c r="F525" s="157"/>
      <c r="G525" s="263"/>
      <c r="H525" s="272">
        <f t="shared" si="4"/>
        <v>0</v>
      </c>
    </row>
    <row r="526" ht="22.5" customHeight="1">
      <c r="A526" s="261"/>
      <c r="B526" s="262"/>
      <c r="C526" s="263"/>
      <c r="D526" s="264"/>
      <c r="E526" s="264">
        <f t="shared" si="3"/>
        <v>0</v>
      </c>
      <c r="F526" s="157"/>
      <c r="G526" s="263"/>
      <c r="H526" s="272">
        <f t="shared" si="4"/>
        <v>0</v>
      </c>
    </row>
    <row r="527" ht="22.5" customHeight="1">
      <c r="A527" s="261"/>
      <c r="B527" s="262"/>
      <c r="C527" s="263"/>
      <c r="D527" s="264"/>
      <c r="E527" s="264">
        <f t="shared" si="3"/>
        <v>0</v>
      </c>
      <c r="F527" s="157"/>
      <c r="G527" s="263"/>
      <c r="H527" s="272">
        <f t="shared" si="4"/>
        <v>0</v>
      </c>
    </row>
    <row r="528" ht="22.5" customHeight="1">
      <c r="A528" s="261"/>
      <c r="B528" s="262"/>
      <c r="C528" s="263"/>
      <c r="D528" s="264"/>
      <c r="E528" s="264">
        <f t="shared" si="3"/>
        <v>0</v>
      </c>
      <c r="F528" s="157"/>
      <c r="G528" s="263"/>
      <c r="H528" s="272">
        <f t="shared" si="4"/>
        <v>0</v>
      </c>
    </row>
    <row r="529" ht="22.5" customHeight="1">
      <c r="A529" s="261"/>
      <c r="B529" s="262"/>
      <c r="C529" s="263"/>
      <c r="D529" s="264"/>
      <c r="E529" s="264">
        <f t="shared" si="3"/>
        <v>0</v>
      </c>
      <c r="F529" s="157"/>
      <c r="G529" s="263"/>
      <c r="H529" s="272">
        <f t="shared" si="4"/>
        <v>0</v>
      </c>
    </row>
    <row r="530" ht="22.5" customHeight="1">
      <c r="A530" s="261"/>
      <c r="B530" s="262"/>
      <c r="C530" s="263"/>
      <c r="D530" s="264"/>
      <c r="E530" s="264">
        <f t="shared" si="3"/>
        <v>0</v>
      </c>
      <c r="F530" s="157"/>
      <c r="G530" s="263"/>
      <c r="H530" s="272">
        <f t="shared" si="4"/>
        <v>0</v>
      </c>
    </row>
    <row r="531" ht="22.5" customHeight="1">
      <c r="A531" s="261"/>
      <c r="B531" s="262"/>
      <c r="C531" s="263"/>
      <c r="D531" s="264"/>
      <c r="E531" s="264">
        <f t="shared" si="3"/>
        <v>0</v>
      </c>
      <c r="F531" s="157"/>
      <c r="G531" s="263"/>
      <c r="H531" s="272">
        <f t="shared" si="4"/>
        <v>0</v>
      </c>
    </row>
    <row r="532" ht="22.5" customHeight="1">
      <c r="A532" s="261"/>
      <c r="B532" s="262"/>
      <c r="C532" s="263"/>
      <c r="D532" s="264"/>
      <c r="E532" s="264">
        <f t="shared" si="3"/>
        <v>0</v>
      </c>
      <c r="F532" s="157"/>
      <c r="G532" s="263"/>
      <c r="H532" s="272">
        <f t="shared" si="4"/>
        <v>0</v>
      </c>
    </row>
    <row r="533" ht="22.5" customHeight="1">
      <c r="A533" s="261"/>
      <c r="B533" s="262"/>
      <c r="C533" s="263"/>
      <c r="D533" s="264"/>
      <c r="E533" s="264">
        <f t="shared" si="3"/>
        <v>0</v>
      </c>
      <c r="F533" s="157"/>
      <c r="G533" s="263"/>
      <c r="H533" s="272">
        <f t="shared" si="4"/>
        <v>0</v>
      </c>
    </row>
    <row r="534" ht="22.5" customHeight="1">
      <c r="A534" s="261"/>
      <c r="B534" s="262"/>
      <c r="C534" s="263"/>
      <c r="D534" s="264"/>
      <c r="E534" s="264">
        <f t="shared" si="3"/>
        <v>0</v>
      </c>
      <c r="F534" s="157"/>
      <c r="G534" s="263"/>
      <c r="H534" s="272">
        <f t="shared" si="4"/>
        <v>0</v>
      </c>
    </row>
    <row r="535" ht="22.5" customHeight="1">
      <c r="A535" s="261"/>
      <c r="B535" s="262"/>
      <c r="C535" s="263"/>
      <c r="D535" s="264"/>
      <c r="E535" s="264">
        <f t="shared" si="3"/>
        <v>0</v>
      </c>
      <c r="F535" s="157"/>
      <c r="G535" s="263"/>
      <c r="H535" s="272">
        <f t="shared" si="4"/>
        <v>0</v>
      </c>
    </row>
    <row r="536" ht="22.5" customHeight="1">
      <c r="A536" s="261"/>
      <c r="B536" s="262"/>
      <c r="C536" s="263"/>
      <c r="D536" s="264"/>
      <c r="E536" s="264">
        <f t="shared" si="3"/>
        <v>0</v>
      </c>
      <c r="F536" s="157"/>
      <c r="G536" s="263"/>
      <c r="H536" s="272">
        <f t="shared" si="4"/>
        <v>0</v>
      </c>
    </row>
    <row r="537" ht="22.5" customHeight="1">
      <c r="A537" s="261"/>
      <c r="B537" s="262"/>
      <c r="C537" s="263"/>
      <c r="D537" s="264"/>
      <c r="E537" s="264">
        <f t="shared" si="3"/>
        <v>0</v>
      </c>
      <c r="F537" s="157"/>
      <c r="G537" s="263"/>
      <c r="H537" s="272">
        <f t="shared" si="4"/>
        <v>0</v>
      </c>
    </row>
    <row r="538" ht="22.5" customHeight="1">
      <c r="A538" s="261"/>
      <c r="B538" s="262"/>
      <c r="C538" s="263"/>
      <c r="D538" s="264"/>
      <c r="E538" s="264">
        <f t="shared" si="3"/>
        <v>0</v>
      </c>
      <c r="F538" s="157"/>
      <c r="G538" s="263"/>
      <c r="H538" s="272">
        <f t="shared" si="4"/>
        <v>0</v>
      </c>
    </row>
    <row r="539" ht="22.5" customHeight="1">
      <c r="A539" s="261"/>
      <c r="B539" s="262"/>
      <c r="C539" s="263"/>
      <c r="D539" s="264"/>
      <c r="E539" s="264">
        <f t="shared" si="3"/>
        <v>0</v>
      </c>
      <c r="F539" s="157"/>
      <c r="G539" s="263"/>
      <c r="H539" s="272">
        <f t="shared" si="4"/>
        <v>0</v>
      </c>
    </row>
    <row r="540" ht="22.5" customHeight="1">
      <c r="A540" s="261"/>
      <c r="B540" s="262"/>
      <c r="C540" s="263"/>
      <c r="D540" s="264"/>
      <c r="E540" s="264">
        <f t="shared" si="3"/>
        <v>0</v>
      </c>
      <c r="F540" s="157"/>
      <c r="G540" s="263"/>
      <c r="H540" s="272">
        <f t="shared" si="4"/>
        <v>0</v>
      </c>
    </row>
    <row r="541" ht="22.5" customHeight="1">
      <c r="A541" s="261"/>
      <c r="B541" s="262"/>
      <c r="C541" s="263"/>
      <c r="D541" s="264"/>
      <c r="E541" s="264">
        <f t="shared" si="3"/>
        <v>0</v>
      </c>
      <c r="F541" s="157"/>
      <c r="G541" s="263"/>
      <c r="H541" s="272">
        <f t="shared" si="4"/>
        <v>0</v>
      </c>
    </row>
    <row r="542" ht="22.5" customHeight="1">
      <c r="A542" s="261"/>
      <c r="B542" s="262"/>
      <c r="C542" s="263"/>
      <c r="D542" s="264"/>
      <c r="E542" s="264">
        <f t="shared" si="3"/>
        <v>0</v>
      </c>
      <c r="F542" s="157"/>
      <c r="G542" s="263"/>
      <c r="H542" s="272">
        <f t="shared" si="4"/>
        <v>0</v>
      </c>
    </row>
    <row r="543" ht="22.5" customHeight="1">
      <c r="A543" s="261"/>
      <c r="B543" s="262"/>
      <c r="C543" s="263"/>
      <c r="D543" s="264"/>
      <c r="E543" s="264">
        <f t="shared" si="3"/>
        <v>0</v>
      </c>
      <c r="F543" s="157"/>
      <c r="G543" s="263"/>
      <c r="H543" s="272">
        <f t="shared" si="4"/>
        <v>0</v>
      </c>
    </row>
    <row r="544" ht="22.5" customHeight="1">
      <c r="A544" s="261"/>
      <c r="B544" s="262"/>
      <c r="C544" s="263"/>
      <c r="D544" s="264"/>
      <c r="E544" s="264">
        <f t="shared" si="3"/>
        <v>0</v>
      </c>
      <c r="F544" s="157"/>
      <c r="G544" s="263"/>
      <c r="H544" s="272">
        <f t="shared" si="4"/>
        <v>0</v>
      </c>
    </row>
    <row r="545" ht="22.5" customHeight="1">
      <c r="A545" s="261"/>
      <c r="B545" s="262"/>
      <c r="C545" s="263"/>
      <c r="D545" s="264"/>
      <c r="E545" s="264">
        <f t="shared" si="3"/>
        <v>0</v>
      </c>
      <c r="F545" s="157"/>
      <c r="G545" s="263"/>
      <c r="H545" s="272">
        <f t="shared" si="4"/>
        <v>0</v>
      </c>
    </row>
    <row r="546" ht="22.5" customHeight="1">
      <c r="A546" s="261"/>
      <c r="B546" s="262"/>
      <c r="C546" s="263"/>
      <c r="D546" s="264"/>
      <c r="E546" s="264">
        <f t="shared" si="3"/>
        <v>0</v>
      </c>
      <c r="F546" s="157"/>
      <c r="G546" s="263"/>
      <c r="H546" s="272">
        <f t="shared" si="4"/>
        <v>0</v>
      </c>
    </row>
    <row r="547" ht="22.5" customHeight="1">
      <c r="A547" s="261"/>
      <c r="B547" s="262"/>
      <c r="C547" s="263"/>
      <c r="D547" s="264"/>
      <c r="E547" s="264">
        <f t="shared" si="3"/>
        <v>0</v>
      </c>
      <c r="F547" s="157"/>
      <c r="G547" s="263"/>
      <c r="H547" s="272">
        <f t="shared" si="4"/>
        <v>0</v>
      </c>
    </row>
    <row r="548" ht="22.5" customHeight="1">
      <c r="A548" s="261"/>
      <c r="B548" s="262"/>
      <c r="C548" s="263"/>
      <c r="D548" s="264"/>
      <c r="E548" s="264">
        <f t="shared" si="3"/>
        <v>0</v>
      </c>
      <c r="F548" s="157"/>
      <c r="G548" s="263"/>
      <c r="H548" s="272">
        <f t="shared" si="4"/>
        <v>0</v>
      </c>
    </row>
    <row r="549" ht="22.5" customHeight="1">
      <c r="A549" s="261"/>
      <c r="B549" s="262"/>
      <c r="C549" s="263"/>
      <c r="D549" s="264"/>
      <c r="E549" s="264">
        <f t="shared" si="3"/>
        <v>0</v>
      </c>
      <c r="F549" s="157"/>
      <c r="G549" s="263"/>
      <c r="H549" s="272">
        <f t="shared" si="4"/>
        <v>0</v>
      </c>
    </row>
    <row r="550" ht="22.5" customHeight="1">
      <c r="A550" s="261"/>
      <c r="B550" s="262"/>
      <c r="C550" s="263"/>
      <c r="D550" s="264"/>
      <c r="E550" s="264">
        <f t="shared" si="3"/>
        <v>0</v>
      </c>
      <c r="F550" s="157"/>
      <c r="G550" s="263"/>
      <c r="H550" s="272">
        <f t="shared" si="4"/>
        <v>0</v>
      </c>
    </row>
    <row r="551" ht="22.5" customHeight="1">
      <c r="A551" s="261"/>
      <c r="B551" s="262"/>
      <c r="C551" s="263"/>
      <c r="D551" s="264"/>
      <c r="E551" s="264">
        <f t="shared" si="3"/>
        <v>0</v>
      </c>
      <c r="F551" s="157"/>
      <c r="G551" s="263"/>
      <c r="H551" s="272">
        <f t="shared" si="4"/>
        <v>0</v>
      </c>
    </row>
    <row r="552" ht="22.5" customHeight="1">
      <c r="A552" s="261"/>
      <c r="B552" s="262"/>
      <c r="C552" s="263"/>
      <c r="D552" s="264"/>
      <c r="E552" s="264">
        <f t="shared" si="3"/>
        <v>0</v>
      </c>
      <c r="F552" s="157"/>
      <c r="G552" s="263"/>
      <c r="H552" s="272">
        <f t="shared" si="4"/>
        <v>0</v>
      </c>
    </row>
    <row r="553" ht="22.5" customHeight="1">
      <c r="A553" s="261"/>
      <c r="B553" s="262"/>
      <c r="C553" s="263"/>
      <c r="D553" s="264"/>
      <c r="E553" s="264">
        <f t="shared" si="3"/>
        <v>0</v>
      </c>
      <c r="F553" s="157"/>
      <c r="G553" s="263"/>
      <c r="H553" s="272">
        <f t="shared" si="4"/>
        <v>0</v>
      </c>
    </row>
    <row r="554" ht="22.5" customHeight="1">
      <c r="A554" s="261"/>
      <c r="B554" s="262"/>
      <c r="C554" s="263"/>
      <c r="D554" s="264"/>
      <c r="E554" s="264">
        <f t="shared" si="3"/>
        <v>0</v>
      </c>
      <c r="F554" s="157"/>
      <c r="G554" s="263"/>
      <c r="H554" s="272">
        <f t="shared" si="4"/>
        <v>0</v>
      </c>
    </row>
    <row r="555" ht="22.5" customHeight="1">
      <c r="A555" s="261"/>
      <c r="B555" s="262"/>
      <c r="C555" s="263"/>
      <c r="D555" s="264"/>
      <c r="E555" s="264">
        <f t="shared" si="3"/>
        <v>0</v>
      </c>
      <c r="F555" s="157"/>
      <c r="G555" s="263"/>
      <c r="H555" s="272">
        <f t="shared" si="4"/>
        <v>0</v>
      </c>
    </row>
    <row r="556" ht="22.5" customHeight="1">
      <c r="A556" s="261"/>
      <c r="B556" s="262"/>
      <c r="C556" s="263"/>
      <c r="D556" s="264"/>
      <c r="E556" s="264">
        <f t="shared" si="3"/>
        <v>0</v>
      </c>
      <c r="F556" s="157"/>
      <c r="G556" s="263"/>
      <c r="H556" s="272">
        <f t="shared" si="4"/>
        <v>0</v>
      </c>
    </row>
    <row r="557" ht="22.5" customHeight="1">
      <c r="A557" s="261"/>
      <c r="B557" s="262"/>
      <c r="C557" s="263"/>
      <c r="D557" s="264"/>
      <c r="E557" s="264">
        <f t="shared" si="3"/>
        <v>0</v>
      </c>
      <c r="F557" s="157"/>
      <c r="G557" s="263"/>
      <c r="H557" s="272">
        <f t="shared" si="4"/>
        <v>0</v>
      </c>
    </row>
    <row r="558" ht="22.5" customHeight="1">
      <c r="A558" s="261"/>
      <c r="B558" s="262"/>
      <c r="C558" s="263"/>
      <c r="D558" s="264"/>
      <c r="E558" s="264">
        <f t="shared" si="3"/>
        <v>0</v>
      </c>
      <c r="F558" s="157"/>
      <c r="G558" s="263"/>
      <c r="H558" s="272">
        <f t="shared" si="4"/>
        <v>0</v>
      </c>
    </row>
    <row r="559" ht="22.5" customHeight="1">
      <c r="A559" s="261"/>
      <c r="B559" s="262"/>
      <c r="C559" s="263"/>
      <c r="D559" s="264"/>
      <c r="E559" s="264">
        <f t="shared" si="3"/>
        <v>0</v>
      </c>
      <c r="F559" s="157"/>
      <c r="G559" s="263"/>
      <c r="H559" s="272">
        <f t="shared" si="4"/>
        <v>0</v>
      </c>
    </row>
    <row r="560" ht="22.5" customHeight="1">
      <c r="A560" s="261"/>
      <c r="B560" s="262"/>
      <c r="C560" s="263"/>
      <c r="D560" s="264"/>
      <c r="E560" s="264">
        <f t="shared" si="3"/>
        <v>0</v>
      </c>
      <c r="F560" s="157"/>
      <c r="G560" s="263"/>
      <c r="H560" s="272">
        <f t="shared" si="4"/>
        <v>0</v>
      </c>
    </row>
    <row r="561" ht="22.5" customHeight="1">
      <c r="A561" s="261"/>
      <c r="B561" s="262"/>
      <c r="C561" s="263"/>
      <c r="D561" s="264"/>
      <c r="E561" s="264">
        <f t="shared" si="3"/>
        <v>0</v>
      </c>
      <c r="F561" s="157"/>
      <c r="G561" s="263"/>
      <c r="H561" s="272">
        <f t="shared" si="4"/>
        <v>0</v>
      </c>
    </row>
    <row r="562" ht="22.5" customHeight="1">
      <c r="A562" s="261"/>
      <c r="B562" s="262"/>
      <c r="C562" s="263"/>
      <c r="D562" s="264"/>
      <c r="E562" s="264">
        <f t="shared" si="3"/>
        <v>0</v>
      </c>
      <c r="F562" s="157"/>
      <c r="G562" s="263"/>
      <c r="H562" s="272">
        <f t="shared" si="4"/>
        <v>0</v>
      </c>
    </row>
    <row r="563" ht="22.5" customHeight="1">
      <c r="A563" s="261"/>
      <c r="B563" s="262"/>
      <c r="C563" s="263"/>
      <c r="D563" s="264"/>
      <c r="E563" s="264">
        <f t="shared" si="3"/>
        <v>0</v>
      </c>
      <c r="F563" s="157"/>
      <c r="G563" s="263"/>
      <c r="H563" s="272">
        <f t="shared" si="4"/>
        <v>0</v>
      </c>
    </row>
    <row r="564" ht="22.5" customHeight="1">
      <c r="A564" s="261"/>
      <c r="B564" s="262"/>
      <c r="C564" s="263"/>
      <c r="D564" s="264"/>
      <c r="E564" s="264">
        <f t="shared" si="3"/>
        <v>0</v>
      </c>
      <c r="F564" s="157"/>
      <c r="G564" s="263"/>
      <c r="H564" s="272">
        <f t="shared" si="4"/>
        <v>0</v>
      </c>
    </row>
    <row r="565" ht="22.5" customHeight="1">
      <c r="A565" s="261"/>
      <c r="B565" s="262"/>
      <c r="C565" s="263"/>
      <c r="D565" s="264"/>
      <c r="E565" s="264">
        <f t="shared" si="3"/>
        <v>0</v>
      </c>
      <c r="F565" s="157"/>
      <c r="G565" s="263"/>
      <c r="H565" s="272">
        <f t="shared" si="4"/>
        <v>0</v>
      </c>
    </row>
    <row r="566" ht="22.5" customHeight="1">
      <c r="A566" s="261"/>
      <c r="B566" s="262"/>
      <c r="C566" s="263"/>
      <c r="D566" s="264"/>
      <c r="E566" s="264">
        <f t="shared" si="3"/>
        <v>0</v>
      </c>
      <c r="F566" s="157"/>
      <c r="G566" s="263"/>
      <c r="H566" s="272">
        <f t="shared" si="4"/>
        <v>0</v>
      </c>
    </row>
    <row r="567" ht="22.5" customHeight="1">
      <c r="A567" s="261"/>
      <c r="B567" s="262"/>
      <c r="C567" s="263"/>
      <c r="D567" s="264"/>
      <c r="E567" s="264">
        <f t="shared" si="3"/>
        <v>0</v>
      </c>
      <c r="F567" s="157"/>
      <c r="G567" s="263"/>
      <c r="H567" s="272">
        <f t="shared" si="4"/>
        <v>0</v>
      </c>
    </row>
    <row r="568" ht="22.5" customHeight="1">
      <c r="A568" s="261"/>
      <c r="B568" s="262"/>
      <c r="C568" s="263"/>
      <c r="D568" s="264"/>
      <c r="E568" s="264">
        <f t="shared" si="3"/>
        <v>0</v>
      </c>
      <c r="F568" s="157"/>
      <c r="G568" s="263"/>
      <c r="H568" s="272">
        <f t="shared" si="4"/>
        <v>0</v>
      </c>
    </row>
    <row r="569" ht="22.5" customHeight="1">
      <c r="A569" s="261"/>
      <c r="B569" s="262"/>
      <c r="C569" s="263"/>
      <c r="D569" s="264"/>
      <c r="E569" s="264">
        <f t="shared" si="3"/>
        <v>0</v>
      </c>
      <c r="F569" s="157"/>
      <c r="G569" s="263"/>
      <c r="H569" s="272">
        <f t="shared" si="4"/>
        <v>0</v>
      </c>
    </row>
    <row r="570" ht="22.5" customHeight="1">
      <c r="A570" s="261"/>
      <c r="B570" s="262"/>
      <c r="C570" s="263"/>
      <c r="D570" s="264"/>
      <c r="E570" s="264">
        <f t="shared" si="3"/>
        <v>0</v>
      </c>
      <c r="F570" s="157"/>
      <c r="G570" s="263"/>
      <c r="H570" s="272">
        <f t="shared" si="4"/>
        <v>0</v>
      </c>
    </row>
    <row r="571" ht="22.5" customHeight="1">
      <c r="A571" s="261"/>
      <c r="B571" s="262"/>
      <c r="C571" s="263"/>
      <c r="D571" s="264"/>
      <c r="E571" s="264">
        <f t="shared" si="3"/>
        <v>0</v>
      </c>
      <c r="F571" s="157"/>
      <c r="G571" s="263"/>
      <c r="H571" s="272">
        <f t="shared" si="4"/>
        <v>0</v>
      </c>
    </row>
    <row r="572" ht="22.5" customHeight="1">
      <c r="A572" s="261"/>
      <c r="B572" s="262"/>
      <c r="C572" s="263"/>
      <c r="D572" s="264"/>
      <c r="E572" s="264">
        <f t="shared" si="3"/>
        <v>0</v>
      </c>
      <c r="F572" s="157"/>
      <c r="G572" s="263"/>
      <c r="H572" s="272">
        <f t="shared" si="4"/>
        <v>0</v>
      </c>
    </row>
    <row r="573" ht="22.5" customHeight="1">
      <c r="A573" s="261"/>
      <c r="B573" s="262"/>
      <c r="C573" s="263"/>
      <c r="D573" s="264"/>
      <c r="E573" s="264">
        <f t="shared" si="3"/>
        <v>0</v>
      </c>
      <c r="F573" s="157"/>
      <c r="G573" s="263"/>
      <c r="H573" s="272">
        <f t="shared" si="4"/>
        <v>0</v>
      </c>
    </row>
    <row r="574" ht="22.5" customHeight="1">
      <c r="A574" s="261"/>
      <c r="B574" s="262"/>
      <c r="C574" s="263"/>
      <c r="D574" s="264"/>
      <c r="E574" s="264">
        <f t="shared" si="3"/>
        <v>0</v>
      </c>
      <c r="F574" s="157"/>
      <c r="G574" s="263"/>
      <c r="H574" s="272">
        <f t="shared" si="4"/>
        <v>0</v>
      </c>
    </row>
    <row r="575" ht="22.5" customHeight="1">
      <c r="A575" s="261"/>
      <c r="B575" s="262"/>
      <c r="C575" s="263"/>
      <c r="D575" s="264"/>
      <c r="E575" s="264">
        <f t="shared" si="3"/>
        <v>0</v>
      </c>
      <c r="F575" s="157"/>
      <c r="G575" s="263"/>
      <c r="H575" s="272">
        <f t="shared" si="4"/>
        <v>0</v>
      </c>
    </row>
    <row r="576" ht="22.5" customHeight="1">
      <c r="A576" s="261"/>
      <c r="B576" s="262"/>
      <c r="C576" s="263"/>
      <c r="D576" s="264"/>
      <c r="E576" s="264">
        <f t="shared" si="3"/>
        <v>0</v>
      </c>
      <c r="F576" s="157"/>
      <c r="G576" s="263"/>
      <c r="H576" s="272">
        <f t="shared" si="4"/>
        <v>0</v>
      </c>
    </row>
    <row r="577" ht="22.5" customHeight="1">
      <c r="A577" s="261"/>
      <c r="B577" s="262"/>
      <c r="C577" s="263"/>
      <c r="D577" s="264"/>
      <c r="E577" s="264">
        <f t="shared" si="3"/>
        <v>0</v>
      </c>
      <c r="F577" s="157"/>
      <c r="G577" s="263"/>
      <c r="H577" s="272">
        <f t="shared" si="4"/>
        <v>0</v>
      </c>
    </row>
    <row r="578" ht="22.5" customHeight="1">
      <c r="A578" s="261"/>
      <c r="B578" s="262"/>
      <c r="C578" s="263"/>
      <c r="D578" s="264"/>
      <c r="E578" s="264">
        <f t="shared" si="3"/>
        <v>0</v>
      </c>
      <c r="F578" s="157"/>
      <c r="G578" s="263"/>
      <c r="H578" s="272">
        <f t="shared" si="4"/>
        <v>0</v>
      </c>
    </row>
    <row r="579" ht="22.5" customHeight="1">
      <c r="A579" s="261"/>
      <c r="B579" s="262"/>
      <c r="C579" s="263"/>
      <c r="D579" s="264"/>
      <c r="E579" s="264">
        <f t="shared" si="3"/>
        <v>0</v>
      </c>
      <c r="F579" s="157"/>
      <c r="G579" s="263"/>
      <c r="H579" s="272">
        <f t="shared" si="4"/>
        <v>0</v>
      </c>
    </row>
    <row r="580" ht="22.5" customHeight="1">
      <c r="A580" s="261"/>
      <c r="B580" s="262"/>
      <c r="C580" s="263"/>
      <c r="D580" s="264"/>
      <c r="E580" s="264">
        <f t="shared" si="3"/>
        <v>0</v>
      </c>
      <c r="F580" s="157"/>
      <c r="G580" s="263"/>
      <c r="H580" s="272">
        <f t="shared" si="4"/>
        <v>0</v>
      </c>
    </row>
    <row r="581" ht="22.5" customHeight="1">
      <c r="A581" s="261"/>
      <c r="B581" s="262"/>
      <c r="C581" s="263"/>
      <c r="D581" s="264"/>
      <c r="E581" s="264">
        <f t="shared" si="3"/>
        <v>0</v>
      </c>
      <c r="F581" s="157"/>
      <c r="G581" s="263"/>
      <c r="H581" s="272">
        <f t="shared" si="4"/>
        <v>0</v>
      </c>
    </row>
    <row r="582" ht="22.5" customHeight="1">
      <c r="A582" s="261"/>
      <c r="B582" s="262"/>
      <c r="C582" s="263"/>
      <c r="D582" s="264"/>
      <c r="E582" s="264">
        <f t="shared" si="3"/>
        <v>0</v>
      </c>
      <c r="F582" s="157"/>
      <c r="G582" s="263"/>
      <c r="H582" s="272">
        <f t="shared" si="4"/>
        <v>0</v>
      </c>
    </row>
    <row r="583" ht="22.5" customHeight="1">
      <c r="A583" s="261"/>
      <c r="B583" s="262"/>
      <c r="C583" s="263"/>
      <c r="D583" s="264"/>
      <c r="E583" s="264">
        <f t="shared" si="3"/>
        <v>0</v>
      </c>
      <c r="F583" s="157"/>
      <c r="G583" s="263"/>
      <c r="H583" s="272">
        <f t="shared" si="4"/>
        <v>0</v>
      </c>
    </row>
    <row r="584" ht="22.5" customHeight="1">
      <c r="A584" s="261"/>
      <c r="B584" s="262"/>
      <c r="C584" s="263"/>
      <c r="D584" s="264"/>
      <c r="E584" s="264">
        <f t="shared" si="3"/>
        <v>0</v>
      </c>
      <c r="F584" s="157"/>
      <c r="G584" s="263"/>
      <c r="H584" s="272">
        <f t="shared" si="4"/>
        <v>0</v>
      </c>
    </row>
    <row r="585" ht="22.5" customHeight="1">
      <c r="A585" s="261"/>
      <c r="B585" s="262"/>
      <c r="C585" s="263"/>
      <c r="D585" s="264"/>
      <c r="E585" s="264">
        <f t="shared" si="3"/>
        <v>0</v>
      </c>
      <c r="F585" s="157"/>
      <c r="G585" s="263"/>
      <c r="H585" s="272">
        <f t="shared" si="4"/>
        <v>0</v>
      </c>
    </row>
    <row r="586" ht="22.5" customHeight="1">
      <c r="A586" s="261"/>
      <c r="B586" s="262"/>
      <c r="C586" s="263"/>
      <c r="D586" s="264"/>
      <c r="E586" s="264">
        <f t="shared" si="3"/>
        <v>0</v>
      </c>
      <c r="F586" s="157"/>
      <c r="G586" s="263"/>
      <c r="H586" s="272">
        <f t="shared" si="4"/>
        <v>0</v>
      </c>
    </row>
    <row r="587" ht="22.5" customHeight="1">
      <c r="A587" s="261"/>
      <c r="B587" s="262"/>
      <c r="C587" s="263"/>
      <c r="D587" s="264"/>
      <c r="E587" s="264">
        <f t="shared" si="3"/>
        <v>0</v>
      </c>
      <c r="F587" s="157"/>
      <c r="G587" s="263"/>
      <c r="H587" s="272">
        <f t="shared" si="4"/>
        <v>0</v>
      </c>
    </row>
    <row r="588" ht="22.5" customHeight="1">
      <c r="A588" s="261"/>
      <c r="B588" s="262"/>
      <c r="C588" s="263"/>
      <c r="D588" s="264"/>
      <c r="E588" s="264">
        <f t="shared" si="3"/>
        <v>0</v>
      </c>
      <c r="F588" s="157"/>
      <c r="G588" s="263"/>
      <c r="H588" s="272">
        <f t="shared" si="4"/>
        <v>0</v>
      </c>
    </row>
    <row r="589" ht="22.5" customHeight="1">
      <c r="A589" s="261"/>
      <c r="B589" s="262"/>
      <c r="C589" s="263"/>
      <c r="D589" s="264"/>
      <c r="E589" s="264">
        <f t="shared" si="3"/>
        <v>0</v>
      </c>
      <c r="F589" s="157"/>
      <c r="G589" s="263"/>
      <c r="H589" s="272">
        <f t="shared" si="4"/>
        <v>0</v>
      </c>
    </row>
    <row r="590" ht="22.5" customHeight="1">
      <c r="A590" s="261"/>
      <c r="B590" s="262"/>
      <c r="C590" s="263"/>
      <c r="D590" s="264"/>
      <c r="E590" s="264">
        <f t="shared" si="3"/>
        <v>0</v>
      </c>
      <c r="F590" s="157"/>
      <c r="G590" s="263"/>
      <c r="H590" s="272">
        <f t="shared" si="4"/>
        <v>0</v>
      </c>
    </row>
    <row r="591" ht="22.5" customHeight="1">
      <c r="A591" s="261"/>
      <c r="B591" s="262"/>
      <c r="C591" s="263"/>
      <c r="D591" s="264"/>
      <c r="E591" s="264">
        <f t="shared" si="3"/>
        <v>0</v>
      </c>
      <c r="F591" s="157"/>
      <c r="G591" s="263"/>
      <c r="H591" s="272">
        <f t="shared" si="4"/>
        <v>0</v>
      </c>
    </row>
    <row r="592" ht="22.5" customHeight="1">
      <c r="A592" s="261"/>
      <c r="B592" s="262"/>
      <c r="C592" s="263"/>
      <c r="D592" s="264"/>
      <c r="E592" s="264">
        <f t="shared" si="3"/>
        <v>0</v>
      </c>
      <c r="F592" s="157"/>
      <c r="G592" s="263"/>
      <c r="H592" s="272">
        <f t="shared" si="4"/>
        <v>0</v>
      </c>
    </row>
    <row r="593" ht="22.5" customHeight="1">
      <c r="A593" s="261"/>
      <c r="B593" s="262"/>
      <c r="C593" s="263"/>
      <c r="D593" s="264"/>
      <c r="E593" s="264">
        <f t="shared" si="3"/>
        <v>0</v>
      </c>
      <c r="F593" s="157"/>
      <c r="G593" s="263"/>
      <c r="H593" s="272">
        <f t="shared" si="4"/>
        <v>0</v>
      </c>
    </row>
    <row r="594" ht="22.5" customHeight="1">
      <c r="A594" s="261"/>
      <c r="B594" s="262"/>
      <c r="C594" s="263"/>
      <c r="D594" s="264"/>
      <c r="E594" s="264">
        <f t="shared" si="3"/>
        <v>0</v>
      </c>
      <c r="F594" s="157"/>
      <c r="G594" s="263"/>
      <c r="H594" s="272">
        <f t="shared" si="4"/>
        <v>0</v>
      </c>
    </row>
    <row r="595" ht="22.5" customHeight="1">
      <c r="A595" s="261"/>
      <c r="B595" s="262"/>
      <c r="C595" s="263"/>
      <c r="D595" s="264"/>
      <c r="E595" s="264">
        <f t="shared" si="3"/>
        <v>0</v>
      </c>
      <c r="F595" s="157"/>
      <c r="G595" s="263"/>
      <c r="H595" s="272">
        <f t="shared" si="4"/>
        <v>0</v>
      </c>
    </row>
    <row r="596" ht="22.5" customHeight="1">
      <c r="A596" s="261"/>
      <c r="B596" s="262"/>
      <c r="C596" s="263"/>
      <c r="D596" s="264"/>
      <c r="E596" s="264">
        <f t="shared" si="3"/>
        <v>0</v>
      </c>
      <c r="F596" s="157"/>
      <c r="G596" s="263"/>
      <c r="H596" s="272">
        <f t="shared" si="4"/>
        <v>0</v>
      </c>
    </row>
    <row r="597" ht="22.5" customHeight="1">
      <c r="A597" s="261"/>
      <c r="B597" s="262"/>
      <c r="C597" s="263"/>
      <c r="D597" s="264"/>
      <c r="E597" s="264">
        <f t="shared" si="3"/>
        <v>0</v>
      </c>
      <c r="F597" s="157"/>
      <c r="G597" s="263"/>
      <c r="H597" s="272">
        <f t="shared" si="4"/>
        <v>0</v>
      </c>
    </row>
    <row r="598" ht="22.5" customHeight="1">
      <c r="A598" s="261"/>
      <c r="B598" s="262"/>
      <c r="C598" s="263"/>
      <c r="D598" s="264"/>
      <c r="E598" s="264">
        <f t="shared" si="3"/>
        <v>0</v>
      </c>
      <c r="F598" s="157"/>
      <c r="G598" s="263"/>
      <c r="H598" s="272">
        <f t="shared" si="4"/>
        <v>0</v>
      </c>
    </row>
    <row r="599" ht="22.5" customHeight="1">
      <c r="A599" s="261"/>
      <c r="B599" s="262"/>
      <c r="C599" s="263"/>
      <c r="D599" s="264"/>
      <c r="E599" s="264">
        <f t="shared" si="3"/>
        <v>0</v>
      </c>
      <c r="F599" s="157"/>
      <c r="G599" s="263"/>
      <c r="H599" s="272">
        <f t="shared" si="4"/>
        <v>0</v>
      </c>
    </row>
    <row r="600" ht="22.5" customHeight="1">
      <c r="A600" s="261"/>
      <c r="B600" s="262"/>
      <c r="C600" s="263"/>
      <c r="D600" s="264"/>
      <c r="E600" s="264">
        <f t="shared" si="3"/>
        <v>0</v>
      </c>
      <c r="F600" s="157"/>
      <c r="G600" s="263"/>
      <c r="H600" s="272">
        <f t="shared" si="4"/>
        <v>0</v>
      </c>
    </row>
    <row r="601" ht="22.5" customHeight="1">
      <c r="A601" s="261"/>
      <c r="B601" s="262"/>
      <c r="C601" s="263"/>
      <c r="D601" s="264"/>
      <c r="E601" s="264">
        <f t="shared" si="3"/>
        <v>0</v>
      </c>
      <c r="F601" s="157"/>
      <c r="G601" s="263"/>
      <c r="H601" s="272">
        <f t="shared" si="4"/>
        <v>0</v>
      </c>
    </row>
    <row r="602" ht="22.5" customHeight="1">
      <c r="A602" s="261"/>
      <c r="B602" s="262"/>
      <c r="C602" s="263"/>
      <c r="D602" s="264"/>
      <c r="E602" s="264">
        <f t="shared" si="3"/>
        <v>0</v>
      </c>
      <c r="F602" s="157"/>
      <c r="G602" s="263"/>
      <c r="H602" s="272">
        <f t="shared" si="4"/>
        <v>0</v>
      </c>
    </row>
    <row r="603" ht="22.5" customHeight="1">
      <c r="A603" s="261"/>
      <c r="B603" s="262"/>
      <c r="C603" s="263"/>
      <c r="D603" s="264"/>
      <c r="E603" s="264">
        <f t="shared" si="3"/>
        <v>0</v>
      </c>
      <c r="F603" s="157"/>
      <c r="G603" s="263"/>
      <c r="H603" s="272">
        <f t="shared" si="4"/>
        <v>0</v>
      </c>
    </row>
    <row r="604" ht="22.5" customHeight="1">
      <c r="A604" s="261"/>
      <c r="B604" s="262"/>
      <c r="C604" s="263"/>
      <c r="D604" s="264"/>
      <c r="E604" s="264">
        <f t="shared" si="3"/>
        <v>0</v>
      </c>
      <c r="F604" s="157"/>
      <c r="G604" s="263"/>
      <c r="H604" s="272">
        <f t="shared" si="4"/>
        <v>0</v>
      </c>
    </row>
    <row r="605" ht="22.5" customHeight="1">
      <c r="A605" s="261"/>
      <c r="B605" s="262"/>
      <c r="C605" s="263"/>
      <c r="D605" s="264"/>
      <c r="E605" s="264">
        <f t="shared" si="3"/>
        <v>0</v>
      </c>
      <c r="F605" s="157"/>
      <c r="G605" s="263"/>
      <c r="H605" s="272">
        <f t="shared" si="4"/>
        <v>0</v>
      </c>
    </row>
    <row r="606" ht="22.5" customHeight="1">
      <c r="A606" s="261"/>
      <c r="B606" s="262"/>
      <c r="C606" s="263"/>
      <c r="D606" s="264"/>
      <c r="E606" s="264">
        <f t="shared" si="3"/>
        <v>0</v>
      </c>
      <c r="F606" s="157"/>
      <c r="G606" s="263"/>
      <c r="H606" s="272">
        <f t="shared" si="4"/>
        <v>0</v>
      </c>
    </row>
    <row r="607" ht="22.5" customHeight="1">
      <c r="A607" s="261"/>
      <c r="B607" s="262"/>
      <c r="C607" s="263"/>
      <c r="D607" s="264"/>
      <c r="E607" s="264">
        <f t="shared" si="3"/>
        <v>0</v>
      </c>
      <c r="F607" s="157"/>
      <c r="G607" s="263"/>
      <c r="H607" s="272">
        <f t="shared" si="4"/>
        <v>0</v>
      </c>
    </row>
    <row r="608" ht="22.5" customHeight="1">
      <c r="A608" s="261"/>
      <c r="B608" s="262"/>
      <c r="C608" s="263"/>
      <c r="D608" s="264"/>
      <c r="E608" s="264">
        <f t="shared" si="3"/>
        <v>0</v>
      </c>
      <c r="F608" s="157"/>
      <c r="G608" s="263"/>
      <c r="H608" s="272">
        <f t="shared" si="4"/>
        <v>0</v>
      </c>
    </row>
    <row r="609" ht="22.5" customHeight="1">
      <c r="A609" s="261"/>
      <c r="B609" s="262"/>
      <c r="C609" s="263"/>
      <c r="D609" s="264"/>
      <c r="E609" s="264">
        <f t="shared" si="3"/>
        <v>0</v>
      </c>
      <c r="F609" s="157"/>
      <c r="G609" s="263"/>
      <c r="H609" s="272">
        <f t="shared" si="4"/>
        <v>0</v>
      </c>
    </row>
    <row r="610" ht="22.5" customHeight="1">
      <c r="A610" s="261"/>
      <c r="B610" s="262"/>
      <c r="C610" s="263"/>
      <c r="D610" s="264"/>
      <c r="E610" s="264">
        <f t="shared" si="3"/>
        <v>0</v>
      </c>
      <c r="F610" s="157"/>
      <c r="G610" s="263"/>
      <c r="H610" s="272">
        <f t="shared" si="4"/>
        <v>0</v>
      </c>
    </row>
    <row r="611" ht="22.5" customHeight="1">
      <c r="A611" s="261"/>
      <c r="B611" s="262"/>
      <c r="C611" s="263"/>
      <c r="D611" s="264"/>
      <c r="E611" s="264">
        <f t="shared" si="3"/>
        <v>0</v>
      </c>
      <c r="F611" s="157"/>
      <c r="G611" s="263"/>
      <c r="H611" s="272">
        <f t="shared" si="4"/>
        <v>0</v>
      </c>
    </row>
    <row r="612" ht="22.5" customHeight="1">
      <c r="A612" s="261"/>
      <c r="B612" s="262"/>
      <c r="C612" s="263"/>
      <c r="D612" s="264"/>
      <c r="E612" s="264">
        <f t="shared" si="3"/>
        <v>0</v>
      </c>
      <c r="F612" s="157"/>
      <c r="G612" s="263"/>
      <c r="H612" s="272">
        <f t="shared" si="4"/>
        <v>0</v>
      </c>
    </row>
    <row r="613" ht="22.5" customHeight="1">
      <c r="A613" s="261"/>
      <c r="B613" s="262"/>
      <c r="C613" s="263"/>
      <c r="D613" s="264"/>
      <c r="E613" s="264">
        <f t="shared" si="3"/>
        <v>0</v>
      </c>
      <c r="F613" s="157"/>
      <c r="G613" s="263"/>
      <c r="H613" s="272">
        <f t="shared" si="4"/>
        <v>0</v>
      </c>
    </row>
    <row r="614" ht="22.5" customHeight="1">
      <c r="A614" s="261"/>
      <c r="B614" s="262"/>
      <c r="C614" s="263"/>
      <c r="D614" s="264"/>
      <c r="E614" s="264">
        <f t="shared" si="3"/>
        <v>0</v>
      </c>
      <c r="F614" s="157"/>
      <c r="G614" s="263"/>
      <c r="H614" s="272">
        <f t="shared" si="4"/>
        <v>0</v>
      </c>
    </row>
    <row r="615" ht="22.5" customHeight="1">
      <c r="A615" s="261"/>
      <c r="B615" s="262"/>
      <c r="C615" s="263"/>
      <c r="D615" s="264"/>
      <c r="E615" s="264">
        <f t="shared" si="3"/>
        <v>0</v>
      </c>
      <c r="F615" s="157"/>
      <c r="G615" s="263"/>
      <c r="H615" s="272">
        <f t="shared" si="4"/>
        <v>0</v>
      </c>
    </row>
    <row r="616" ht="22.5" customHeight="1">
      <c r="A616" s="261"/>
      <c r="B616" s="262"/>
      <c r="C616" s="263"/>
      <c r="D616" s="264"/>
      <c r="E616" s="264">
        <f t="shared" si="3"/>
        <v>0</v>
      </c>
      <c r="F616" s="157"/>
      <c r="G616" s="263"/>
      <c r="H616" s="272">
        <f t="shared" si="4"/>
        <v>0</v>
      </c>
    </row>
    <row r="617" ht="22.5" customHeight="1">
      <c r="A617" s="261"/>
      <c r="B617" s="262"/>
      <c r="C617" s="263"/>
      <c r="D617" s="264"/>
      <c r="E617" s="264">
        <f t="shared" si="3"/>
        <v>0</v>
      </c>
      <c r="F617" s="157"/>
      <c r="G617" s="263"/>
      <c r="H617" s="272">
        <f t="shared" si="4"/>
        <v>0</v>
      </c>
    </row>
    <row r="618" ht="22.5" customHeight="1">
      <c r="A618" s="261"/>
      <c r="B618" s="262"/>
      <c r="C618" s="263"/>
      <c r="D618" s="264"/>
      <c r="E618" s="264">
        <f t="shared" si="3"/>
        <v>0</v>
      </c>
      <c r="F618" s="157"/>
      <c r="G618" s="263"/>
      <c r="H618" s="272">
        <f t="shared" si="4"/>
        <v>0</v>
      </c>
    </row>
    <row r="619" ht="22.5" customHeight="1">
      <c r="A619" s="261"/>
      <c r="B619" s="262"/>
      <c r="C619" s="263"/>
      <c r="D619" s="264"/>
      <c r="E619" s="264">
        <f t="shared" si="3"/>
        <v>0</v>
      </c>
      <c r="F619" s="157"/>
      <c r="G619" s="263"/>
      <c r="H619" s="272">
        <f t="shared" si="4"/>
        <v>0</v>
      </c>
    </row>
    <row r="620" ht="22.5" customHeight="1">
      <c r="A620" s="261"/>
      <c r="B620" s="262"/>
      <c r="C620" s="263"/>
      <c r="D620" s="264"/>
      <c r="E620" s="264">
        <f t="shared" si="3"/>
        <v>0</v>
      </c>
      <c r="F620" s="157"/>
      <c r="G620" s="263"/>
      <c r="H620" s="272">
        <f t="shared" si="4"/>
        <v>0</v>
      </c>
    </row>
    <row r="621" ht="22.5" customHeight="1">
      <c r="A621" s="261"/>
      <c r="B621" s="262"/>
      <c r="C621" s="263"/>
      <c r="D621" s="264"/>
      <c r="E621" s="264">
        <f t="shared" si="3"/>
        <v>0</v>
      </c>
      <c r="F621" s="157"/>
      <c r="G621" s="263"/>
      <c r="H621" s="272">
        <f t="shared" si="4"/>
        <v>0</v>
      </c>
    </row>
    <row r="622" ht="22.5" customHeight="1">
      <c r="A622" s="261"/>
      <c r="B622" s="262"/>
      <c r="C622" s="263"/>
      <c r="D622" s="264"/>
      <c r="E622" s="264">
        <f t="shared" si="3"/>
        <v>0</v>
      </c>
      <c r="F622" s="157"/>
      <c r="G622" s="263"/>
      <c r="H622" s="272">
        <f t="shared" si="4"/>
        <v>0</v>
      </c>
    </row>
    <row r="623" ht="22.5" customHeight="1">
      <c r="A623" s="261"/>
      <c r="B623" s="262"/>
      <c r="C623" s="263"/>
      <c r="D623" s="264"/>
      <c r="E623" s="264">
        <f t="shared" si="3"/>
        <v>0</v>
      </c>
      <c r="F623" s="157"/>
      <c r="G623" s="263"/>
      <c r="H623" s="272">
        <f t="shared" si="4"/>
        <v>0</v>
      </c>
    </row>
    <row r="624" ht="22.5" customHeight="1">
      <c r="A624" s="261"/>
      <c r="B624" s="262"/>
      <c r="C624" s="263"/>
      <c r="D624" s="264"/>
      <c r="E624" s="264">
        <f t="shared" si="3"/>
        <v>0</v>
      </c>
      <c r="F624" s="157"/>
      <c r="G624" s="263"/>
      <c r="H624" s="272">
        <f t="shared" si="4"/>
        <v>0</v>
      </c>
    </row>
    <row r="625" ht="22.5" customHeight="1">
      <c r="A625" s="261"/>
      <c r="B625" s="262"/>
      <c r="C625" s="263"/>
      <c r="D625" s="264"/>
      <c r="E625" s="264">
        <f t="shared" si="3"/>
        <v>0</v>
      </c>
      <c r="F625" s="157"/>
      <c r="G625" s="263"/>
      <c r="H625" s="272">
        <f t="shared" si="4"/>
        <v>0</v>
      </c>
    </row>
    <row r="626" ht="22.5" customHeight="1">
      <c r="A626" s="261"/>
      <c r="B626" s="262"/>
      <c r="C626" s="263"/>
      <c r="D626" s="264"/>
      <c r="E626" s="264">
        <f t="shared" si="3"/>
        <v>0</v>
      </c>
      <c r="F626" s="157"/>
      <c r="G626" s="263"/>
      <c r="H626" s="272">
        <f t="shared" si="4"/>
        <v>0</v>
      </c>
    </row>
    <row r="627" ht="22.5" customHeight="1">
      <c r="A627" s="261"/>
      <c r="B627" s="262"/>
      <c r="C627" s="263"/>
      <c r="D627" s="264"/>
      <c r="E627" s="264">
        <f t="shared" si="3"/>
        <v>0</v>
      </c>
      <c r="F627" s="157"/>
      <c r="G627" s="263"/>
      <c r="H627" s="272">
        <f t="shared" si="4"/>
        <v>0</v>
      </c>
    </row>
    <row r="628" ht="22.5" customHeight="1">
      <c r="A628" s="261"/>
      <c r="B628" s="262"/>
      <c r="C628" s="263"/>
      <c r="D628" s="264"/>
      <c r="E628" s="264">
        <f t="shared" si="3"/>
        <v>0</v>
      </c>
      <c r="F628" s="157"/>
      <c r="G628" s="263"/>
      <c r="H628" s="272">
        <f t="shared" si="4"/>
        <v>0</v>
      </c>
    </row>
    <row r="629" ht="22.5" customHeight="1">
      <c r="A629" s="261"/>
      <c r="B629" s="262"/>
      <c r="C629" s="263"/>
      <c r="D629" s="264"/>
      <c r="E629" s="264">
        <f t="shared" si="3"/>
        <v>0</v>
      </c>
      <c r="F629" s="157"/>
      <c r="G629" s="263"/>
      <c r="H629" s="272">
        <f t="shared" si="4"/>
        <v>0</v>
      </c>
    </row>
    <row r="630" ht="22.5" customHeight="1">
      <c r="A630" s="261"/>
      <c r="B630" s="262"/>
      <c r="C630" s="263"/>
      <c r="D630" s="264"/>
      <c r="E630" s="264">
        <f t="shared" si="3"/>
        <v>0</v>
      </c>
      <c r="F630" s="157"/>
      <c r="G630" s="263"/>
      <c r="H630" s="272">
        <f t="shared" si="4"/>
        <v>0</v>
      </c>
    </row>
    <row r="631" ht="22.5" customHeight="1">
      <c r="A631" s="261"/>
      <c r="B631" s="262"/>
      <c r="C631" s="263"/>
      <c r="D631" s="264"/>
      <c r="E631" s="264">
        <f t="shared" si="3"/>
        <v>0</v>
      </c>
      <c r="F631" s="157"/>
      <c r="G631" s="263"/>
      <c r="H631" s="272">
        <f t="shared" si="4"/>
        <v>0</v>
      </c>
    </row>
    <row r="632" ht="22.5" customHeight="1">
      <c r="A632" s="261"/>
      <c r="B632" s="262"/>
      <c r="C632" s="263"/>
      <c r="D632" s="264"/>
      <c r="E632" s="264">
        <f t="shared" si="3"/>
        <v>0</v>
      </c>
      <c r="F632" s="157"/>
      <c r="G632" s="263"/>
      <c r="H632" s="272">
        <f t="shared" si="4"/>
        <v>0</v>
      </c>
    </row>
    <row r="633" ht="22.5" customHeight="1">
      <c r="A633" s="261"/>
      <c r="B633" s="262"/>
      <c r="C633" s="263"/>
      <c r="D633" s="264"/>
      <c r="E633" s="264">
        <f t="shared" si="3"/>
        <v>0</v>
      </c>
      <c r="F633" s="157"/>
      <c r="G633" s="263"/>
      <c r="H633" s="272">
        <f t="shared" si="4"/>
        <v>0</v>
      </c>
    </row>
    <row r="634" ht="22.5" customHeight="1">
      <c r="A634" s="261"/>
      <c r="B634" s="262"/>
      <c r="C634" s="263"/>
      <c r="D634" s="264"/>
      <c r="E634" s="264">
        <f t="shared" si="3"/>
        <v>0</v>
      </c>
      <c r="F634" s="157"/>
      <c r="G634" s="263"/>
      <c r="H634" s="272">
        <f t="shared" si="4"/>
        <v>0</v>
      </c>
    </row>
    <row r="635" ht="22.5" customHeight="1">
      <c r="A635" s="261"/>
      <c r="B635" s="262"/>
      <c r="C635" s="263"/>
      <c r="D635" s="264"/>
      <c r="E635" s="264">
        <f t="shared" si="3"/>
        <v>0</v>
      </c>
      <c r="F635" s="157"/>
      <c r="G635" s="263"/>
      <c r="H635" s="272">
        <f t="shared" si="4"/>
        <v>0</v>
      </c>
    </row>
    <row r="636" ht="22.5" customHeight="1">
      <c r="A636" s="261"/>
      <c r="B636" s="262"/>
      <c r="C636" s="263"/>
      <c r="D636" s="264"/>
      <c r="E636" s="264">
        <f t="shared" si="3"/>
        <v>0</v>
      </c>
      <c r="F636" s="157"/>
      <c r="G636" s="263"/>
      <c r="H636" s="272">
        <f t="shared" si="4"/>
        <v>0</v>
      </c>
    </row>
    <row r="637" ht="22.5" customHeight="1">
      <c r="A637" s="261"/>
      <c r="B637" s="262"/>
      <c r="C637" s="263"/>
      <c r="D637" s="264"/>
      <c r="E637" s="264">
        <f t="shared" si="3"/>
        <v>0</v>
      </c>
      <c r="F637" s="157"/>
      <c r="G637" s="263"/>
      <c r="H637" s="272">
        <f t="shared" si="4"/>
        <v>0</v>
      </c>
    </row>
    <row r="638" ht="22.5" customHeight="1">
      <c r="A638" s="261"/>
      <c r="B638" s="262"/>
      <c r="C638" s="263"/>
      <c r="D638" s="264"/>
      <c r="E638" s="264">
        <f t="shared" si="3"/>
        <v>0</v>
      </c>
      <c r="F638" s="157"/>
      <c r="G638" s="263"/>
      <c r="H638" s="272">
        <f t="shared" si="4"/>
        <v>0</v>
      </c>
    </row>
    <row r="639" ht="22.5" customHeight="1">
      <c r="A639" s="261"/>
      <c r="B639" s="262"/>
      <c r="C639" s="263"/>
      <c r="D639" s="264"/>
      <c r="E639" s="264">
        <f t="shared" si="3"/>
        <v>0</v>
      </c>
      <c r="F639" s="157"/>
      <c r="G639" s="263"/>
      <c r="H639" s="272">
        <f t="shared" si="4"/>
        <v>0</v>
      </c>
    </row>
    <row r="640" ht="22.5" customHeight="1">
      <c r="A640" s="261"/>
      <c r="B640" s="262"/>
      <c r="C640" s="263"/>
      <c r="D640" s="264"/>
      <c r="E640" s="264">
        <f t="shared" si="3"/>
        <v>0</v>
      </c>
      <c r="F640" s="157"/>
      <c r="G640" s="263"/>
      <c r="H640" s="272">
        <f t="shared" si="4"/>
        <v>0</v>
      </c>
    </row>
    <row r="641" ht="22.5" customHeight="1">
      <c r="A641" s="261"/>
      <c r="B641" s="262"/>
      <c r="C641" s="263"/>
      <c r="D641" s="264"/>
      <c r="E641" s="264">
        <f t="shared" si="3"/>
        <v>0</v>
      </c>
      <c r="F641" s="157"/>
      <c r="G641" s="263"/>
      <c r="H641" s="272">
        <f t="shared" si="4"/>
        <v>0</v>
      </c>
    </row>
    <row r="642" ht="22.5" customHeight="1">
      <c r="A642" s="261"/>
      <c r="B642" s="262"/>
      <c r="C642" s="263"/>
      <c r="D642" s="264"/>
      <c r="E642" s="264">
        <f t="shared" si="3"/>
        <v>0</v>
      </c>
      <c r="F642" s="157"/>
      <c r="G642" s="263"/>
      <c r="H642" s="272">
        <f t="shared" si="4"/>
        <v>0</v>
      </c>
    </row>
    <row r="643" ht="22.5" customHeight="1">
      <c r="A643" s="261"/>
      <c r="B643" s="262"/>
      <c r="C643" s="263"/>
      <c r="D643" s="264"/>
      <c r="E643" s="264">
        <f t="shared" si="3"/>
        <v>0</v>
      </c>
      <c r="F643" s="157"/>
      <c r="G643" s="263"/>
      <c r="H643" s="272">
        <f t="shared" si="4"/>
        <v>0</v>
      </c>
    </row>
    <row r="644" ht="22.5" customHeight="1">
      <c r="A644" s="261"/>
      <c r="B644" s="262"/>
      <c r="C644" s="263"/>
      <c r="D644" s="264"/>
      <c r="E644" s="264">
        <f t="shared" si="3"/>
        <v>0</v>
      </c>
      <c r="F644" s="157"/>
      <c r="G644" s="263"/>
      <c r="H644" s="272">
        <f t="shared" si="4"/>
        <v>0</v>
      </c>
    </row>
    <row r="645" ht="22.5" customHeight="1">
      <c r="A645" s="261"/>
      <c r="B645" s="262"/>
      <c r="C645" s="263"/>
      <c r="D645" s="264"/>
      <c r="E645" s="264">
        <f t="shared" si="3"/>
        <v>0</v>
      </c>
      <c r="F645" s="157"/>
      <c r="G645" s="263"/>
      <c r="H645" s="272">
        <f t="shared" si="4"/>
        <v>0</v>
      </c>
    </row>
    <row r="646" ht="22.5" customHeight="1">
      <c r="A646" s="261"/>
      <c r="B646" s="262"/>
      <c r="C646" s="263"/>
      <c r="D646" s="264"/>
      <c r="E646" s="264">
        <f t="shared" si="3"/>
        <v>0</v>
      </c>
      <c r="F646" s="157"/>
      <c r="G646" s="263"/>
      <c r="H646" s="272">
        <f t="shared" si="4"/>
        <v>0</v>
      </c>
    </row>
    <row r="647" ht="22.5" customHeight="1">
      <c r="A647" s="261"/>
      <c r="B647" s="262"/>
      <c r="C647" s="263"/>
      <c r="D647" s="264"/>
      <c r="E647" s="264">
        <f t="shared" si="3"/>
        <v>0</v>
      </c>
      <c r="F647" s="157"/>
      <c r="G647" s="263"/>
      <c r="H647" s="272">
        <f t="shared" si="4"/>
        <v>0</v>
      </c>
    </row>
    <row r="648" ht="22.5" customHeight="1">
      <c r="A648" s="261"/>
      <c r="B648" s="262"/>
      <c r="C648" s="263"/>
      <c r="D648" s="264"/>
      <c r="E648" s="264">
        <f t="shared" si="3"/>
        <v>0</v>
      </c>
      <c r="F648" s="157"/>
      <c r="G648" s="263"/>
      <c r="H648" s="272">
        <f t="shared" si="4"/>
        <v>0</v>
      </c>
    </row>
    <row r="649" ht="22.5" customHeight="1">
      <c r="A649" s="261"/>
      <c r="B649" s="262"/>
      <c r="C649" s="263"/>
      <c r="D649" s="264"/>
      <c r="E649" s="264">
        <f t="shared" si="3"/>
        <v>0</v>
      </c>
      <c r="F649" s="157"/>
      <c r="G649" s="263"/>
      <c r="H649" s="272">
        <f t="shared" si="4"/>
        <v>0</v>
      </c>
    </row>
    <row r="650" ht="22.5" customHeight="1">
      <c r="A650" s="261"/>
      <c r="B650" s="262"/>
      <c r="C650" s="263"/>
      <c r="D650" s="264"/>
      <c r="E650" s="264">
        <f t="shared" si="3"/>
        <v>0</v>
      </c>
      <c r="F650" s="157"/>
      <c r="G650" s="263"/>
      <c r="H650" s="272">
        <f t="shared" si="4"/>
        <v>0</v>
      </c>
    </row>
    <row r="651" ht="22.5" customHeight="1">
      <c r="A651" s="261"/>
      <c r="B651" s="262"/>
      <c r="C651" s="263"/>
      <c r="D651" s="264"/>
      <c r="E651" s="264">
        <f t="shared" si="3"/>
        <v>0</v>
      </c>
      <c r="F651" s="157"/>
      <c r="G651" s="263"/>
      <c r="H651" s="272">
        <f t="shared" si="4"/>
        <v>0</v>
      </c>
    </row>
    <row r="652" ht="22.5" customHeight="1">
      <c r="A652" s="261"/>
      <c r="B652" s="262"/>
      <c r="C652" s="263"/>
      <c r="D652" s="264"/>
      <c r="E652" s="264">
        <f t="shared" si="3"/>
        <v>0</v>
      </c>
      <c r="F652" s="157"/>
      <c r="G652" s="263"/>
      <c r="H652" s="272">
        <f t="shared" si="4"/>
        <v>0</v>
      </c>
    </row>
    <row r="653" ht="22.5" customHeight="1">
      <c r="A653" s="261"/>
      <c r="B653" s="262"/>
      <c r="C653" s="263"/>
      <c r="D653" s="264"/>
      <c r="E653" s="264">
        <f t="shared" si="3"/>
        <v>0</v>
      </c>
      <c r="F653" s="157"/>
      <c r="G653" s="263"/>
      <c r="H653" s="272">
        <f t="shared" si="4"/>
        <v>0</v>
      </c>
    </row>
    <row r="654" ht="22.5" customHeight="1">
      <c r="A654" s="261"/>
      <c r="B654" s="262"/>
      <c r="C654" s="263"/>
      <c r="D654" s="264"/>
      <c r="E654" s="264">
        <f t="shared" si="3"/>
        <v>0</v>
      </c>
      <c r="F654" s="157"/>
      <c r="G654" s="263"/>
      <c r="H654" s="272">
        <f t="shared" si="4"/>
        <v>0</v>
      </c>
    </row>
    <row r="655" ht="22.5" customHeight="1">
      <c r="A655" s="261"/>
      <c r="B655" s="262"/>
      <c r="C655" s="263"/>
      <c r="D655" s="264"/>
      <c r="E655" s="264">
        <f t="shared" si="3"/>
        <v>0</v>
      </c>
      <c r="F655" s="157"/>
      <c r="G655" s="263"/>
      <c r="H655" s="272">
        <f t="shared" si="4"/>
        <v>0</v>
      </c>
    </row>
    <row r="656" ht="22.5" customHeight="1">
      <c r="A656" s="261"/>
      <c r="B656" s="262"/>
      <c r="C656" s="263"/>
      <c r="D656" s="264"/>
      <c r="E656" s="264">
        <f t="shared" si="3"/>
        <v>0</v>
      </c>
      <c r="F656" s="157"/>
      <c r="G656" s="263"/>
      <c r="H656" s="272">
        <f t="shared" si="4"/>
        <v>0</v>
      </c>
    </row>
    <row r="657" ht="22.5" customHeight="1">
      <c r="A657" s="261"/>
      <c r="B657" s="262"/>
      <c r="C657" s="263"/>
      <c r="D657" s="264"/>
      <c r="E657" s="264">
        <f t="shared" si="3"/>
        <v>0</v>
      </c>
      <c r="F657" s="157"/>
      <c r="G657" s="263"/>
      <c r="H657" s="272">
        <f t="shared" si="4"/>
        <v>0</v>
      </c>
    </row>
    <row r="658" ht="22.5" customHeight="1">
      <c r="A658" s="261"/>
      <c r="B658" s="262"/>
      <c r="C658" s="263"/>
      <c r="D658" s="264"/>
      <c r="E658" s="264">
        <f t="shared" si="3"/>
        <v>0</v>
      </c>
      <c r="F658" s="157"/>
      <c r="G658" s="263"/>
      <c r="H658" s="272">
        <f t="shared" si="4"/>
        <v>0</v>
      </c>
    </row>
    <row r="659" ht="22.5" customHeight="1">
      <c r="A659" s="261"/>
      <c r="B659" s="262"/>
      <c r="C659" s="263"/>
      <c r="D659" s="264"/>
      <c r="E659" s="264">
        <f t="shared" si="3"/>
        <v>0</v>
      </c>
      <c r="F659" s="157"/>
      <c r="G659" s="263"/>
      <c r="H659" s="272">
        <f t="shared" si="4"/>
        <v>0</v>
      </c>
    </row>
    <row r="660" ht="22.5" customHeight="1">
      <c r="A660" s="261"/>
      <c r="B660" s="262"/>
      <c r="C660" s="263"/>
      <c r="D660" s="264"/>
      <c r="E660" s="264">
        <f t="shared" si="3"/>
        <v>0</v>
      </c>
      <c r="F660" s="157"/>
      <c r="G660" s="263"/>
      <c r="H660" s="272">
        <f t="shared" si="4"/>
        <v>0</v>
      </c>
    </row>
    <row r="661" ht="22.5" customHeight="1">
      <c r="A661" s="261"/>
      <c r="B661" s="262"/>
      <c r="C661" s="263"/>
      <c r="D661" s="264"/>
      <c r="E661" s="264">
        <f t="shared" si="3"/>
        <v>0</v>
      </c>
      <c r="F661" s="157"/>
      <c r="G661" s="263"/>
      <c r="H661" s="272">
        <f t="shared" si="4"/>
        <v>0</v>
      </c>
    </row>
    <row r="662" ht="22.5" customHeight="1">
      <c r="A662" s="261"/>
      <c r="B662" s="262"/>
      <c r="C662" s="263"/>
      <c r="D662" s="264"/>
      <c r="E662" s="264">
        <f t="shared" si="3"/>
        <v>0</v>
      </c>
      <c r="F662" s="157"/>
      <c r="G662" s="263"/>
      <c r="H662" s="272">
        <f t="shared" si="4"/>
        <v>0</v>
      </c>
    </row>
    <row r="663" ht="22.5" customHeight="1">
      <c r="A663" s="261"/>
      <c r="B663" s="262"/>
      <c r="C663" s="263"/>
      <c r="D663" s="264"/>
      <c r="E663" s="264">
        <f t="shared" si="3"/>
        <v>0</v>
      </c>
      <c r="F663" s="157"/>
      <c r="G663" s="263"/>
      <c r="H663" s="272">
        <f t="shared" si="4"/>
        <v>0</v>
      </c>
    </row>
    <row r="664" ht="22.5" customHeight="1">
      <c r="A664" s="261"/>
      <c r="B664" s="262"/>
      <c r="C664" s="263"/>
      <c r="D664" s="264"/>
      <c r="E664" s="264">
        <f t="shared" si="3"/>
        <v>0</v>
      </c>
      <c r="F664" s="157"/>
      <c r="G664" s="263"/>
      <c r="H664" s="272">
        <f t="shared" si="4"/>
        <v>0</v>
      </c>
    </row>
    <row r="665" ht="22.5" customHeight="1">
      <c r="A665" s="261"/>
      <c r="B665" s="262"/>
      <c r="C665" s="263"/>
      <c r="D665" s="264"/>
      <c r="E665" s="264">
        <f t="shared" si="3"/>
        <v>0</v>
      </c>
      <c r="F665" s="157"/>
      <c r="G665" s="263"/>
      <c r="H665" s="272">
        <f t="shared" si="4"/>
        <v>0</v>
      </c>
    </row>
    <row r="666" ht="22.5" customHeight="1">
      <c r="A666" s="261"/>
      <c r="B666" s="262"/>
      <c r="C666" s="263"/>
      <c r="D666" s="264"/>
      <c r="E666" s="264">
        <f t="shared" si="3"/>
        <v>0</v>
      </c>
      <c r="F666" s="157"/>
      <c r="G666" s="263"/>
      <c r="H666" s="272">
        <f t="shared" si="4"/>
        <v>0</v>
      </c>
    </row>
    <row r="667" ht="22.5" customHeight="1">
      <c r="A667" s="261"/>
      <c r="B667" s="262"/>
      <c r="C667" s="263"/>
      <c r="D667" s="264"/>
      <c r="E667" s="264">
        <f t="shared" si="3"/>
        <v>0</v>
      </c>
      <c r="F667" s="157"/>
      <c r="G667" s="263"/>
      <c r="H667" s="272">
        <f t="shared" si="4"/>
        <v>0</v>
      </c>
    </row>
    <row r="668" ht="22.5" customHeight="1">
      <c r="A668" s="261"/>
      <c r="B668" s="262"/>
      <c r="C668" s="263"/>
      <c r="D668" s="264"/>
      <c r="E668" s="264">
        <f t="shared" si="3"/>
        <v>0</v>
      </c>
      <c r="F668" s="157"/>
      <c r="G668" s="263"/>
      <c r="H668" s="272">
        <f t="shared" si="4"/>
        <v>0</v>
      </c>
    </row>
    <row r="669" ht="22.5" customHeight="1">
      <c r="A669" s="261"/>
      <c r="B669" s="262"/>
      <c r="C669" s="263"/>
      <c r="D669" s="264"/>
      <c r="E669" s="264">
        <f t="shared" si="3"/>
        <v>0</v>
      </c>
      <c r="F669" s="157"/>
      <c r="G669" s="263"/>
      <c r="H669" s="272">
        <f t="shared" si="4"/>
        <v>0</v>
      </c>
    </row>
    <row r="670" ht="22.5" customHeight="1">
      <c r="A670" s="261"/>
      <c r="B670" s="262"/>
      <c r="C670" s="263"/>
      <c r="D670" s="264"/>
      <c r="E670" s="264">
        <f t="shared" si="3"/>
        <v>0</v>
      </c>
      <c r="F670" s="157"/>
      <c r="G670" s="263"/>
      <c r="H670" s="272">
        <f t="shared" si="4"/>
        <v>0</v>
      </c>
    </row>
    <row r="671" ht="22.5" customHeight="1">
      <c r="A671" s="261"/>
      <c r="B671" s="262"/>
      <c r="C671" s="263"/>
      <c r="D671" s="264"/>
      <c r="E671" s="264">
        <f t="shared" si="3"/>
        <v>0</v>
      </c>
      <c r="F671" s="157"/>
      <c r="G671" s="263"/>
      <c r="H671" s="272">
        <f t="shared" si="4"/>
        <v>0</v>
      </c>
    </row>
    <row r="672" ht="22.5" customHeight="1">
      <c r="A672" s="261"/>
      <c r="B672" s="262"/>
      <c r="C672" s="263"/>
      <c r="D672" s="264"/>
      <c r="E672" s="264">
        <f t="shared" si="3"/>
        <v>0</v>
      </c>
      <c r="F672" s="157"/>
      <c r="G672" s="263"/>
      <c r="H672" s="272">
        <f t="shared" si="4"/>
        <v>0</v>
      </c>
    </row>
    <row r="673" ht="22.5" customHeight="1">
      <c r="A673" s="261"/>
      <c r="B673" s="262"/>
      <c r="C673" s="263"/>
      <c r="D673" s="264"/>
      <c r="E673" s="264">
        <f t="shared" si="3"/>
        <v>0</v>
      </c>
      <c r="F673" s="157"/>
      <c r="G673" s="263"/>
      <c r="H673" s="272">
        <f t="shared" si="4"/>
        <v>0</v>
      </c>
    </row>
    <row r="674" ht="22.5" customHeight="1">
      <c r="A674" s="261"/>
      <c r="B674" s="262"/>
      <c r="C674" s="263"/>
      <c r="D674" s="264"/>
      <c r="E674" s="264">
        <f t="shared" si="3"/>
        <v>0</v>
      </c>
      <c r="F674" s="157"/>
      <c r="G674" s="263"/>
      <c r="H674" s="272">
        <f t="shared" si="4"/>
        <v>0</v>
      </c>
    </row>
    <row r="675" ht="22.5" customHeight="1">
      <c r="A675" s="261"/>
      <c r="B675" s="262"/>
      <c r="C675" s="263"/>
      <c r="D675" s="264"/>
      <c r="E675" s="264">
        <f t="shared" si="3"/>
        <v>0</v>
      </c>
      <c r="F675" s="157"/>
      <c r="G675" s="263"/>
      <c r="H675" s="272">
        <f t="shared" si="4"/>
        <v>0</v>
      </c>
    </row>
    <row r="676" ht="22.5" customHeight="1">
      <c r="A676" s="261"/>
      <c r="B676" s="262"/>
      <c r="C676" s="263"/>
      <c r="D676" s="264"/>
      <c r="E676" s="264">
        <f t="shared" si="3"/>
        <v>0</v>
      </c>
      <c r="F676" s="157"/>
      <c r="G676" s="263"/>
      <c r="H676" s="272">
        <f t="shared" si="4"/>
        <v>0</v>
      </c>
    </row>
    <row r="677" ht="22.5" customHeight="1">
      <c r="A677" s="261"/>
      <c r="B677" s="262"/>
      <c r="C677" s="263"/>
      <c r="D677" s="264"/>
      <c r="E677" s="264">
        <f t="shared" si="3"/>
        <v>0</v>
      </c>
      <c r="F677" s="157"/>
      <c r="G677" s="263"/>
      <c r="H677" s="272">
        <f t="shared" si="4"/>
        <v>0</v>
      </c>
    </row>
    <row r="678" ht="22.5" customHeight="1">
      <c r="A678" s="261"/>
      <c r="B678" s="262"/>
      <c r="C678" s="263"/>
      <c r="D678" s="264"/>
      <c r="E678" s="264">
        <f t="shared" si="3"/>
        <v>0</v>
      </c>
      <c r="F678" s="157"/>
      <c r="G678" s="263"/>
      <c r="H678" s="272">
        <f t="shared" si="4"/>
        <v>0</v>
      </c>
    </row>
    <row r="679" ht="22.5" customHeight="1">
      <c r="A679" s="261"/>
      <c r="B679" s="262"/>
      <c r="C679" s="263"/>
      <c r="D679" s="264"/>
      <c r="E679" s="264">
        <f t="shared" si="3"/>
        <v>0</v>
      </c>
      <c r="F679" s="157"/>
      <c r="G679" s="263"/>
      <c r="H679" s="272">
        <f t="shared" si="4"/>
        <v>0</v>
      </c>
    </row>
    <row r="680" ht="22.5" customHeight="1">
      <c r="A680" s="261"/>
      <c r="B680" s="262"/>
      <c r="C680" s="263"/>
      <c r="D680" s="264"/>
      <c r="E680" s="264">
        <f t="shared" si="3"/>
        <v>0</v>
      </c>
      <c r="F680" s="157"/>
      <c r="G680" s="263"/>
      <c r="H680" s="272">
        <f t="shared" si="4"/>
        <v>0</v>
      </c>
    </row>
    <row r="681" ht="22.5" customHeight="1">
      <c r="A681" s="261"/>
      <c r="B681" s="262"/>
      <c r="C681" s="263"/>
      <c r="D681" s="264"/>
      <c r="E681" s="264">
        <f t="shared" si="3"/>
        <v>0</v>
      </c>
      <c r="F681" s="157"/>
      <c r="G681" s="263"/>
      <c r="H681" s="272">
        <f t="shared" si="4"/>
        <v>0</v>
      </c>
    </row>
    <row r="682" ht="22.5" customHeight="1">
      <c r="A682" s="261"/>
      <c r="B682" s="262"/>
      <c r="C682" s="263"/>
      <c r="D682" s="264"/>
      <c r="E682" s="264">
        <f t="shared" si="3"/>
        <v>0</v>
      </c>
      <c r="F682" s="157"/>
      <c r="G682" s="263"/>
      <c r="H682" s="272">
        <f t="shared" si="4"/>
        <v>0</v>
      </c>
    </row>
    <row r="683" ht="22.5" customHeight="1">
      <c r="A683" s="261"/>
      <c r="B683" s="262"/>
      <c r="C683" s="263"/>
      <c r="D683" s="264"/>
      <c r="E683" s="264">
        <f t="shared" si="3"/>
        <v>0</v>
      </c>
      <c r="F683" s="157"/>
      <c r="G683" s="263"/>
      <c r="H683" s="272">
        <f t="shared" si="4"/>
        <v>0</v>
      </c>
    </row>
    <row r="684" ht="22.5" customHeight="1">
      <c r="A684" s="261"/>
      <c r="B684" s="262"/>
      <c r="C684" s="263"/>
      <c r="D684" s="264"/>
      <c r="E684" s="264">
        <f t="shared" si="3"/>
        <v>0</v>
      </c>
      <c r="F684" s="157"/>
      <c r="G684" s="263"/>
      <c r="H684" s="272">
        <f t="shared" si="4"/>
        <v>0</v>
      </c>
    </row>
    <row r="685" ht="22.5" customHeight="1">
      <c r="A685" s="261"/>
      <c r="B685" s="262"/>
      <c r="C685" s="263"/>
      <c r="D685" s="264"/>
      <c r="E685" s="264">
        <f t="shared" si="3"/>
        <v>0</v>
      </c>
      <c r="F685" s="157"/>
      <c r="G685" s="263"/>
      <c r="H685" s="272">
        <f t="shared" si="4"/>
        <v>0</v>
      </c>
    </row>
    <row r="686" ht="22.5" customHeight="1">
      <c r="A686" s="261"/>
      <c r="B686" s="262"/>
      <c r="C686" s="263"/>
      <c r="D686" s="264"/>
      <c r="E686" s="264">
        <f t="shared" si="3"/>
        <v>0</v>
      </c>
      <c r="F686" s="157"/>
      <c r="G686" s="263"/>
      <c r="H686" s="272">
        <f t="shared" si="4"/>
        <v>0</v>
      </c>
    </row>
    <row r="687" ht="22.5" customHeight="1">
      <c r="A687" s="261"/>
      <c r="B687" s="262"/>
      <c r="C687" s="263"/>
      <c r="D687" s="264"/>
      <c r="E687" s="264">
        <f t="shared" si="3"/>
        <v>0</v>
      </c>
      <c r="F687" s="157"/>
      <c r="G687" s="263"/>
      <c r="H687" s="272">
        <f t="shared" si="4"/>
        <v>0</v>
      </c>
    </row>
    <row r="688" ht="22.5" customHeight="1">
      <c r="A688" s="261"/>
      <c r="B688" s="262"/>
      <c r="C688" s="263"/>
      <c r="D688" s="264"/>
      <c r="E688" s="264">
        <f t="shared" si="3"/>
        <v>0</v>
      </c>
      <c r="F688" s="157"/>
      <c r="G688" s="263"/>
      <c r="H688" s="272">
        <f t="shared" si="4"/>
        <v>0</v>
      </c>
    </row>
    <row r="689" ht="22.5" customHeight="1">
      <c r="A689" s="261"/>
      <c r="B689" s="262"/>
      <c r="C689" s="263"/>
      <c r="D689" s="264"/>
      <c r="E689" s="264">
        <f t="shared" si="3"/>
        <v>0</v>
      </c>
      <c r="F689" s="157"/>
      <c r="G689" s="263"/>
      <c r="H689" s="272">
        <f t="shared" si="4"/>
        <v>0</v>
      </c>
    </row>
    <row r="690" ht="22.5" customHeight="1">
      <c r="A690" s="261"/>
      <c r="B690" s="262"/>
      <c r="C690" s="263"/>
      <c r="D690" s="264"/>
      <c r="E690" s="264">
        <f t="shared" si="3"/>
        <v>0</v>
      </c>
      <c r="F690" s="157"/>
      <c r="G690" s="263"/>
      <c r="H690" s="272">
        <f t="shared" si="4"/>
        <v>0</v>
      </c>
    </row>
    <row r="691" ht="22.5" customHeight="1">
      <c r="A691" s="261"/>
      <c r="B691" s="262"/>
      <c r="C691" s="263"/>
      <c r="D691" s="264"/>
      <c r="E691" s="264">
        <f t="shared" si="3"/>
        <v>0</v>
      </c>
      <c r="F691" s="157"/>
      <c r="G691" s="263"/>
      <c r="H691" s="272">
        <f t="shared" si="4"/>
        <v>0</v>
      </c>
    </row>
    <row r="692" ht="22.5" customHeight="1">
      <c r="A692" s="261"/>
      <c r="B692" s="262"/>
      <c r="C692" s="263"/>
      <c r="D692" s="264"/>
      <c r="E692" s="264">
        <f t="shared" si="3"/>
        <v>0</v>
      </c>
      <c r="F692" s="157"/>
      <c r="G692" s="263"/>
      <c r="H692" s="272">
        <f t="shared" si="4"/>
        <v>0</v>
      </c>
    </row>
    <row r="693" ht="22.5" customHeight="1">
      <c r="A693" s="261"/>
      <c r="B693" s="262"/>
      <c r="C693" s="263"/>
      <c r="D693" s="264"/>
      <c r="E693" s="264">
        <f t="shared" si="3"/>
        <v>0</v>
      </c>
      <c r="F693" s="157"/>
      <c r="G693" s="263"/>
      <c r="H693" s="272">
        <f t="shared" si="4"/>
        <v>0</v>
      </c>
    </row>
    <row r="694" ht="22.5" customHeight="1">
      <c r="A694" s="261"/>
      <c r="B694" s="262"/>
      <c r="C694" s="263"/>
      <c r="D694" s="264"/>
      <c r="E694" s="264">
        <f t="shared" si="3"/>
        <v>0</v>
      </c>
      <c r="F694" s="157"/>
      <c r="G694" s="263"/>
      <c r="H694" s="272">
        <f t="shared" si="4"/>
        <v>0</v>
      </c>
    </row>
    <row r="695" ht="22.5" customHeight="1">
      <c r="A695" s="261"/>
      <c r="B695" s="262"/>
      <c r="C695" s="263"/>
      <c r="D695" s="264"/>
      <c r="E695" s="264">
        <f t="shared" si="3"/>
        <v>0</v>
      </c>
      <c r="F695" s="157"/>
      <c r="G695" s="263"/>
      <c r="H695" s="272">
        <f t="shared" si="4"/>
        <v>0</v>
      </c>
    </row>
    <row r="696" ht="22.5" customHeight="1">
      <c r="A696" s="261"/>
      <c r="B696" s="262"/>
      <c r="C696" s="263"/>
      <c r="D696" s="264"/>
      <c r="E696" s="264">
        <f t="shared" si="3"/>
        <v>0</v>
      </c>
      <c r="F696" s="157"/>
      <c r="G696" s="263"/>
      <c r="H696" s="272">
        <f t="shared" si="4"/>
        <v>0</v>
      </c>
    </row>
    <row r="697" ht="22.5" customHeight="1">
      <c r="A697" s="261"/>
      <c r="B697" s="262"/>
      <c r="C697" s="263"/>
      <c r="D697" s="264"/>
      <c r="E697" s="264">
        <f t="shared" si="3"/>
        <v>0</v>
      </c>
      <c r="F697" s="157"/>
      <c r="G697" s="263"/>
      <c r="H697" s="272">
        <f t="shared" si="4"/>
        <v>0</v>
      </c>
    </row>
    <row r="698" ht="22.5" customHeight="1">
      <c r="A698" s="261"/>
      <c r="B698" s="262"/>
      <c r="C698" s="263"/>
      <c r="D698" s="264"/>
      <c r="E698" s="264">
        <f t="shared" si="3"/>
        <v>0</v>
      </c>
      <c r="F698" s="157"/>
      <c r="G698" s="263"/>
      <c r="H698" s="272">
        <f t="shared" si="4"/>
        <v>0</v>
      </c>
    </row>
    <row r="699" ht="22.5" customHeight="1">
      <c r="A699" s="261"/>
      <c r="B699" s="262"/>
      <c r="C699" s="263"/>
      <c r="D699" s="264"/>
      <c r="E699" s="264">
        <f t="shared" si="3"/>
        <v>0</v>
      </c>
      <c r="F699" s="157"/>
      <c r="G699" s="263"/>
      <c r="H699" s="272">
        <f t="shared" si="4"/>
        <v>0</v>
      </c>
    </row>
    <row r="700" ht="22.5" customHeight="1">
      <c r="A700" s="261"/>
      <c r="B700" s="262"/>
      <c r="C700" s="263"/>
      <c r="D700" s="264"/>
      <c r="E700" s="264">
        <f t="shared" si="3"/>
        <v>0</v>
      </c>
      <c r="F700" s="157"/>
      <c r="G700" s="263"/>
      <c r="H700" s="272">
        <f t="shared" si="4"/>
        <v>0</v>
      </c>
    </row>
    <row r="701" ht="22.5" customHeight="1">
      <c r="A701" s="261"/>
      <c r="B701" s="262"/>
      <c r="C701" s="263"/>
      <c r="D701" s="264"/>
      <c r="E701" s="264">
        <f t="shared" si="3"/>
        <v>0</v>
      </c>
      <c r="F701" s="157"/>
      <c r="G701" s="263"/>
      <c r="H701" s="272">
        <f t="shared" si="4"/>
        <v>0</v>
      </c>
    </row>
    <row r="702" ht="22.5" customHeight="1">
      <c r="A702" s="261"/>
      <c r="B702" s="262"/>
      <c r="C702" s="263"/>
      <c r="D702" s="264"/>
      <c r="E702" s="264">
        <f t="shared" si="3"/>
        <v>0</v>
      </c>
      <c r="F702" s="157"/>
      <c r="G702" s="263"/>
      <c r="H702" s="272">
        <f t="shared" si="4"/>
        <v>0</v>
      </c>
    </row>
    <row r="703" ht="22.5" customHeight="1">
      <c r="A703" s="261"/>
      <c r="B703" s="262"/>
      <c r="C703" s="263"/>
      <c r="D703" s="264"/>
      <c r="E703" s="264">
        <f t="shared" si="3"/>
        <v>0</v>
      </c>
      <c r="F703" s="157"/>
      <c r="G703" s="263"/>
      <c r="H703" s="272">
        <f t="shared" si="4"/>
        <v>0</v>
      </c>
    </row>
    <row r="704" ht="22.5" customHeight="1">
      <c r="A704" s="261"/>
      <c r="B704" s="262"/>
      <c r="C704" s="263"/>
      <c r="D704" s="264"/>
      <c r="E704" s="264">
        <f t="shared" si="3"/>
        <v>0</v>
      </c>
      <c r="F704" s="157"/>
      <c r="G704" s="263"/>
      <c r="H704" s="272">
        <f t="shared" si="4"/>
        <v>0</v>
      </c>
    </row>
    <row r="705" ht="22.5" customHeight="1">
      <c r="A705" s="261"/>
      <c r="B705" s="262"/>
      <c r="C705" s="263"/>
      <c r="D705" s="264"/>
      <c r="E705" s="264">
        <f t="shared" si="3"/>
        <v>0</v>
      </c>
      <c r="F705" s="157"/>
      <c r="G705" s="263"/>
      <c r="H705" s="272">
        <f t="shared" si="4"/>
        <v>0</v>
      </c>
    </row>
    <row r="706" ht="22.5" customHeight="1">
      <c r="A706" s="261"/>
      <c r="B706" s="262"/>
      <c r="C706" s="263"/>
      <c r="D706" s="264"/>
      <c r="E706" s="264">
        <f t="shared" si="3"/>
        <v>0</v>
      </c>
      <c r="F706" s="157"/>
      <c r="G706" s="263"/>
      <c r="H706" s="272">
        <f t="shared" si="4"/>
        <v>0</v>
      </c>
    </row>
    <row r="707" ht="22.5" customHeight="1">
      <c r="A707" s="261"/>
      <c r="B707" s="262"/>
      <c r="C707" s="263"/>
      <c r="D707" s="264"/>
      <c r="E707" s="264">
        <f t="shared" si="3"/>
        <v>0</v>
      </c>
      <c r="F707" s="157"/>
      <c r="G707" s="263"/>
      <c r="H707" s="272">
        <f t="shared" si="4"/>
        <v>0</v>
      </c>
    </row>
    <row r="708" ht="22.5" customHeight="1">
      <c r="A708" s="261"/>
      <c r="B708" s="262"/>
      <c r="C708" s="263"/>
      <c r="D708" s="264"/>
      <c r="E708" s="264">
        <f t="shared" si="3"/>
        <v>0</v>
      </c>
      <c r="F708" s="157"/>
      <c r="G708" s="263"/>
      <c r="H708" s="272">
        <f t="shared" si="4"/>
        <v>0</v>
      </c>
    </row>
    <row r="709" ht="22.5" customHeight="1">
      <c r="A709" s="261"/>
      <c r="B709" s="262"/>
      <c r="C709" s="263"/>
      <c r="D709" s="264"/>
      <c r="E709" s="264">
        <f t="shared" si="3"/>
        <v>0</v>
      </c>
      <c r="F709" s="157"/>
      <c r="G709" s="263"/>
      <c r="H709" s="272">
        <f t="shared" si="4"/>
        <v>0</v>
      </c>
    </row>
    <row r="710" ht="22.5" customHeight="1">
      <c r="A710" s="261"/>
      <c r="B710" s="262"/>
      <c r="C710" s="263"/>
      <c r="D710" s="264"/>
      <c r="E710" s="264">
        <f t="shared" si="3"/>
        <v>0</v>
      </c>
      <c r="F710" s="157"/>
      <c r="G710" s="263"/>
      <c r="H710" s="272">
        <f t="shared" si="4"/>
        <v>0</v>
      </c>
    </row>
    <row r="711" ht="22.5" customHeight="1">
      <c r="A711" s="261"/>
      <c r="B711" s="262"/>
      <c r="C711" s="263"/>
      <c r="D711" s="264"/>
      <c r="E711" s="264">
        <f t="shared" si="3"/>
        <v>0</v>
      </c>
      <c r="F711" s="157"/>
      <c r="G711" s="263"/>
      <c r="H711" s="272">
        <f t="shared" si="4"/>
        <v>0</v>
      </c>
    </row>
    <row r="712" ht="22.5" customHeight="1">
      <c r="A712" s="261"/>
      <c r="B712" s="262"/>
      <c r="C712" s="263"/>
      <c r="D712" s="264"/>
      <c r="E712" s="264">
        <f t="shared" si="3"/>
        <v>0</v>
      </c>
      <c r="F712" s="157"/>
      <c r="G712" s="263"/>
      <c r="H712" s="272">
        <f t="shared" si="4"/>
        <v>0</v>
      </c>
    </row>
    <row r="713" ht="22.5" customHeight="1">
      <c r="A713" s="261"/>
      <c r="B713" s="262"/>
      <c r="C713" s="263"/>
      <c r="D713" s="264"/>
      <c r="E713" s="264">
        <f t="shared" si="3"/>
        <v>0</v>
      </c>
      <c r="F713" s="157"/>
      <c r="G713" s="263"/>
      <c r="H713" s="272">
        <f t="shared" si="4"/>
        <v>0</v>
      </c>
    </row>
    <row r="714" ht="22.5" customHeight="1">
      <c r="A714" s="261"/>
      <c r="B714" s="262"/>
      <c r="C714" s="263"/>
      <c r="D714" s="264"/>
      <c r="E714" s="264">
        <f t="shared" si="3"/>
        <v>0</v>
      </c>
      <c r="F714" s="157"/>
      <c r="G714" s="263"/>
      <c r="H714" s="272">
        <f t="shared" si="4"/>
        <v>0</v>
      </c>
    </row>
    <row r="715" ht="22.5" customHeight="1">
      <c r="A715" s="261"/>
      <c r="B715" s="262"/>
      <c r="C715" s="263"/>
      <c r="D715" s="264"/>
      <c r="E715" s="264">
        <f t="shared" si="3"/>
        <v>0</v>
      </c>
      <c r="F715" s="157"/>
      <c r="G715" s="263"/>
      <c r="H715" s="272">
        <f t="shared" si="4"/>
        <v>0</v>
      </c>
    </row>
    <row r="716" ht="22.5" customHeight="1">
      <c r="A716" s="261"/>
      <c r="B716" s="262"/>
      <c r="C716" s="263"/>
      <c r="D716" s="264"/>
      <c r="E716" s="264">
        <f t="shared" si="3"/>
        <v>0</v>
      </c>
      <c r="F716" s="157"/>
      <c r="G716" s="263"/>
      <c r="H716" s="272">
        <f t="shared" si="4"/>
        <v>0</v>
      </c>
    </row>
    <row r="717" ht="22.5" customHeight="1">
      <c r="A717" s="261"/>
      <c r="B717" s="262"/>
      <c r="C717" s="263"/>
      <c r="D717" s="264"/>
      <c r="E717" s="264">
        <f t="shared" si="3"/>
        <v>0</v>
      </c>
      <c r="F717" s="157"/>
      <c r="G717" s="263"/>
      <c r="H717" s="272">
        <f t="shared" si="4"/>
        <v>0</v>
      </c>
    </row>
    <row r="718" ht="22.5" customHeight="1">
      <c r="A718" s="261"/>
      <c r="B718" s="262"/>
      <c r="C718" s="263"/>
      <c r="D718" s="264"/>
      <c r="E718" s="264">
        <f t="shared" si="3"/>
        <v>0</v>
      </c>
      <c r="F718" s="157"/>
      <c r="G718" s="263"/>
      <c r="H718" s="272">
        <f t="shared" si="4"/>
        <v>0</v>
      </c>
    </row>
    <row r="719" ht="22.5" customHeight="1">
      <c r="A719" s="261"/>
      <c r="B719" s="262"/>
      <c r="C719" s="263"/>
      <c r="D719" s="264"/>
      <c r="E719" s="264">
        <f t="shared" si="3"/>
        <v>0</v>
      </c>
      <c r="F719" s="157"/>
      <c r="G719" s="263"/>
      <c r="H719" s="272">
        <f t="shared" si="4"/>
        <v>0</v>
      </c>
    </row>
    <row r="720" ht="22.5" customHeight="1">
      <c r="A720" s="261"/>
      <c r="B720" s="262"/>
      <c r="C720" s="263"/>
      <c r="D720" s="264"/>
      <c r="E720" s="264">
        <f t="shared" si="3"/>
        <v>0</v>
      </c>
      <c r="F720" s="157"/>
      <c r="G720" s="263"/>
      <c r="H720" s="272">
        <f t="shared" si="4"/>
        <v>0</v>
      </c>
    </row>
    <row r="721" ht="22.5" customHeight="1">
      <c r="A721" s="261"/>
      <c r="B721" s="262"/>
      <c r="C721" s="263"/>
      <c r="D721" s="264"/>
      <c r="E721" s="264">
        <f t="shared" si="3"/>
        <v>0</v>
      </c>
      <c r="F721" s="157"/>
      <c r="G721" s="263"/>
      <c r="H721" s="272">
        <f t="shared" si="4"/>
        <v>0</v>
      </c>
    </row>
    <row r="722" ht="22.5" customHeight="1">
      <c r="A722" s="261"/>
      <c r="B722" s="262"/>
      <c r="C722" s="263"/>
      <c r="D722" s="264"/>
      <c r="E722" s="264">
        <f t="shared" si="3"/>
        <v>0</v>
      </c>
      <c r="F722" s="157"/>
      <c r="G722" s="263"/>
      <c r="H722" s="272">
        <f t="shared" si="4"/>
        <v>0</v>
      </c>
    </row>
    <row r="723" ht="22.5" customHeight="1">
      <c r="A723" s="261"/>
      <c r="B723" s="262"/>
      <c r="C723" s="263"/>
      <c r="D723" s="264"/>
      <c r="E723" s="264">
        <f t="shared" si="3"/>
        <v>0</v>
      </c>
      <c r="F723" s="157"/>
      <c r="G723" s="263"/>
      <c r="H723" s="272">
        <f t="shared" si="4"/>
        <v>0</v>
      </c>
    </row>
    <row r="724" ht="22.5" customHeight="1">
      <c r="A724" s="261"/>
      <c r="B724" s="262"/>
      <c r="C724" s="263"/>
      <c r="D724" s="264"/>
      <c r="E724" s="264">
        <f t="shared" si="3"/>
        <v>0</v>
      </c>
      <c r="F724" s="157"/>
      <c r="G724" s="263"/>
      <c r="H724" s="272">
        <f t="shared" si="4"/>
        <v>0</v>
      </c>
    </row>
    <row r="725" ht="22.5" customHeight="1">
      <c r="A725" s="261"/>
      <c r="B725" s="262"/>
      <c r="C725" s="263"/>
      <c r="D725" s="264"/>
      <c r="E725" s="264">
        <f t="shared" si="3"/>
        <v>0</v>
      </c>
      <c r="F725" s="157"/>
      <c r="G725" s="263"/>
      <c r="H725" s="272">
        <f t="shared" si="4"/>
        <v>0</v>
      </c>
    </row>
    <row r="726" ht="22.5" customHeight="1">
      <c r="A726" s="261"/>
      <c r="B726" s="262"/>
      <c r="C726" s="263"/>
      <c r="D726" s="264"/>
      <c r="E726" s="264">
        <f t="shared" si="3"/>
        <v>0</v>
      </c>
      <c r="F726" s="157"/>
      <c r="G726" s="263"/>
      <c r="H726" s="272">
        <f t="shared" si="4"/>
        <v>0</v>
      </c>
    </row>
    <row r="727" ht="22.5" customHeight="1">
      <c r="A727" s="261"/>
      <c r="B727" s="262"/>
      <c r="C727" s="263"/>
      <c r="D727" s="264"/>
      <c r="E727" s="264">
        <f t="shared" si="3"/>
        <v>0</v>
      </c>
      <c r="F727" s="157"/>
      <c r="G727" s="263"/>
      <c r="H727" s="272">
        <f t="shared" si="4"/>
        <v>0</v>
      </c>
    </row>
    <row r="728" ht="22.5" customHeight="1">
      <c r="A728" s="261"/>
      <c r="B728" s="262"/>
      <c r="C728" s="263"/>
      <c r="D728" s="264"/>
      <c r="E728" s="264">
        <f t="shared" si="3"/>
        <v>0</v>
      </c>
      <c r="F728" s="157"/>
      <c r="G728" s="263"/>
      <c r="H728" s="272">
        <f t="shared" si="4"/>
        <v>0</v>
      </c>
    </row>
    <row r="729" ht="22.5" customHeight="1">
      <c r="A729" s="261"/>
      <c r="B729" s="262"/>
      <c r="C729" s="263"/>
      <c r="D729" s="264"/>
      <c r="E729" s="264">
        <f t="shared" si="3"/>
        <v>0</v>
      </c>
      <c r="F729" s="157"/>
      <c r="G729" s="263"/>
      <c r="H729" s="272">
        <f t="shared" si="4"/>
        <v>0</v>
      </c>
    </row>
    <row r="730" ht="22.5" customHeight="1">
      <c r="A730" s="261"/>
      <c r="B730" s="262"/>
      <c r="C730" s="263"/>
      <c r="D730" s="264"/>
      <c r="E730" s="264">
        <f t="shared" si="3"/>
        <v>0</v>
      </c>
      <c r="F730" s="157"/>
      <c r="G730" s="263"/>
      <c r="H730" s="272">
        <f t="shared" si="4"/>
        <v>0</v>
      </c>
    </row>
    <row r="731" ht="22.5" customHeight="1">
      <c r="A731" s="261"/>
      <c r="B731" s="262"/>
      <c r="C731" s="263"/>
      <c r="D731" s="264"/>
      <c r="E731" s="264">
        <f t="shared" si="3"/>
        <v>0</v>
      </c>
      <c r="F731" s="157"/>
      <c r="G731" s="263"/>
      <c r="H731" s="272">
        <f t="shared" si="4"/>
        <v>0</v>
      </c>
    </row>
    <row r="732" ht="22.5" customHeight="1">
      <c r="A732" s="261"/>
      <c r="B732" s="262"/>
      <c r="C732" s="263"/>
      <c r="D732" s="264"/>
      <c r="E732" s="264">
        <f t="shared" si="3"/>
        <v>0</v>
      </c>
      <c r="F732" s="157"/>
      <c r="G732" s="263"/>
      <c r="H732" s="272">
        <f t="shared" si="4"/>
        <v>0</v>
      </c>
    </row>
    <row r="733" ht="22.5" customHeight="1">
      <c r="A733" s="261"/>
      <c r="B733" s="262"/>
      <c r="C733" s="263"/>
      <c r="D733" s="264"/>
      <c r="E733" s="264">
        <f t="shared" si="3"/>
        <v>0</v>
      </c>
      <c r="F733" s="157"/>
      <c r="G733" s="263"/>
      <c r="H733" s="272">
        <f t="shared" si="4"/>
        <v>0</v>
      </c>
    </row>
    <row r="734" ht="22.5" customHeight="1">
      <c r="A734" s="261"/>
      <c r="B734" s="262"/>
      <c r="C734" s="263"/>
      <c r="D734" s="264"/>
      <c r="E734" s="264">
        <f t="shared" si="3"/>
        <v>0</v>
      </c>
      <c r="F734" s="157"/>
      <c r="G734" s="263"/>
      <c r="H734" s="272">
        <f t="shared" si="4"/>
        <v>0</v>
      </c>
    </row>
    <row r="735" ht="22.5" customHeight="1">
      <c r="A735" s="261"/>
      <c r="B735" s="262"/>
      <c r="C735" s="263"/>
      <c r="D735" s="264"/>
      <c r="E735" s="264">
        <f t="shared" si="3"/>
        <v>0</v>
      </c>
      <c r="F735" s="157"/>
      <c r="G735" s="263"/>
      <c r="H735" s="272">
        <f t="shared" si="4"/>
        <v>0</v>
      </c>
    </row>
    <row r="736" ht="22.5" customHeight="1">
      <c r="A736" s="261"/>
      <c r="B736" s="262"/>
      <c r="C736" s="263"/>
      <c r="D736" s="264"/>
      <c r="E736" s="264">
        <f t="shared" si="3"/>
        <v>0</v>
      </c>
      <c r="F736" s="157"/>
      <c r="G736" s="263"/>
      <c r="H736" s="272">
        <f t="shared" si="4"/>
        <v>0</v>
      </c>
    </row>
    <row r="737" ht="22.5" customHeight="1">
      <c r="A737" s="261"/>
      <c r="B737" s="262"/>
      <c r="C737" s="263"/>
      <c r="D737" s="264"/>
      <c r="E737" s="264">
        <f t="shared" si="3"/>
        <v>0</v>
      </c>
      <c r="F737" s="157"/>
      <c r="G737" s="263"/>
      <c r="H737" s="272">
        <f t="shared" si="4"/>
        <v>0</v>
      </c>
    </row>
    <row r="738" ht="22.5" customHeight="1">
      <c r="A738" s="261"/>
      <c r="B738" s="262"/>
      <c r="C738" s="263"/>
      <c r="D738" s="264"/>
      <c r="E738" s="264">
        <f t="shared" si="3"/>
        <v>0</v>
      </c>
      <c r="F738" s="157"/>
      <c r="G738" s="263"/>
      <c r="H738" s="272">
        <f t="shared" si="4"/>
        <v>0</v>
      </c>
    </row>
    <row r="739" ht="22.5" customHeight="1">
      <c r="A739" s="261"/>
      <c r="B739" s="262"/>
      <c r="C739" s="263"/>
      <c r="D739" s="264"/>
      <c r="E739" s="264">
        <f t="shared" si="3"/>
        <v>0</v>
      </c>
      <c r="F739" s="157"/>
      <c r="G739" s="263"/>
      <c r="H739" s="272">
        <f t="shared" si="4"/>
        <v>0</v>
      </c>
    </row>
    <row r="740" ht="22.5" customHeight="1">
      <c r="A740" s="261"/>
      <c r="B740" s="262"/>
      <c r="C740" s="263"/>
      <c r="D740" s="264"/>
      <c r="E740" s="264">
        <f t="shared" si="3"/>
        <v>0</v>
      </c>
      <c r="F740" s="157"/>
      <c r="G740" s="263"/>
      <c r="H740" s="272">
        <f t="shared" si="4"/>
        <v>0</v>
      </c>
    </row>
    <row r="741" ht="22.5" customHeight="1">
      <c r="A741" s="261"/>
      <c r="B741" s="262"/>
      <c r="C741" s="263"/>
      <c r="D741" s="264"/>
      <c r="E741" s="264">
        <f t="shared" si="3"/>
        <v>0</v>
      </c>
      <c r="F741" s="157"/>
      <c r="G741" s="263"/>
      <c r="H741" s="272">
        <f t="shared" si="4"/>
        <v>0</v>
      </c>
    </row>
    <row r="742" ht="22.5" customHeight="1">
      <c r="A742" s="261"/>
      <c r="B742" s="262"/>
      <c r="C742" s="263"/>
      <c r="D742" s="264"/>
      <c r="E742" s="264">
        <f t="shared" si="3"/>
        <v>0</v>
      </c>
      <c r="F742" s="157"/>
      <c r="G742" s="263"/>
      <c r="H742" s="272">
        <f t="shared" si="4"/>
        <v>0</v>
      </c>
    </row>
    <row r="743" ht="22.5" customHeight="1">
      <c r="A743" s="261"/>
      <c r="B743" s="262"/>
      <c r="C743" s="263"/>
      <c r="D743" s="264"/>
      <c r="E743" s="264">
        <f t="shared" si="3"/>
        <v>0</v>
      </c>
      <c r="F743" s="157"/>
      <c r="G743" s="263"/>
      <c r="H743" s="272">
        <f t="shared" si="4"/>
        <v>0</v>
      </c>
    </row>
    <row r="744" ht="22.5" customHeight="1">
      <c r="A744" s="261"/>
      <c r="B744" s="262"/>
      <c r="C744" s="263"/>
      <c r="D744" s="264"/>
      <c r="E744" s="264">
        <f t="shared" si="3"/>
        <v>0</v>
      </c>
      <c r="F744" s="157"/>
      <c r="G744" s="263"/>
      <c r="H744" s="272">
        <f t="shared" si="4"/>
        <v>0</v>
      </c>
    </row>
    <row r="745" ht="22.5" customHeight="1">
      <c r="A745" s="261"/>
      <c r="B745" s="262"/>
      <c r="C745" s="263"/>
      <c r="D745" s="264"/>
      <c r="E745" s="264">
        <f t="shared" si="3"/>
        <v>0</v>
      </c>
      <c r="F745" s="157"/>
      <c r="G745" s="263"/>
      <c r="H745" s="272">
        <f t="shared" si="4"/>
        <v>0</v>
      </c>
    </row>
    <row r="746" ht="22.5" customHeight="1">
      <c r="A746" s="261"/>
      <c r="B746" s="262"/>
      <c r="C746" s="263"/>
      <c r="D746" s="264"/>
      <c r="E746" s="264">
        <f t="shared" si="3"/>
        <v>0</v>
      </c>
      <c r="F746" s="157"/>
      <c r="G746" s="263"/>
      <c r="H746" s="272">
        <f t="shared" si="4"/>
        <v>0</v>
      </c>
    </row>
    <row r="747" ht="22.5" customHeight="1">
      <c r="A747" s="261"/>
      <c r="B747" s="262"/>
      <c r="C747" s="263"/>
      <c r="D747" s="264"/>
      <c r="E747" s="264">
        <f t="shared" si="3"/>
        <v>0</v>
      </c>
      <c r="F747" s="157"/>
      <c r="G747" s="263"/>
      <c r="H747" s="272">
        <f t="shared" si="4"/>
        <v>0</v>
      </c>
    </row>
    <row r="748" ht="22.5" customHeight="1">
      <c r="A748" s="261"/>
      <c r="B748" s="262"/>
      <c r="C748" s="263"/>
      <c r="D748" s="264"/>
      <c r="E748" s="264">
        <f t="shared" si="3"/>
        <v>0</v>
      </c>
      <c r="F748" s="157"/>
      <c r="G748" s="263"/>
      <c r="H748" s="272">
        <f t="shared" si="4"/>
        <v>0</v>
      </c>
    </row>
    <row r="749" ht="22.5" customHeight="1">
      <c r="A749" s="261"/>
      <c r="B749" s="262"/>
      <c r="C749" s="263"/>
      <c r="D749" s="264"/>
      <c r="E749" s="264">
        <f t="shared" si="3"/>
        <v>0</v>
      </c>
      <c r="F749" s="157"/>
      <c r="G749" s="263"/>
      <c r="H749" s="272">
        <f t="shared" si="4"/>
        <v>0</v>
      </c>
    </row>
    <row r="750" ht="22.5" customHeight="1">
      <c r="A750" s="261"/>
      <c r="B750" s="262"/>
      <c r="C750" s="263"/>
      <c r="D750" s="264"/>
      <c r="E750" s="264">
        <f t="shared" si="3"/>
        <v>0</v>
      </c>
      <c r="F750" s="157"/>
      <c r="G750" s="263"/>
      <c r="H750" s="272">
        <f t="shared" si="4"/>
        <v>0</v>
      </c>
    </row>
    <row r="751" ht="22.5" customHeight="1">
      <c r="A751" s="261"/>
      <c r="B751" s="262"/>
      <c r="C751" s="263"/>
      <c r="D751" s="264"/>
      <c r="E751" s="264">
        <f t="shared" si="3"/>
        <v>0</v>
      </c>
      <c r="F751" s="157"/>
      <c r="G751" s="263"/>
      <c r="H751" s="272">
        <f t="shared" si="4"/>
        <v>0</v>
      </c>
    </row>
    <row r="752" ht="22.5" customHeight="1">
      <c r="A752" s="261"/>
      <c r="B752" s="262"/>
      <c r="C752" s="263"/>
      <c r="D752" s="264"/>
      <c r="E752" s="264">
        <f t="shared" si="3"/>
        <v>0</v>
      </c>
      <c r="F752" s="157"/>
      <c r="G752" s="263"/>
      <c r="H752" s="272">
        <f t="shared" si="4"/>
        <v>0</v>
      </c>
    </row>
    <row r="753" ht="22.5" customHeight="1">
      <c r="A753" s="261"/>
      <c r="B753" s="262"/>
      <c r="C753" s="263"/>
      <c r="D753" s="264"/>
      <c r="E753" s="264">
        <f t="shared" si="3"/>
        <v>0</v>
      </c>
      <c r="F753" s="157"/>
      <c r="G753" s="263"/>
      <c r="H753" s="272">
        <f t="shared" si="4"/>
        <v>0</v>
      </c>
    </row>
    <row r="754" ht="22.5" customHeight="1">
      <c r="A754" s="261"/>
      <c r="B754" s="262"/>
      <c r="C754" s="263"/>
      <c r="D754" s="264"/>
      <c r="E754" s="264">
        <f t="shared" si="3"/>
        <v>0</v>
      </c>
      <c r="F754" s="157"/>
      <c r="G754" s="263"/>
      <c r="H754" s="272">
        <f t="shared" si="4"/>
        <v>0</v>
      </c>
    </row>
    <row r="755" ht="22.5" customHeight="1">
      <c r="A755" s="261"/>
      <c r="B755" s="262"/>
      <c r="C755" s="263"/>
      <c r="D755" s="264"/>
      <c r="E755" s="264">
        <f t="shared" si="3"/>
        <v>0</v>
      </c>
      <c r="F755" s="157"/>
      <c r="G755" s="263"/>
      <c r="H755" s="272">
        <f t="shared" si="4"/>
        <v>0</v>
      </c>
    </row>
    <row r="756" ht="22.5" customHeight="1">
      <c r="A756" s="261"/>
      <c r="B756" s="262"/>
      <c r="C756" s="263"/>
      <c r="D756" s="264"/>
      <c r="E756" s="264">
        <f t="shared" si="3"/>
        <v>0</v>
      </c>
      <c r="F756" s="157"/>
      <c r="G756" s="263"/>
      <c r="H756" s="272">
        <f t="shared" si="4"/>
        <v>0</v>
      </c>
    </row>
    <row r="757" ht="22.5" customHeight="1">
      <c r="A757" s="261"/>
      <c r="B757" s="262"/>
      <c r="C757" s="263"/>
      <c r="D757" s="264"/>
      <c r="E757" s="264">
        <f t="shared" si="3"/>
        <v>0</v>
      </c>
      <c r="F757" s="157"/>
      <c r="G757" s="263"/>
      <c r="H757" s="272">
        <f t="shared" si="4"/>
        <v>0</v>
      </c>
    </row>
    <row r="758" ht="22.5" customHeight="1">
      <c r="A758" s="261"/>
      <c r="B758" s="262"/>
      <c r="C758" s="263"/>
      <c r="D758" s="264"/>
      <c r="E758" s="264">
        <f t="shared" si="3"/>
        <v>0</v>
      </c>
      <c r="F758" s="157"/>
      <c r="G758" s="263"/>
      <c r="H758" s="272">
        <f t="shared" si="4"/>
        <v>0</v>
      </c>
    </row>
    <row r="759" ht="22.5" customHeight="1">
      <c r="A759" s="261"/>
      <c r="B759" s="262"/>
      <c r="C759" s="263"/>
      <c r="D759" s="264"/>
      <c r="E759" s="264">
        <f t="shared" si="3"/>
        <v>0</v>
      </c>
      <c r="F759" s="157"/>
      <c r="G759" s="263"/>
      <c r="H759" s="272">
        <f t="shared" si="4"/>
        <v>0</v>
      </c>
    </row>
    <row r="760" ht="22.5" customHeight="1">
      <c r="A760" s="261"/>
      <c r="B760" s="262"/>
      <c r="C760" s="263"/>
      <c r="D760" s="264"/>
      <c r="E760" s="264">
        <f t="shared" si="3"/>
        <v>0</v>
      </c>
      <c r="F760" s="157"/>
      <c r="G760" s="263"/>
      <c r="H760" s="272">
        <f t="shared" si="4"/>
        <v>0</v>
      </c>
    </row>
    <row r="761" ht="22.5" customHeight="1">
      <c r="A761" s="261"/>
      <c r="B761" s="262"/>
      <c r="C761" s="263"/>
      <c r="D761" s="264"/>
      <c r="E761" s="264">
        <f t="shared" si="3"/>
        <v>0</v>
      </c>
      <c r="F761" s="157"/>
      <c r="G761" s="263"/>
      <c r="H761" s="272">
        <f t="shared" si="4"/>
        <v>0</v>
      </c>
    </row>
    <row r="762" ht="22.5" customHeight="1">
      <c r="A762" s="261"/>
      <c r="B762" s="262"/>
      <c r="C762" s="263"/>
      <c r="D762" s="264"/>
      <c r="E762" s="264">
        <f t="shared" si="3"/>
        <v>0</v>
      </c>
      <c r="F762" s="157"/>
      <c r="G762" s="263"/>
      <c r="H762" s="272">
        <f t="shared" si="4"/>
        <v>0</v>
      </c>
    </row>
    <row r="763" ht="22.5" customHeight="1">
      <c r="A763" s="261"/>
      <c r="B763" s="262"/>
      <c r="C763" s="263"/>
      <c r="D763" s="264"/>
      <c r="E763" s="264">
        <f t="shared" si="3"/>
        <v>0</v>
      </c>
      <c r="F763" s="157"/>
      <c r="G763" s="263"/>
      <c r="H763" s="272">
        <f t="shared" si="4"/>
        <v>0</v>
      </c>
    </row>
    <row r="764" ht="22.5" customHeight="1">
      <c r="A764" s="261"/>
      <c r="B764" s="262"/>
      <c r="C764" s="263"/>
      <c r="D764" s="264"/>
      <c r="E764" s="264">
        <f t="shared" si="3"/>
        <v>0</v>
      </c>
      <c r="F764" s="157"/>
      <c r="G764" s="263"/>
      <c r="H764" s="272">
        <f t="shared" si="4"/>
        <v>0</v>
      </c>
    </row>
    <row r="765" ht="22.5" customHeight="1">
      <c r="A765" s="261"/>
      <c r="B765" s="262"/>
      <c r="C765" s="263"/>
      <c r="D765" s="264"/>
      <c r="E765" s="264">
        <f t="shared" si="3"/>
        <v>0</v>
      </c>
      <c r="F765" s="157"/>
      <c r="G765" s="263"/>
      <c r="H765" s="272">
        <f t="shared" si="4"/>
        <v>0</v>
      </c>
    </row>
    <row r="766" ht="22.5" customHeight="1">
      <c r="A766" s="261"/>
      <c r="B766" s="262"/>
      <c r="C766" s="263"/>
      <c r="D766" s="264"/>
      <c r="E766" s="264">
        <f t="shared" si="3"/>
        <v>0</v>
      </c>
      <c r="F766" s="157"/>
      <c r="G766" s="263"/>
      <c r="H766" s="272">
        <f t="shared" si="4"/>
        <v>0</v>
      </c>
    </row>
    <row r="767" ht="22.5" customHeight="1">
      <c r="A767" s="261"/>
      <c r="B767" s="262"/>
      <c r="C767" s="263"/>
      <c r="D767" s="264"/>
      <c r="E767" s="264">
        <f t="shared" si="3"/>
        <v>0</v>
      </c>
      <c r="F767" s="157"/>
      <c r="G767" s="263"/>
      <c r="H767" s="272">
        <f t="shared" si="4"/>
        <v>0</v>
      </c>
    </row>
    <row r="768" ht="22.5" customHeight="1">
      <c r="A768" s="261"/>
      <c r="B768" s="262"/>
      <c r="C768" s="263"/>
      <c r="D768" s="264"/>
      <c r="E768" s="264">
        <f t="shared" si="3"/>
        <v>0</v>
      </c>
      <c r="F768" s="157"/>
      <c r="G768" s="263"/>
      <c r="H768" s="272">
        <f t="shared" si="4"/>
        <v>0</v>
      </c>
    </row>
    <row r="769" ht="22.5" customHeight="1">
      <c r="A769" s="261"/>
      <c r="B769" s="262"/>
      <c r="C769" s="263"/>
      <c r="D769" s="264"/>
      <c r="E769" s="264">
        <f t="shared" si="3"/>
        <v>0</v>
      </c>
      <c r="F769" s="157"/>
      <c r="G769" s="263"/>
      <c r="H769" s="272">
        <f t="shared" si="4"/>
        <v>0</v>
      </c>
    </row>
    <row r="770" ht="22.5" customHeight="1">
      <c r="A770" s="261"/>
      <c r="B770" s="262"/>
      <c r="C770" s="263"/>
      <c r="D770" s="264"/>
      <c r="E770" s="264">
        <f t="shared" si="3"/>
        <v>0</v>
      </c>
      <c r="F770" s="157"/>
      <c r="G770" s="263"/>
      <c r="H770" s="272">
        <f t="shared" si="4"/>
        <v>0</v>
      </c>
    </row>
    <row r="771" ht="22.5" customHeight="1">
      <c r="A771" s="261"/>
      <c r="B771" s="262"/>
      <c r="C771" s="263"/>
      <c r="D771" s="264"/>
      <c r="E771" s="264">
        <f t="shared" si="3"/>
        <v>0</v>
      </c>
      <c r="F771" s="157"/>
      <c r="G771" s="263"/>
      <c r="H771" s="272">
        <f t="shared" si="4"/>
        <v>0</v>
      </c>
    </row>
    <row r="772" ht="22.5" customHeight="1">
      <c r="A772" s="261"/>
      <c r="B772" s="262"/>
      <c r="C772" s="263"/>
      <c r="D772" s="264"/>
      <c r="E772" s="264">
        <f t="shared" si="3"/>
        <v>0</v>
      </c>
      <c r="F772" s="157"/>
      <c r="G772" s="263"/>
      <c r="H772" s="272">
        <f t="shared" si="4"/>
        <v>0</v>
      </c>
    </row>
    <row r="773" ht="22.5" customHeight="1">
      <c r="A773" s="261"/>
      <c r="B773" s="262"/>
      <c r="C773" s="263"/>
      <c r="D773" s="264"/>
      <c r="E773" s="264">
        <f t="shared" si="3"/>
        <v>0</v>
      </c>
      <c r="F773" s="157"/>
      <c r="G773" s="263"/>
      <c r="H773" s="272">
        <f t="shared" si="4"/>
        <v>0</v>
      </c>
    </row>
    <row r="774" ht="22.5" customHeight="1">
      <c r="A774" s="261"/>
      <c r="B774" s="262"/>
      <c r="C774" s="263"/>
      <c r="D774" s="264"/>
      <c r="E774" s="264">
        <f t="shared" si="3"/>
        <v>0</v>
      </c>
      <c r="F774" s="157"/>
      <c r="G774" s="263"/>
      <c r="H774" s="272">
        <f t="shared" si="4"/>
        <v>0</v>
      </c>
    </row>
    <row r="775" ht="22.5" customHeight="1">
      <c r="A775" s="261"/>
      <c r="B775" s="262"/>
      <c r="C775" s="263"/>
      <c r="D775" s="264"/>
      <c r="E775" s="264">
        <f t="shared" si="3"/>
        <v>0</v>
      </c>
      <c r="F775" s="157"/>
      <c r="G775" s="263"/>
      <c r="H775" s="272">
        <f t="shared" si="4"/>
        <v>0</v>
      </c>
    </row>
    <row r="776" ht="22.5" customHeight="1">
      <c r="A776" s="261"/>
      <c r="B776" s="262"/>
      <c r="C776" s="263"/>
      <c r="D776" s="264"/>
      <c r="E776" s="264">
        <f t="shared" si="3"/>
        <v>0</v>
      </c>
      <c r="F776" s="157"/>
      <c r="G776" s="263"/>
      <c r="H776" s="272">
        <f t="shared" si="4"/>
        <v>0</v>
      </c>
    </row>
    <row r="777" ht="22.5" customHeight="1">
      <c r="A777" s="261"/>
      <c r="B777" s="262"/>
      <c r="C777" s="263"/>
      <c r="D777" s="264"/>
      <c r="E777" s="264">
        <f t="shared" si="3"/>
        <v>0</v>
      </c>
      <c r="F777" s="157"/>
      <c r="G777" s="263"/>
      <c r="H777" s="272">
        <f t="shared" si="4"/>
        <v>0</v>
      </c>
    </row>
    <row r="778" ht="22.5" customHeight="1">
      <c r="A778" s="261"/>
      <c r="B778" s="262"/>
      <c r="C778" s="263"/>
      <c r="D778" s="264"/>
      <c r="E778" s="264">
        <f t="shared" si="3"/>
        <v>0</v>
      </c>
      <c r="F778" s="157"/>
      <c r="G778" s="263"/>
      <c r="H778" s="272">
        <f t="shared" si="4"/>
        <v>0</v>
      </c>
    </row>
    <row r="779" ht="22.5" customHeight="1">
      <c r="A779" s="261"/>
      <c r="B779" s="262"/>
      <c r="C779" s="263"/>
      <c r="D779" s="264"/>
      <c r="E779" s="264">
        <f t="shared" si="3"/>
        <v>0</v>
      </c>
      <c r="F779" s="157"/>
      <c r="G779" s="263"/>
      <c r="H779" s="272">
        <f t="shared" si="4"/>
        <v>0</v>
      </c>
    </row>
    <row r="780" ht="22.5" customHeight="1">
      <c r="A780" s="261"/>
      <c r="B780" s="262"/>
      <c r="C780" s="263"/>
      <c r="D780" s="264"/>
      <c r="E780" s="264">
        <f t="shared" si="3"/>
        <v>0</v>
      </c>
      <c r="F780" s="157"/>
      <c r="G780" s="263"/>
      <c r="H780" s="272">
        <f t="shared" si="4"/>
        <v>0</v>
      </c>
    </row>
    <row r="781" ht="22.5" customHeight="1">
      <c r="A781" s="261"/>
      <c r="B781" s="262"/>
      <c r="C781" s="263"/>
      <c r="D781" s="264"/>
      <c r="E781" s="264">
        <f t="shared" si="3"/>
        <v>0</v>
      </c>
      <c r="F781" s="157"/>
      <c r="G781" s="263"/>
      <c r="H781" s="272">
        <f t="shared" si="4"/>
        <v>0</v>
      </c>
    </row>
    <row r="782" ht="22.5" customHeight="1">
      <c r="A782" s="261"/>
      <c r="B782" s="262"/>
      <c r="C782" s="263"/>
      <c r="D782" s="264"/>
      <c r="E782" s="264">
        <f t="shared" si="3"/>
        <v>0</v>
      </c>
      <c r="F782" s="157"/>
      <c r="G782" s="263"/>
      <c r="H782" s="272">
        <f t="shared" si="4"/>
        <v>0</v>
      </c>
    </row>
    <row r="783" ht="22.5" customHeight="1">
      <c r="A783" s="261"/>
      <c r="B783" s="262"/>
      <c r="C783" s="263"/>
      <c r="D783" s="264"/>
      <c r="E783" s="264">
        <f t="shared" si="3"/>
        <v>0</v>
      </c>
      <c r="F783" s="157"/>
      <c r="G783" s="263"/>
      <c r="H783" s="272">
        <f t="shared" si="4"/>
        <v>0</v>
      </c>
    </row>
    <row r="784" ht="22.5" customHeight="1">
      <c r="A784" s="261"/>
      <c r="B784" s="262"/>
      <c r="C784" s="263"/>
      <c r="D784" s="264"/>
      <c r="E784" s="264">
        <f t="shared" si="3"/>
        <v>0</v>
      </c>
      <c r="F784" s="157"/>
      <c r="G784" s="263"/>
      <c r="H784" s="272">
        <f t="shared" si="4"/>
        <v>0</v>
      </c>
    </row>
    <row r="785" ht="22.5" customHeight="1">
      <c r="A785" s="261"/>
      <c r="B785" s="262"/>
      <c r="C785" s="263"/>
      <c r="D785" s="264"/>
      <c r="E785" s="264">
        <f t="shared" si="3"/>
        <v>0</v>
      </c>
      <c r="F785" s="157"/>
      <c r="G785" s="263"/>
      <c r="H785" s="272">
        <f t="shared" si="4"/>
        <v>0</v>
      </c>
    </row>
    <row r="786" ht="22.5" customHeight="1">
      <c r="A786" s="261"/>
      <c r="B786" s="262"/>
      <c r="C786" s="263"/>
      <c r="D786" s="264"/>
      <c r="E786" s="264">
        <f t="shared" si="3"/>
        <v>0</v>
      </c>
      <c r="F786" s="157"/>
      <c r="G786" s="263"/>
      <c r="H786" s="272">
        <f t="shared" si="4"/>
        <v>0</v>
      </c>
    </row>
    <row r="787" ht="22.5" customHeight="1">
      <c r="A787" s="261"/>
      <c r="B787" s="262"/>
      <c r="C787" s="263"/>
      <c r="D787" s="264"/>
      <c r="E787" s="264">
        <f t="shared" si="3"/>
        <v>0</v>
      </c>
      <c r="F787" s="157"/>
      <c r="G787" s="263"/>
      <c r="H787" s="272">
        <f t="shared" si="4"/>
        <v>0</v>
      </c>
    </row>
    <row r="788" ht="22.5" customHeight="1">
      <c r="A788" s="261"/>
      <c r="B788" s="262"/>
      <c r="C788" s="263"/>
      <c r="D788" s="264"/>
      <c r="E788" s="264">
        <f t="shared" si="3"/>
        <v>0</v>
      </c>
      <c r="F788" s="157"/>
      <c r="G788" s="263"/>
      <c r="H788" s="272">
        <f t="shared" si="4"/>
        <v>0</v>
      </c>
    </row>
    <row r="789" ht="22.5" customHeight="1">
      <c r="A789" s="261"/>
      <c r="B789" s="262"/>
      <c r="C789" s="263"/>
      <c r="D789" s="264"/>
      <c r="E789" s="264">
        <f t="shared" si="3"/>
        <v>0</v>
      </c>
      <c r="F789" s="157"/>
      <c r="G789" s="263"/>
      <c r="H789" s="272">
        <f t="shared" si="4"/>
        <v>0</v>
      </c>
    </row>
    <row r="790" ht="22.5" customHeight="1">
      <c r="A790" s="261"/>
      <c r="B790" s="262"/>
      <c r="C790" s="263"/>
      <c r="D790" s="264"/>
      <c r="E790" s="264">
        <f t="shared" si="3"/>
        <v>0</v>
      </c>
      <c r="F790" s="157"/>
      <c r="G790" s="263"/>
      <c r="H790" s="272">
        <f t="shared" si="4"/>
        <v>0</v>
      </c>
    </row>
    <row r="791" ht="22.5" customHeight="1">
      <c r="A791" s="261"/>
      <c r="B791" s="262"/>
      <c r="C791" s="263"/>
      <c r="D791" s="264"/>
      <c r="E791" s="264">
        <f t="shared" si="3"/>
        <v>0</v>
      </c>
      <c r="F791" s="157"/>
      <c r="G791" s="263"/>
      <c r="H791" s="272">
        <f t="shared" si="4"/>
        <v>0</v>
      </c>
    </row>
    <row r="792" ht="22.5" customHeight="1">
      <c r="A792" s="261"/>
      <c r="B792" s="262"/>
      <c r="C792" s="263"/>
      <c r="D792" s="264"/>
      <c r="E792" s="264">
        <f t="shared" si="3"/>
        <v>0</v>
      </c>
      <c r="F792" s="157"/>
      <c r="G792" s="263"/>
      <c r="H792" s="272">
        <f t="shared" si="4"/>
        <v>0</v>
      </c>
    </row>
    <row r="793" ht="22.5" customHeight="1">
      <c r="A793" s="261"/>
      <c r="B793" s="262"/>
      <c r="C793" s="263"/>
      <c r="D793" s="264"/>
      <c r="E793" s="264">
        <f t="shared" si="3"/>
        <v>0</v>
      </c>
      <c r="F793" s="157"/>
      <c r="G793" s="263"/>
      <c r="H793" s="272">
        <f t="shared" si="4"/>
        <v>0</v>
      </c>
    </row>
    <row r="794" ht="22.5" customHeight="1">
      <c r="A794" s="261"/>
      <c r="B794" s="262"/>
      <c r="C794" s="263"/>
      <c r="D794" s="264"/>
      <c r="E794" s="264">
        <f t="shared" si="3"/>
        <v>0</v>
      </c>
      <c r="F794" s="157"/>
      <c r="G794" s="263"/>
      <c r="H794" s="272">
        <f t="shared" si="4"/>
        <v>0</v>
      </c>
    </row>
    <row r="795" ht="22.5" customHeight="1">
      <c r="A795" s="261"/>
      <c r="B795" s="262"/>
      <c r="C795" s="263"/>
      <c r="D795" s="264"/>
      <c r="E795" s="264">
        <f t="shared" si="3"/>
        <v>0</v>
      </c>
      <c r="F795" s="157"/>
      <c r="G795" s="263"/>
      <c r="H795" s="272">
        <f t="shared" si="4"/>
        <v>0</v>
      </c>
    </row>
    <row r="796" ht="22.5" customHeight="1">
      <c r="A796" s="261"/>
      <c r="B796" s="262"/>
      <c r="C796" s="263"/>
      <c r="D796" s="264"/>
      <c r="E796" s="264">
        <f t="shared" si="3"/>
        <v>0</v>
      </c>
      <c r="F796" s="157"/>
      <c r="G796" s="263"/>
      <c r="H796" s="272">
        <f t="shared" si="4"/>
        <v>0</v>
      </c>
    </row>
    <row r="797" ht="22.5" customHeight="1">
      <c r="A797" s="261"/>
      <c r="B797" s="262"/>
      <c r="C797" s="263"/>
      <c r="D797" s="264"/>
      <c r="E797" s="264">
        <f t="shared" si="3"/>
        <v>0</v>
      </c>
      <c r="F797" s="157"/>
      <c r="G797" s="263"/>
      <c r="H797" s="272">
        <f t="shared" si="4"/>
        <v>0</v>
      </c>
    </row>
    <row r="798" ht="22.5" customHeight="1">
      <c r="A798" s="261"/>
      <c r="B798" s="262"/>
      <c r="C798" s="263"/>
      <c r="D798" s="264"/>
      <c r="E798" s="264">
        <f t="shared" si="3"/>
        <v>0</v>
      </c>
      <c r="F798" s="157"/>
      <c r="G798" s="263"/>
      <c r="H798" s="272">
        <f t="shared" si="4"/>
        <v>0</v>
      </c>
    </row>
    <row r="799" ht="22.5" customHeight="1">
      <c r="A799" s="261"/>
      <c r="B799" s="262"/>
      <c r="C799" s="263"/>
      <c r="D799" s="264"/>
      <c r="E799" s="264">
        <f t="shared" si="3"/>
        <v>0</v>
      </c>
      <c r="F799" s="157"/>
      <c r="G799" s="263"/>
      <c r="H799" s="272">
        <f t="shared" si="4"/>
        <v>0</v>
      </c>
    </row>
    <row r="800" ht="22.5" customHeight="1">
      <c r="A800" s="261"/>
      <c r="B800" s="262"/>
      <c r="C800" s="263"/>
      <c r="D800" s="264"/>
      <c r="E800" s="264">
        <f t="shared" si="3"/>
        <v>0</v>
      </c>
      <c r="F800" s="157"/>
      <c r="G800" s="263"/>
      <c r="H800" s="272">
        <f t="shared" si="4"/>
        <v>0</v>
      </c>
    </row>
    <row r="801" ht="22.5" customHeight="1">
      <c r="A801" s="261"/>
      <c r="B801" s="262"/>
      <c r="C801" s="263"/>
      <c r="D801" s="264"/>
      <c r="E801" s="264">
        <f t="shared" si="3"/>
        <v>0</v>
      </c>
      <c r="F801" s="157"/>
      <c r="G801" s="263"/>
      <c r="H801" s="272">
        <f t="shared" si="4"/>
        <v>0</v>
      </c>
    </row>
    <row r="802" ht="22.5" customHeight="1">
      <c r="A802" s="261"/>
      <c r="B802" s="262"/>
      <c r="C802" s="263"/>
      <c r="D802" s="264"/>
      <c r="E802" s="264">
        <f t="shared" si="3"/>
        <v>0</v>
      </c>
      <c r="F802" s="157"/>
      <c r="G802" s="263"/>
      <c r="H802" s="272">
        <f t="shared" si="4"/>
        <v>0</v>
      </c>
    </row>
    <row r="803" ht="22.5" customHeight="1">
      <c r="A803" s="261"/>
      <c r="B803" s="262"/>
      <c r="C803" s="263"/>
      <c r="D803" s="264"/>
      <c r="E803" s="264">
        <f t="shared" si="3"/>
        <v>0</v>
      </c>
      <c r="F803" s="157"/>
      <c r="G803" s="263"/>
      <c r="H803" s="272">
        <f t="shared" si="4"/>
        <v>0</v>
      </c>
    </row>
    <row r="804" ht="22.5" customHeight="1">
      <c r="A804" s="261"/>
      <c r="B804" s="262"/>
      <c r="C804" s="263"/>
      <c r="D804" s="264"/>
      <c r="E804" s="264">
        <f t="shared" si="3"/>
        <v>0</v>
      </c>
      <c r="F804" s="157"/>
      <c r="G804" s="263"/>
      <c r="H804" s="272">
        <f t="shared" si="4"/>
        <v>0</v>
      </c>
    </row>
    <row r="805" ht="22.5" customHeight="1">
      <c r="A805" s="261"/>
      <c r="B805" s="262"/>
      <c r="C805" s="263"/>
      <c r="D805" s="264"/>
      <c r="E805" s="264">
        <f t="shared" si="3"/>
        <v>0</v>
      </c>
      <c r="F805" s="157"/>
      <c r="G805" s="263"/>
      <c r="H805" s="272">
        <f t="shared" si="4"/>
        <v>0</v>
      </c>
    </row>
    <row r="806" ht="22.5" customHeight="1">
      <c r="A806" s="261"/>
      <c r="B806" s="262"/>
      <c r="C806" s="263"/>
      <c r="D806" s="264"/>
      <c r="E806" s="264">
        <f t="shared" si="3"/>
        <v>0</v>
      </c>
      <c r="F806" s="157"/>
      <c r="G806" s="263"/>
      <c r="H806" s="272">
        <f t="shared" si="4"/>
        <v>0</v>
      </c>
    </row>
    <row r="807" ht="22.5" customHeight="1">
      <c r="A807" s="261"/>
      <c r="B807" s="262"/>
      <c r="C807" s="263"/>
      <c r="D807" s="264"/>
      <c r="E807" s="264">
        <f t="shared" si="3"/>
        <v>0</v>
      </c>
      <c r="F807" s="157"/>
      <c r="G807" s="263"/>
      <c r="H807" s="272">
        <f t="shared" si="4"/>
        <v>0</v>
      </c>
    </row>
    <row r="808" ht="22.5" customHeight="1">
      <c r="A808" s="261"/>
      <c r="B808" s="262"/>
      <c r="C808" s="263"/>
      <c r="D808" s="264"/>
      <c r="E808" s="264">
        <f t="shared" si="3"/>
        <v>0</v>
      </c>
      <c r="F808" s="157"/>
      <c r="G808" s="263"/>
      <c r="H808" s="272">
        <f t="shared" si="4"/>
        <v>0</v>
      </c>
    </row>
    <row r="809" ht="22.5" customHeight="1">
      <c r="A809" s="261"/>
      <c r="B809" s="262"/>
      <c r="C809" s="263"/>
      <c r="D809" s="264"/>
      <c r="E809" s="264">
        <f t="shared" si="3"/>
        <v>0</v>
      </c>
      <c r="F809" s="157"/>
      <c r="G809" s="263"/>
      <c r="H809" s="272">
        <f t="shared" si="4"/>
        <v>0</v>
      </c>
    </row>
    <row r="810" ht="22.5" customHeight="1">
      <c r="A810" s="261"/>
      <c r="B810" s="262"/>
      <c r="C810" s="263"/>
      <c r="D810" s="264"/>
      <c r="E810" s="264">
        <f t="shared" si="3"/>
        <v>0</v>
      </c>
      <c r="F810" s="157"/>
      <c r="G810" s="263"/>
      <c r="H810" s="272">
        <f t="shared" si="4"/>
        <v>0</v>
      </c>
    </row>
    <row r="811" ht="22.5" customHeight="1">
      <c r="A811" s="261"/>
      <c r="B811" s="262"/>
      <c r="C811" s="263"/>
      <c r="D811" s="264"/>
      <c r="E811" s="264">
        <f t="shared" si="3"/>
        <v>0</v>
      </c>
      <c r="F811" s="157"/>
      <c r="G811" s="263"/>
      <c r="H811" s="272">
        <f t="shared" si="4"/>
        <v>0</v>
      </c>
    </row>
    <row r="812" ht="22.5" customHeight="1">
      <c r="A812" s="261"/>
      <c r="B812" s="262"/>
      <c r="C812" s="263"/>
      <c r="D812" s="264"/>
      <c r="E812" s="264">
        <f t="shared" si="3"/>
        <v>0</v>
      </c>
      <c r="F812" s="157"/>
      <c r="G812" s="263"/>
      <c r="H812" s="272">
        <f t="shared" si="4"/>
        <v>0</v>
      </c>
    </row>
    <row r="813" ht="22.5" customHeight="1">
      <c r="A813" s="261"/>
      <c r="B813" s="262"/>
      <c r="C813" s="263"/>
      <c r="D813" s="264"/>
      <c r="E813" s="264">
        <f t="shared" si="3"/>
        <v>0</v>
      </c>
      <c r="F813" s="157"/>
      <c r="G813" s="263"/>
      <c r="H813" s="272">
        <f t="shared" si="4"/>
        <v>0</v>
      </c>
    </row>
    <row r="814" ht="22.5" customHeight="1">
      <c r="A814" s="261"/>
      <c r="B814" s="262"/>
      <c r="C814" s="263"/>
      <c r="D814" s="264"/>
      <c r="E814" s="264">
        <f t="shared" si="3"/>
        <v>0</v>
      </c>
      <c r="F814" s="157"/>
      <c r="G814" s="263"/>
      <c r="H814" s="272">
        <f t="shared" si="4"/>
        <v>0</v>
      </c>
    </row>
    <row r="815" ht="22.5" customHeight="1">
      <c r="A815" s="261"/>
      <c r="B815" s="262"/>
      <c r="C815" s="263"/>
      <c r="D815" s="264"/>
      <c r="E815" s="264">
        <f t="shared" si="3"/>
        <v>0</v>
      </c>
      <c r="F815" s="157"/>
      <c r="G815" s="263"/>
      <c r="H815" s="272">
        <f t="shared" si="4"/>
        <v>0</v>
      </c>
    </row>
    <row r="816" ht="22.5" customHeight="1">
      <c r="A816" s="261"/>
      <c r="B816" s="262"/>
      <c r="C816" s="263"/>
      <c r="D816" s="264"/>
      <c r="E816" s="264">
        <f t="shared" si="3"/>
        <v>0</v>
      </c>
      <c r="F816" s="157"/>
      <c r="G816" s="263"/>
      <c r="H816" s="272">
        <f t="shared" si="4"/>
        <v>0</v>
      </c>
    </row>
    <row r="817" ht="22.5" customHeight="1">
      <c r="A817" s="261"/>
      <c r="B817" s="262"/>
      <c r="C817" s="263"/>
      <c r="D817" s="264"/>
      <c r="E817" s="264">
        <f t="shared" si="3"/>
        <v>0</v>
      </c>
      <c r="F817" s="157"/>
      <c r="G817" s="263"/>
      <c r="H817" s="272">
        <f t="shared" si="4"/>
        <v>0</v>
      </c>
    </row>
    <row r="818" ht="22.5" customHeight="1">
      <c r="A818" s="261"/>
      <c r="B818" s="262"/>
      <c r="C818" s="263"/>
      <c r="D818" s="264"/>
      <c r="E818" s="264">
        <f t="shared" si="3"/>
        <v>0</v>
      </c>
      <c r="F818" s="157"/>
      <c r="G818" s="263"/>
      <c r="H818" s="272">
        <f t="shared" si="4"/>
        <v>0</v>
      </c>
    </row>
    <row r="819" ht="22.5" customHeight="1">
      <c r="A819" s="261"/>
      <c r="B819" s="262"/>
      <c r="C819" s="263"/>
      <c r="D819" s="264"/>
      <c r="E819" s="264">
        <f t="shared" si="3"/>
        <v>0</v>
      </c>
      <c r="F819" s="157"/>
      <c r="G819" s="263"/>
      <c r="H819" s="272">
        <f t="shared" si="4"/>
        <v>0</v>
      </c>
    </row>
    <row r="820" ht="22.5" customHeight="1">
      <c r="A820" s="261"/>
      <c r="B820" s="262"/>
      <c r="C820" s="263"/>
      <c r="D820" s="264"/>
      <c r="E820" s="264">
        <f t="shared" si="3"/>
        <v>0</v>
      </c>
      <c r="F820" s="157"/>
      <c r="G820" s="263"/>
      <c r="H820" s="272">
        <f t="shared" si="4"/>
        <v>0</v>
      </c>
    </row>
    <row r="821" ht="22.5" customHeight="1">
      <c r="A821" s="261"/>
      <c r="B821" s="262"/>
      <c r="C821" s="263"/>
      <c r="D821" s="264"/>
      <c r="E821" s="264">
        <f t="shared" si="3"/>
        <v>0</v>
      </c>
      <c r="F821" s="157"/>
      <c r="G821" s="263"/>
      <c r="H821" s="272">
        <f t="shared" si="4"/>
        <v>0</v>
      </c>
    </row>
    <row r="822" ht="22.5" customHeight="1">
      <c r="A822" s="261"/>
      <c r="B822" s="262"/>
      <c r="C822" s="263"/>
      <c r="D822" s="264"/>
      <c r="E822" s="264">
        <f t="shared" si="3"/>
        <v>0</v>
      </c>
      <c r="F822" s="157"/>
      <c r="G822" s="263"/>
      <c r="H822" s="272">
        <f t="shared" si="4"/>
        <v>0</v>
      </c>
    </row>
    <row r="823" ht="22.5" customHeight="1">
      <c r="A823" s="261"/>
      <c r="B823" s="262"/>
      <c r="C823" s="263"/>
      <c r="D823" s="264"/>
      <c r="E823" s="264">
        <f t="shared" si="3"/>
        <v>0</v>
      </c>
      <c r="F823" s="157"/>
      <c r="G823" s="263"/>
      <c r="H823" s="272">
        <f t="shared" si="4"/>
        <v>0</v>
      </c>
    </row>
    <row r="824" ht="22.5" customHeight="1">
      <c r="A824" s="261"/>
      <c r="B824" s="262"/>
      <c r="C824" s="263"/>
      <c r="D824" s="264"/>
      <c r="E824" s="264">
        <f t="shared" si="3"/>
        <v>0</v>
      </c>
      <c r="F824" s="157"/>
      <c r="G824" s="263"/>
      <c r="H824" s="272">
        <f t="shared" si="4"/>
        <v>0</v>
      </c>
    </row>
    <row r="825" ht="22.5" customHeight="1">
      <c r="A825" s="261"/>
      <c r="B825" s="262"/>
      <c r="C825" s="263"/>
      <c r="D825" s="264"/>
      <c r="E825" s="264">
        <f t="shared" si="3"/>
        <v>0</v>
      </c>
      <c r="F825" s="157"/>
      <c r="G825" s="263"/>
      <c r="H825" s="272">
        <f t="shared" si="4"/>
        <v>0</v>
      </c>
    </row>
    <row r="826" ht="22.5" customHeight="1">
      <c r="A826" s="261"/>
      <c r="B826" s="262"/>
      <c r="C826" s="263"/>
      <c r="D826" s="264"/>
      <c r="E826" s="264">
        <f t="shared" si="3"/>
        <v>0</v>
      </c>
      <c r="F826" s="157"/>
      <c r="G826" s="263"/>
      <c r="H826" s="272">
        <f t="shared" si="4"/>
        <v>0</v>
      </c>
    </row>
    <row r="827" ht="22.5" customHeight="1">
      <c r="A827" s="261"/>
      <c r="B827" s="262"/>
      <c r="C827" s="263"/>
      <c r="D827" s="264"/>
      <c r="E827" s="264">
        <f t="shared" si="3"/>
        <v>0</v>
      </c>
      <c r="F827" s="157"/>
      <c r="G827" s="263"/>
      <c r="H827" s="272">
        <f t="shared" si="4"/>
        <v>0</v>
      </c>
    </row>
    <row r="828" ht="22.5" customHeight="1">
      <c r="A828" s="261"/>
      <c r="B828" s="262"/>
      <c r="C828" s="263"/>
      <c r="D828" s="264"/>
      <c r="E828" s="264">
        <f t="shared" si="3"/>
        <v>0</v>
      </c>
      <c r="F828" s="157"/>
      <c r="G828" s="263"/>
      <c r="H828" s="272">
        <f t="shared" si="4"/>
        <v>0</v>
      </c>
    </row>
    <row r="829" ht="22.5" customHeight="1">
      <c r="A829" s="261"/>
      <c r="B829" s="262"/>
      <c r="C829" s="263"/>
      <c r="D829" s="264"/>
      <c r="E829" s="264">
        <f t="shared" si="3"/>
        <v>0</v>
      </c>
      <c r="F829" s="157"/>
      <c r="G829" s="263"/>
      <c r="H829" s="272">
        <f t="shared" si="4"/>
        <v>0</v>
      </c>
    </row>
    <row r="830" ht="22.5" customHeight="1">
      <c r="A830" s="261"/>
      <c r="B830" s="262"/>
      <c r="C830" s="263"/>
      <c r="D830" s="264"/>
      <c r="E830" s="264">
        <f t="shared" si="3"/>
        <v>0</v>
      </c>
      <c r="F830" s="157"/>
      <c r="G830" s="263"/>
      <c r="H830" s="272">
        <f t="shared" si="4"/>
        <v>0</v>
      </c>
    </row>
    <row r="831" ht="22.5" customHeight="1">
      <c r="A831" s="261"/>
      <c r="B831" s="262"/>
      <c r="C831" s="263"/>
      <c r="D831" s="264"/>
      <c r="E831" s="264">
        <f t="shared" si="3"/>
        <v>0</v>
      </c>
      <c r="F831" s="157"/>
      <c r="G831" s="263"/>
      <c r="H831" s="272">
        <f t="shared" si="4"/>
        <v>0</v>
      </c>
    </row>
    <row r="832" ht="22.5" customHeight="1">
      <c r="A832" s="261"/>
      <c r="B832" s="262"/>
      <c r="C832" s="263"/>
      <c r="D832" s="264"/>
      <c r="E832" s="264">
        <f t="shared" si="3"/>
        <v>0</v>
      </c>
      <c r="F832" s="157"/>
      <c r="G832" s="263"/>
      <c r="H832" s="272">
        <f t="shared" si="4"/>
        <v>0</v>
      </c>
    </row>
    <row r="833" ht="22.5" customHeight="1">
      <c r="A833" s="261"/>
      <c r="B833" s="262"/>
      <c r="C833" s="263"/>
      <c r="D833" s="264"/>
      <c r="E833" s="264">
        <f t="shared" si="3"/>
        <v>0</v>
      </c>
      <c r="F833" s="157"/>
      <c r="G833" s="263"/>
      <c r="H833" s="272">
        <f t="shared" si="4"/>
        <v>0</v>
      </c>
    </row>
    <row r="834" ht="22.5" customHeight="1">
      <c r="A834" s="261"/>
      <c r="B834" s="262"/>
      <c r="C834" s="263"/>
      <c r="D834" s="264"/>
      <c r="E834" s="264">
        <f t="shared" si="3"/>
        <v>0</v>
      </c>
      <c r="F834" s="157"/>
      <c r="G834" s="263"/>
      <c r="H834" s="272">
        <f t="shared" si="4"/>
        <v>0</v>
      </c>
    </row>
    <row r="835" ht="22.5" customHeight="1">
      <c r="A835" s="261"/>
      <c r="B835" s="262"/>
      <c r="C835" s="263"/>
      <c r="D835" s="264"/>
      <c r="E835" s="264">
        <f t="shared" si="3"/>
        <v>0</v>
      </c>
      <c r="F835" s="157"/>
      <c r="G835" s="263"/>
      <c r="H835" s="272">
        <f t="shared" si="4"/>
        <v>0</v>
      </c>
    </row>
    <row r="836" ht="22.5" customHeight="1">
      <c r="A836" s="261"/>
      <c r="B836" s="262"/>
      <c r="C836" s="263"/>
      <c r="D836" s="264"/>
      <c r="E836" s="264">
        <f t="shared" si="3"/>
        <v>0</v>
      </c>
      <c r="F836" s="157"/>
      <c r="G836" s="263"/>
      <c r="H836" s="272">
        <f t="shared" si="4"/>
        <v>0</v>
      </c>
    </row>
    <row r="837" ht="22.5" customHeight="1">
      <c r="A837" s="261"/>
      <c r="B837" s="262"/>
      <c r="C837" s="263"/>
      <c r="D837" s="264"/>
      <c r="E837" s="264">
        <f t="shared" si="3"/>
        <v>0</v>
      </c>
      <c r="F837" s="157"/>
      <c r="G837" s="263"/>
      <c r="H837" s="272">
        <f t="shared" si="4"/>
        <v>0</v>
      </c>
    </row>
    <row r="838" ht="22.5" customHeight="1">
      <c r="A838" s="261"/>
      <c r="B838" s="262"/>
      <c r="C838" s="263"/>
      <c r="D838" s="264"/>
      <c r="E838" s="264">
        <f t="shared" si="3"/>
        <v>0</v>
      </c>
      <c r="F838" s="157"/>
      <c r="G838" s="263"/>
      <c r="H838" s="272">
        <f t="shared" si="4"/>
        <v>0</v>
      </c>
    </row>
    <row r="839" ht="22.5" customHeight="1">
      <c r="A839" s="261"/>
      <c r="B839" s="262"/>
      <c r="C839" s="263"/>
      <c r="D839" s="264"/>
      <c r="E839" s="264">
        <f t="shared" si="3"/>
        <v>0</v>
      </c>
      <c r="F839" s="157"/>
      <c r="G839" s="263"/>
      <c r="H839" s="272">
        <f t="shared" si="4"/>
        <v>0</v>
      </c>
    </row>
    <row r="840" ht="22.5" customHeight="1">
      <c r="A840" s="261"/>
      <c r="B840" s="262"/>
      <c r="C840" s="263"/>
      <c r="D840" s="264"/>
      <c r="E840" s="264">
        <f t="shared" si="3"/>
        <v>0</v>
      </c>
      <c r="F840" s="157"/>
      <c r="G840" s="263"/>
      <c r="H840" s="272">
        <f t="shared" si="4"/>
        <v>0</v>
      </c>
    </row>
    <row r="841" ht="22.5" customHeight="1">
      <c r="A841" s="261"/>
      <c r="B841" s="262"/>
      <c r="C841" s="263"/>
      <c r="D841" s="264"/>
      <c r="E841" s="264">
        <f t="shared" si="3"/>
        <v>0</v>
      </c>
      <c r="F841" s="157"/>
      <c r="G841" s="263"/>
      <c r="H841" s="272">
        <f t="shared" si="4"/>
        <v>0</v>
      </c>
    </row>
    <row r="842" ht="22.5" customHeight="1">
      <c r="A842" s="261"/>
      <c r="B842" s="262"/>
      <c r="C842" s="263"/>
      <c r="D842" s="264"/>
      <c r="E842" s="264">
        <f t="shared" si="3"/>
        <v>0</v>
      </c>
      <c r="F842" s="157"/>
      <c r="G842" s="263"/>
      <c r="H842" s="272">
        <f t="shared" si="4"/>
        <v>0</v>
      </c>
    </row>
    <row r="843" ht="22.5" customHeight="1">
      <c r="A843" s="261"/>
      <c r="B843" s="262"/>
      <c r="C843" s="263"/>
      <c r="D843" s="264"/>
      <c r="E843" s="264">
        <f t="shared" si="3"/>
        <v>0</v>
      </c>
      <c r="F843" s="157"/>
      <c r="G843" s="263"/>
      <c r="H843" s="272">
        <f t="shared" si="4"/>
        <v>0</v>
      </c>
    </row>
    <row r="844" ht="22.5" customHeight="1">
      <c r="A844" s="261"/>
      <c r="B844" s="262"/>
      <c r="C844" s="263"/>
      <c r="D844" s="264"/>
      <c r="E844" s="264">
        <f t="shared" si="3"/>
        <v>0</v>
      </c>
      <c r="F844" s="157"/>
      <c r="G844" s="263"/>
      <c r="H844" s="272">
        <f t="shared" si="4"/>
        <v>0</v>
      </c>
    </row>
    <row r="845" ht="22.5" customHeight="1">
      <c r="A845" s="261"/>
      <c r="B845" s="262"/>
      <c r="C845" s="263"/>
      <c r="D845" s="264"/>
      <c r="E845" s="264">
        <f t="shared" si="3"/>
        <v>0</v>
      </c>
      <c r="F845" s="157"/>
      <c r="G845" s="263"/>
      <c r="H845" s="272">
        <f t="shared" si="4"/>
        <v>0</v>
      </c>
    </row>
    <row r="846" ht="22.5" customHeight="1">
      <c r="A846" s="261"/>
      <c r="B846" s="262"/>
      <c r="C846" s="263"/>
      <c r="D846" s="264"/>
      <c r="E846" s="264">
        <f t="shared" si="3"/>
        <v>0</v>
      </c>
      <c r="F846" s="157"/>
      <c r="G846" s="263"/>
      <c r="H846" s="272">
        <f t="shared" si="4"/>
        <v>0</v>
      </c>
    </row>
    <row r="847" ht="22.5" customHeight="1">
      <c r="A847" s="261"/>
      <c r="B847" s="262"/>
      <c r="C847" s="263"/>
      <c r="D847" s="264"/>
      <c r="E847" s="264">
        <f t="shared" si="3"/>
        <v>0</v>
      </c>
      <c r="F847" s="157"/>
      <c r="G847" s="263"/>
      <c r="H847" s="272">
        <f t="shared" si="4"/>
        <v>0</v>
      </c>
    </row>
    <row r="848" ht="22.5" customHeight="1">
      <c r="A848" s="261"/>
      <c r="B848" s="262"/>
      <c r="C848" s="263"/>
      <c r="D848" s="264"/>
      <c r="E848" s="264">
        <f t="shared" si="3"/>
        <v>0</v>
      </c>
      <c r="F848" s="157"/>
      <c r="G848" s="263"/>
      <c r="H848" s="272">
        <f t="shared" si="4"/>
        <v>0</v>
      </c>
    </row>
    <row r="849" ht="22.5" customHeight="1">
      <c r="A849" s="261"/>
      <c r="B849" s="262"/>
      <c r="C849" s="263"/>
      <c r="D849" s="264"/>
      <c r="E849" s="264">
        <f t="shared" si="3"/>
        <v>0</v>
      </c>
      <c r="F849" s="157"/>
      <c r="G849" s="263"/>
      <c r="H849" s="272">
        <f t="shared" si="4"/>
        <v>0</v>
      </c>
    </row>
    <row r="850" ht="22.5" customHeight="1">
      <c r="A850" s="261"/>
      <c r="B850" s="262"/>
      <c r="C850" s="263"/>
      <c r="D850" s="264"/>
      <c r="E850" s="264">
        <f t="shared" si="3"/>
        <v>0</v>
      </c>
      <c r="F850" s="157"/>
      <c r="G850" s="263"/>
      <c r="H850" s="272">
        <f t="shared" si="4"/>
        <v>0</v>
      </c>
    </row>
    <row r="851" ht="22.5" customHeight="1">
      <c r="A851" s="261"/>
      <c r="B851" s="262"/>
      <c r="C851" s="263"/>
      <c r="D851" s="264"/>
      <c r="E851" s="264">
        <f t="shared" si="3"/>
        <v>0</v>
      </c>
      <c r="F851" s="157"/>
      <c r="G851" s="263"/>
      <c r="H851" s="272">
        <f t="shared" si="4"/>
        <v>0</v>
      </c>
    </row>
    <row r="852" ht="22.5" customHeight="1">
      <c r="A852" s="261"/>
      <c r="B852" s="262"/>
      <c r="C852" s="263"/>
      <c r="D852" s="264"/>
      <c r="E852" s="264">
        <f t="shared" si="3"/>
        <v>0</v>
      </c>
      <c r="F852" s="157"/>
      <c r="G852" s="263"/>
      <c r="H852" s="272">
        <f t="shared" si="4"/>
        <v>0</v>
      </c>
    </row>
    <row r="853" ht="22.5" customHeight="1">
      <c r="A853" s="261"/>
      <c r="B853" s="262"/>
      <c r="C853" s="263"/>
      <c r="D853" s="264"/>
      <c r="E853" s="264">
        <f t="shared" si="3"/>
        <v>0</v>
      </c>
      <c r="F853" s="157"/>
      <c r="G853" s="263"/>
      <c r="H853" s="272">
        <f t="shared" si="4"/>
        <v>0</v>
      </c>
    </row>
    <row r="854" ht="22.5" customHeight="1">
      <c r="A854" s="261"/>
      <c r="B854" s="262"/>
      <c r="C854" s="263"/>
      <c r="D854" s="264"/>
      <c r="E854" s="264">
        <f t="shared" si="3"/>
        <v>0</v>
      </c>
      <c r="F854" s="157"/>
      <c r="G854" s="263"/>
      <c r="H854" s="272">
        <f t="shared" si="4"/>
        <v>0</v>
      </c>
    </row>
    <row r="855" ht="22.5" customHeight="1">
      <c r="A855" s="261"/>
      <c r="B855" s="262"/>
      <c r="C855" s="263"/>
      <c r="D855" s="264"/>
      <c r="E855" s="264">
        <f t="shared" si="3"/>
        <v>0</v>
      </c>
      <c r="F855" s="157"/>
      <c r="G855" s="263"/>
      <c r="H855" s="272">
        <f t="shared" si="4"/>
        <v>0</v>
      </c>
    </row>
    <row r="856" ht="22.5" customHeight="1">
      <c r="A856" s="261"/>
      <c r="B856" s="262"/>
      <c r="C856" s="263"/>
      <c r="D856" s="264"/>
      <c r="E856" s="264">
        <f t="shared" si="3"/>
        <v>0</v>
      </c>
      <c r="F856" s="157"/>
      <c r="G856" s="263"/>
      <c r="H856" s="272">
        <f t="shared" si="4"/>
        <v>0</v>
      </c>
    </row>
    <row r="857" ht="22.5" customHeight="1">
      <c r="A857" s="261"/>
      <c r="B857" s="262"/>
      <c r="C857" s="263"/>
      <c r="D857" s="264"/>
      <c r="E857" s="264">
        <f t="shared" si="3"/>
        <v>0</v>
      </c>
      <c r="F857" s="157"/>
      <c r="G857" s="263"/>
      <c r="H857" s="272">
        <f t="shared" si="4"/>
        <v>0</v>
      </c>
    </row>
    <row r="858" ht="22.5" customHeight="1">
      <c r="A858" s="261"/>
      <c r="B858" s="262"/>
      <c r="C858" s="263"/>
      <c r="D858" s="264"/>
      <c r="E858" s="264">
        <f t="shared" si="3"/>
        <v>0</v>
      </c>
      <c r="F858" s="157"/>
      <c r="G858" s="263"/>
      <c r="H858" s="272">
        <f t="shared" si="4"/>
        <v>0</v>
      </c>
    </row>
    <row r="859" ht="22.5" customHeight="1">
      <c r="A859" s="261"/>
      <c r="B859" s="262"/>
      <c r="C859" s="263"/>
      <c r="D859" s="264"/>
      <c r="E859" s="264">
        <f t="shared" si="3"/>
        <v>0</v>
      </c>
      <c r="F859" s="157"/>
      <c r="G859" s="263"/>
      <c r="H859" s="272">
        <f t="shared" si="4"/>
        <v>0</v>
      </c>
    </row>
    <row r="860" ht="22.5" customHeight="1">
      <c r="A860" s="261"/>
      <c r="B860" s="262"/>
      <c r="C860" s="263"/>
      <c r="D860" s="264"/>
      <c r="E860" s="264">
        <f t="shared" si="3"/>
        <v>0</v>
      </c>
      <c r="F860" s="157"/>
      <c r="G860" s="263"/>
      <c r="H860" s="272">
        <f t="shared" si="4"/>
        <v>0</v>
      </c>
    </row>
    <row r="861" ht="22.5" customHeight="1">
      <c r="A861" s="261"/>
      <c r="B861" s="262"/>
      <c r="C861" s="263"/>
      <c r="D861" s="264"/>
      <c r="E861" s="264">
        <f t="shared" si="3"/>
        <v>0</v>
      </c>
      <c r="F861" s="157"/>
      <c r="G861" s="263"/>
      <c r="H861" s="272">
        <f t="shared" si="4"/>
        <v>0</v>
      </c>
    </row>
    <row r="862" ht="22.5" customHeight="1">
      <c r="A862" s="261"/>
      <c r="B862" s="262"/>
      <c r="C862" s="263"/>
      <c r="D862" s="264"/>
      <c r="E862" s="264">
        <f t="shared" si="3"/>
        <v>0</v>
      </c>
      <c r="F862" s="157"/>
      <c r="G862" s="263"/>
      <c r="H862" s="272">
        <f t="shared" si="4"/>
        <v>0</v>
      </c>
    </row>
    <row r="863" ht="22.5" customHeight="1">
      <c r="A863" s="261"/>
      <c r="B863" s="262"/>
      <c r="C863" s="263"/>
      <c r="D863" s="264"/>
      <c r="E863" s="264">
        <f t="shared" si="3"/>
        <v>0</v>
      </c>
      <c r="F863" s="157"/>
      <c r="G863" s="263"/>
      <c r="H863" s="272">
        <f t="shared" si="4"/>
        <v>0</v>
      </c>
    </row>
    <row r="864" ht="22.5" customHeight="1">
      <c r="A864" s="261"/>
      <c r="B864" s="262"/>
      <c r="C864" s="263"/>
      <c r="D864" s="264"/>
      <c r="E864" s="264">
        <f t="shared" si="3"/>
        <v>0</v>
      </c>
      <c r="F864" s="157"/>
      <c r="G864" s="263"/>
      <c r="H864" s="272">
        <f t="shared" si="4"/>
        <v>0</v>
      </c>
    </row>
    <row r="865" ht="22.5" customHeight="1">
      <c r="A865" s="261"/>
      <c r="B865" s="262"/>
      <c r="C865" s="263"/>
      <c r="D865" s="264"/>
      <c r="E865" s="264">
        <f t="shared" si="3"/>
        <v>0</v>
      </c>
      <c r="F865" s="157"/>
      <c r="G865" s="263"/>
      <c r="H865" s="272">
        <f t="shared" si="4"/>
        <v>0</v>
      </c>
    </row>
    <row r="866" ht="22.5" customHeight="1">
      <c r="A866" s="261"/>
      <c r="B866" s="262"/>
      <c r="C866" s="263"/>
      <c r="D866" s="264"/>
      <c r="E866" s="264">
        <f t="shared" si="3"/>
        <v>0</v>
      </c>
      <c r="F866" s="157"/>
      <c r="G866" s="263"/>
      <c r="H866" s="272">
        <f t="shared" si="4"/>
        <v>0</v>
      </c>
    </row>
    <row r="867" ht="22.5" customHeight="1">
      <c r="A867" s="261"/>
      <c r="B867" s="262"/>
      <c r="C867" s="263"/>
      <c r="D867" s="264"/>
      <c r="E867" s="264">
        <f t="shared" si="3"/>
        <v>0</v>
      </c>
      <c r="F867" s="157"/>
      <c r="G867" s="263"/>
      <c r="H867" s="272">
        <f t="shared" si="4"/>
        <v>0</v>
      </c>
    </row>
    <row r="868" ht="22.5" customHeight="1">
      <c r="A868" s="261"/>
      <c r="B868" s="262"/>
      <c r="C868" s="263"/>
      <c r="D868" s="264"/>
      <c r="E868" s="264">
        <f t="shared" si="3"/>
        <v>0</v>
      </c>
      <c r="F868" s="157"/>
      <c r="G868" s="263"/>
      <c r="H868" s="272">
        <f t="shared" si="4"/>
        <v>0</v>
      </c>
    </row>
    <row r="869" ht="22.5" customHeight="1">
      <c r="A869" s="261"/>
      <c r="B869" s="262"/>
      <c r="C869" s="263"/>
      <c r="D869" s="264"/>
      <c r="E869" s="264">
        <f t="shared" si="3"/>
        <v>0</v>
      </c>
      <c r="F869" s="157"/>
      <c r="G869" s="263"/>
      <c r="H869" s="272">
        <f t="shared" si="4"/>
        <v>0</v>
      </c>
    </row>
    <row r="870" ht="22.5" customHeight="1">
      <c r="A870" s="261"/>
      <c r="B870" s="262"/>
      <c r="C870" s="263"/>
      <c r="D870" s="264"/>
      <c r="E870" s="264">
        <f t="shared" si="3"/>
        <v>0</v>
      </c>
      <c r="F870" s="157"/>
      <c r="G870" s="263"/>
      <c r="H870" s="272">
        <f t="shared" si="4"/>
        <v>0</v>
      </c>
    </row>
    <row r="871" ht="22.5" customHeight="1">
      <c r="A871" s="261"/>
      <c r="B871" s="262"/>
      <c r="C871" s="263"/>
      <c r="D871" s="264"/>
      <c r="E871" s="264">
        <f t="shared" si="3"/>
        <v>0</v>
      </c>
      <c r="F871" s="157"/>
      <c r="G871" s="263"/>
      <c r="H871" s="272">
        <f t="shared" si="4"/>
        <v>0</v>
      </c>
    </row>
    <row r="872" ht="22.5" customHeight="1">
      <c r="A872" s="261"/>
      <c r="B872" s="262"/>
      <c r="C872" s="263"/>
      <c r="D872" s="264"/>
      <c r="E872" s="264">
        <f t="shared" si="3"/>
        <v>0</v>
      </c>
      <c r="F872" s="157"/>
      <c r="G872" s="263"/>
      <c r="H872" s="272">
        <f t="shared" si="4"/>
        <v>0</v>
      </c>
    </row>
    <row r="873" ht="22.5" customHeight="1">
      <c r="A873" s="261"/>
      <c r="B873" s="262"/>
      <c r="C873" s="263"/>
      <c r="D873" s="264"/>
      <c r="E873" s="264">
        <f t="shared" si="3"/>
        <v>0</v>
      </c>
      <c r="F873" s="157"/>
      <c r="G873" s="263"/>
      <c r="H873" s="272">
        <f t="shared" si="4"/>
        <v>0</v>
      </c>
    </row>
    <row r="874" ht="22.5" customHeight="1">
      <c r="A874" s="261"/>
      <c r="B874" s="262"/>
      <c r="C874" s="263"/>
      <c r="D874" s="264"/>
      <c r="E874" s="264">
        <f t="shared" si="3"/>
        <v>0</v>
      </c>
      <c r="F874" s="157"/>
      <c r="G874" s="263"/>
      <c r="H874" s="272">
        <f t="shared" si="4"/>
        <v>0</v>
      </c>
    </row>
    <row r="875" ht="22.5" customHeight="1">
      <c r="A875" s="261"/>
      <c r="B875" s="262"/>
      <c r="C875" s="263"/>
      <c r="D875" s="264"/>
      <c r="E875" s="264">
        <f t="shared" si="3"/>
        <v>0</v>
      </c>
      <c r="F875" s="157"/>
      <c r="G875" s="263"/>
      <c r="H875" s="272">
        <f t="shared" si="4"/>
        <v>0</v>
      </c>
    </row>
    <row r="876" ht="22.5" customHeight="1">
      <c r="A876" s="261"/>
      <c r="B876" s="262"/>
      <c r="C876" s="263"/>
      <c r="D876" s="264"/>
      <c r="E876" s="264">
        <f t="shared" si="3"/>
        <v>0</v>
      </c>
      <c r="F876" s="157"/>
      <c r="G876" s="263"/>
      <c r="H876" s="272">
        <f t="shared" si="4"/>
        <v>0</v>
      </c>
    </row>
    <row r="877" ht="22.5" customHeight="1">
      <c r="A877" s="261"/>
      <c r="B877" s="262"/>
      <c r="C877" s="263"/>
      <c r="D877" s="264"/>
      <c r="E877" s="264">
        <f t="shared" si="3"/>
        <v>0</v>
      </c>
      <c r="F877" s="157"/>
      <c r="G877" s="263"/>
      <c r="H877" s="272">
        <f t="shared" si="4"/>
        <v>0</v>
      </c>
    </row>
    <row r="878" ht="22.5" customHeight="1">
      <c r="A878" s="261"/>
      <c r="B878" s="262"/>
      <c r="C878" s="263"/>
      <c r="D878" s="264"/>
      <c r="E878" s="264">
        <f t="shared" si="3"/>
        <v>0</v>
      </c>
      <c r="F878" s="157"/>
      <c r="G878" s="263"/>
      <c r="H878" s="272">
        <f t="shared" si="4"/>
        <v>0</v>
      </c>
    </row>
    <row r="879" ht="22.5" customHeight="1">
      <c r="A879" s="261"/>
      <c r="B879" s="262"/>
      <c r="C879" s="263"/>
      <c r="D879" s="264"/>
      <c r="E879" s="264">
        <f t="shared" si="3"/>
        <v>0</v>
      </c>
      <c r="F879" s="157"/>
      <c r="G879" s="263"/>
      <c r="H879" s="272">
        <f t="shared" si="4"/>
        <v>0</v>
      </c>
    </row>
    <row r="880" ht="22.5" customHeight="1">
      <c r="A880" s="261"/>
      <c r="B880" s="262"/>
      <c r="C880" s="263"/>
      <c r="D880" s="264"/>
      <c r="E880" s="264">
        <f t="shared" si="3"/>
        <v>0</v>
      </c>
      <c r="F880" s="157"/>
      <c r="G880" s="263"/>
      <c r="H880" s="272">
        <f t="shared" si="4"/>
        <v>0</v>
      </c>
    </row>
    <row r="881" ht="22.5" customHeight="1">
      <c r="A881" s="261"/>
      <c r="B881" s="262"/>
      <c r="C881" s="263"/>
      <c r="D881" s="264"/>
      <c r="E881" s="264">
        <f t="shared" si="3"/>
        <v>0</v>
      </c>
      <c r="F881" s="157"/>
      <c r="G881" s="263"/>
      <c r="H881" s="272">
        <f t="shared" si="4"/>
        <v>0</v>
      </c>
    </row>
    <row r="882" ht="22.5" customHeight="1">
      <c r="A882" s="261"/>
      <c r="B882" s="262"/>
      <c r="C882" s="263"/>
      <c r="D882" s="264"/>
      <c r="E882" s="264">
        <f t="shared" si="3"/>
        <v>0</v>
      </c>
      <c r="F882" s="157"/>
      <c r="G882" s="263"/>
      <c r="H882" s="272">
        <f t="shared" si="4"/>
        <v>0</v>
      </c>
    </row>
    <row r="883" ht="22.5" customHeight="1">
      <c r="A883" s="261"/>
      <c r="B883" s="262"/>
      <c r="C883" s="263"/>
      <c r="D883" s="264"/>
      <c r="E883" s="264">
        <f t="shared" si="3"/>
        <v>0</v>
      </c>
      <c r="F883" s="157"/>
      <c r="G883" s="263"/>
      <c r="H883" s="272">
        <f t="shared" si="4"/>
        <v>0</v>
      </c>
    </row>
    <row r="884" ht="22.5" customHeight="1">
      <c r="A884" s="261"/>
      <c r="B884" s="262"/>
      <c r="C884" s="263"/>
      <c r="D884" s="264"/>
      <c r="E884" s="264">
        <f t="shared" si="3"/>
        <v>0</v>
      </c>
      <c r="F884" s="157"/>
      <c r="G884" s="263"/>
      <c r="H884" s="272">
        <f t="shared" si="4"/>
        <v>0</v>
      </c>
    </row>
    <row r="885" ht="22.5" customHeight="1">
      <c r="A885" s="261"/>
      <c r="B885" s="262"/>
      <c r="C885" s="263"/>
      <c r="D885" s="264"/>
      <c r="E885" s="264">
        <f t="shared" si="3"/>
        <v>0</v>
      </c>
      <c r="F885" s="157"/>
      <c r="G885" s="263"/>
      <c r="H885" s="272">
        <f t="shared" si="4"/>
        <v>0</v>
      </c>
    </row>
    <row r="886" ht="22.5" customHeight="1">
      <c r="A886" s="261"/>
      <c r="B886" s="262"/>
      <c r="C886" s="263"/>
      <c r="D886" s="264"/>
      <c r="E886" s="264">
        <f t="shared" si="3"/>
        <v>0</v>
      </c>
      <c r="F886" s="157"/>
      <c r="G886" s="263"/>
      <c r="H886" s="272">
        <f t="shared" si="4"/>
        <v>0</v>
      </c>
    </row>
    <row r="887" ht="22.5" customHeight="1">
      <c r="A887" s="261"/>
      <c r="B887" s="262"/>
      <c r="C887" s="263"/>
      <c r="D887" s="264"/>
      <c r="E887" s="264">
        <f t="shared" si="3"/>
        <v>0</v>
      </c>
      <c r="F887" s="157"/>
      <c r="G887" s="263"/>
      <c r="H887" s="272">
        <f t="shared" si="4"/>
        <v>0</v>
      </c>
    </row>
    <row r="888" ht="22.5" customHeight="1">
      <c r="A888" s="261"/>
      <c r="B888" s="262"/>
      <c r="C888" s="263"/>
      <c r="D888" s="264"/>
      <c r="E888" s="264">
        <f t="shared" si="3"/>
        <v>0</v>
      </c>
      <c r="F888" s="157"/>
      <c r="G888" s="263"/>
      <c r="H888" s="272">
        <f t="shared" si="4"/>
        <v>0</v>
      </c>
    </row>
    <row r="889" ht="22.5" customHeight="1">
      <c r="A889" s="261"/>
      <c r="B889" s="262"/>
      <c r="C889" s="263"/>
      <c r="D889" s="264"/>
      <c r="E889" s="264">
        <f t="shared" si="3"/>
        <v>0</v>
      </c>
      <c r="F889" s="157"/>
      <c r="G889" s="263"/>
      <c r="H889" s="272">
        <f t="shared" si="4"/>
        <v>0</v>
      </c>
    </row>
    <row r="890" ht="22.5" customHeight="1">
      <c r="A890" s="261"/>
      <c r="B890" s="262"/>
      <c r="C890" s="263"/>
      <c r="D890" s="264"/>
      <c r="E890" s="264">
        <f t="shared" si="3"/>
        <v>0</v>
      </c>
      <c r="F890" s="157"/>
      <c r="G890" s="263"/>
      <c r="H890" s="272">
        <f t="shared" si="4"/>
        <v>0</v>
      </c>
    </row>
    <row r="891" ht="22.5" customHeight="1">
      <c r="A891" s="261"/>
      <c r="B891" s="262"/>
      <c r="C891" s="263"/>
      <c r="D891" s="264"/>
      <c r="E891" s="264">
        <f t="shared" si="3"/>
        <v>0</v>
      </c>
      <c r="F891" s="157"/>
      <c r="G891" s="263"/>
      <c r="H891" s="272">
        <f t="shared" si="4"/>
        <v>0</v>
      </c>
    </row>
    <row r="892" ht="22.5" customHeight="1">
      <c r="A892" s="261"/>
      <c r="B892" s="262"/>
      <c r="C892" s="263"/>
      <c r="D892" s="264"/>
      <c r="E892" s="264">
        <f t="shared" si="3"/>
        <v>0</v>
      </c>
      <c r="F892" s="157"/>
      <c r="G892" s="263"/>
      <c r="H892" s="272">
        <f t="shared" si="4"/>
        <v>0</v>
      </c>
    </row>
    <row r="893" ht="22.5" customHeight="1">
      <c r="A893" s="261"/>
      <c r="B893" s="262"/>
      <c r="C893" s="263"/>
      <c r="D893" s="264"/>
      <c r="E893" s="264">
        <f t="shared" si="3"/>
        <v>0</v>
      </c>
      <c r="F893" s="157"/>
      <c r="G893" s="263"/>
      <c r="H893" s="272">
        <f t="shared" si="4"/>
        <v>0</v>
      </c>
    </row>
    <row r="894" ht="22.5" customHeight="1">
      <c r="A894" s="261"/>
      <c r="B894" s="262"/>
      <c r="C894" s="263"/>
      <c r="D894" s="264"/>
      <c r="E894" s="264">
        <f t="shared" si="3"/>
        <v>0</v>
      </c>
      <c r="F894" s="157"/>
      <c r="G894" s="263"/>
      <c r="H894" s="272">
        <f t="shared" si="4"/>
        <v>0</v>
      </c>
    </row>
    <row r="895" ht="22.5" customHeight="1">
      <c r="A895" s="261"/>
      <c r="B895" s="262"/>
      <c r="C895" s="263"/>
      <c r="D895" s="264"/>
      <c r="E895" s="264">
        <f t="shared" si="3"/>
        <v>0</v>
      </c>
      <c r="F895" s="157"/>
      <c r="G895" s="263"/>
      <c r="H895" s="272">
        <f t="shared" si="4"/>
        <v>0</v>
      </c>
    </row>
    <row r="896" ht="22.5" customHeight="1">
      <c r="A896" s="261"/>
      <c r="B896" s="262"/>
      <c r="C896" s="263"/>
      <c r="D896" s="264"/>
      <c r="E896" s="264">
        <f t="shared" si="3"/>
        <v>0</v>
      </c>
      <c r="F896" s="157"/>
      <c r="G896" s="263"/>
      <c r="H896" s="272">
        <f t="shared" si="4"/>
        <v>0</v>
      </c>
    </row>
    <row r="897" ht="22.5" customHeight="1">
      <c r="A897" s="261"/>
      <c r="B897" s="262"/>
      <c r="C897" s="263"/>
      <c r="D897" s="264"/>
      <c r="E897" s="264">
        <f t="shared" si="3"/>
        <v>0</v>
      </c>
      <c r="F897" s="157"/>
      <c r="G897" s="263"/>
      <c r="H897" s="272">
        <f t="shared" si="4"/>
        <v>0</v>
      </c>
    </row>
    <row r="898" ht="22.5" customHeight="1">
      <c r="A898" s="261"/>
      <c r="B898" s="262"/>
      <c r="C898" s="263"/>
      <c r="D898" s="264"/>
      <c r="E898" s="264">
        <f t="shared" si="3"/>
        <v>0</v>
      </c>
      <c r="F898" s="157"/>
      <c r="G898" s="263"/>
      <c r="H898" s="272">
        <f t="shared" si="4"/>
        <v>0</v>
      </c>
    </row>
    <row r="899" ht="22.5" customHeight="1">
      <c r="A899" s="261"/>
      <c r="B899" s="262"/>
      <c r="C899" s="263"/>
      <c r="D899" s="264"/>
      <c r="E899" s="264">
        <f t="shared" si="3"/>
        <v>0</v>
      </c>
      <c r="F899" s="157"/>
      <c r="G899" s="263"/>
      <c r="H899" s="272">
        <f t="shared" si="4"/>
        <v>0</v>
      </c>
    </row>
    <row r="900" ht="22.5" customHeight="1">
      <c r="A900" s="261"/>
      <c r="B900" s="262"/>
      <c r="C900" s="263"/>
      <c r="D900" s="264"/>
      <c r="E900" s="264">
        <f t="shared" si="3"/>
        <v>0</v>
      </c>
      <c r="F900" s="157"/>
      <c r="G900" s="263"/>
      <c r="H900" s="272">
        <f t="shared" si="4"/>
        <v>0</v>
      </c>
    </row>
    <row r="901" ht="22.5" customHeight="1">
      <c r="A901" s="261"/>
      <c r="B901" s="262"/>
      <c r="C901" s="263"/>
      <c r="D901" s="264"/>
      <c r="E901" s="264">
        <f t="shared" si="3"/>
        <v>0</v>
      </c>
      <c r="F901" s="157"/>
      <c r="G901" s="263"/>
      <c r="H901" s="272">
        <f t="shared" si="4"/>
        <v>0</v>
      </c>
    </row>
    <row r="902" ht="22.5" customHeight="1">
      <c r="A902" s="261"/>
      <c r="B902" s="262"/>
      <c r="C902" s="263"/>
      <c r="D902" s="264"/>
      <c r="E902" s="264">
        <f t="shared" si="3"/>
        <v>0</v>
      </c>
      <c r="F902" s="157"/>
      <c r="G902" s="263"/>
      <c r="H902" s="272">
        <f t="shared" si="4"/>
        <v>0</v>
      </c>
    </row>
    <row r="903" ht="22.5" customHeight="1">
      <c r="A903" s="261"/>
      <c r="B903" s="262"/>
      <c r="C903" s="263"/>
      <c r="D903" s="264"/>
      <c r="E903" s="264">
        <f t="shared" si="3"/>
        <v>0</v>
      </c>
      <c r="F903" s="157"/>
      <c r="G903" s="263"/>
      <c r="H903" s="272">
        <f t="shared" si="4"/>
        <v>0</v>
      </c>
    </row>
    <row r="904" ht="22.5" customHeight="1">
      <c r="A904" s="261"/>
      <c r="B904" s="262"/>
      <c r="C904" s="263"/>
      <c r="D904" s="264"/>
      <c r="E904" s="264">
        <f t="shared" si="3"/>
        <v>0</v>
      </c>
      <c r="F904" s="157"/>
      <c r="G904" s="263"/>
      <c r="H904" s="272">
        <f t="shared" si="4"/>
        <v>0</v>
      </c>
    </row>
    <row r="905" ht="22.5" customHeight="1">
      <c r="A905" s="261"/>
      <c r="B905" s="262"/>
      <c r="C905" s="263"/>
      <c r="D905" s="264"/>
      <c r="E905" s="264">
        <f t="shared" si="3"/>
        <v>0</v>
      </c>
      <c r="F905" s="157"/>
      <c r="G905" s="263"/>
      <c r="H905" s="272">
        <f t="shared" si="4"/>
        <v>0</v>
      </c>
    </row>
    <row r="906" ht="22.5" customHeight="1">
      <c r="A906" s="261"/>
      <c r="B906" s="262"/>
      <c r="C906" s="263"/>
      <c r="D906" s="264"/>
      <c r="E906" s="264">
        <f t="shared" si="3"/>
        <v>0</v>
      </c>
      <c r="F906" s="157"/>
      <c r="G906" s="263"/>
      <c r="H906" s="272">
        <f t="shared" si="4"/>
        <v>0</v>
      </c>
    </row>
    <row r="907" ht="22.5" customHeight="1">
      <c r="A907" s="261"/>
      <c r="B907" s="262"/>
      <c r="C907" s="263"/>
      <c r="D907" s="264"/>
      <c r="E907" s="264">
        <f t="shared" si="3"/>
        <v>0</v>
      </c>
      <c r="F907" s="157"/>
      <c r="G907" s="263"/>
      <c r="H907" s="272">
        <f t="shared" si="4"/>
        <v>0</v>
      </c>
    </row>
    <row r="908" ht="22.5" customHeight="1">
      <c r="A908" s="261"/>
      <c r="B908" s="262"/>
      <c r="C908" s="263"/>
      <c r="D908" s="264"/>
      <c r="E908" s="264">
        <f t="shared" si="3"/>
        <v>0</v>
      </c>
      <c r="F908" s="157"/>
      <c r="G908" s="263"/>
      <c r="H908" s="272">
        <f t="shared" si="4"/>
        <v>0</v>
      </c>
    </row>
    <row r="909" ht="22.5" customHeight="1">
      <c r="A909" s="261"/>
      <c r="B909" s="262"/>
      <c r="C909" s="263"/>
      <c r="D909" s="264"/>
      <c r="E909" s="264">
        <f t="shared" si="3"/>
        <v>0</v>
      </c>
      <c r="F909" s="157"/>
      <c r="G909" s="263"/>
      <c r="H909" s="272">
        <f t="shared" si="4"/>
        <v>0</v>
      </c>
    </row>
    <row r="910" ht="22.5" customHeight="1">
      <c r="A910" s="261"/>
      <c r="B910" s="262"/>
      <c r="C910" s="263"/>
      <c r="D910" s="264"/>
      <c r="E910" s="264">
        <f t="shared" si="3"/>
        <v>0</v>
      </c>
      <c r="F910" s="157"/>
      <c r="G910" s="263"/>
      <c r="H910" s="272">
        <f t="shared" si="4"/>
        <v>0</v>
      </c>
    </row>
    <row r="911" ht="22.5" customHeight="1">
      <c r="A911" s="261"/>
      <c r="B911" s="262"/>
      <c r="C911" s="263"/>
      <c r="D911" s="264"/>
      <c r="E911" s="264">
        <f t="shared" si="3"/>
        <v>0</v>
      </c>
      <c r="F911" s="157"/>
      <c r="G911" s="263"/>
      <c r="H911" s="272">
        <f t="shared" si="4"/>
        <v>0</v>
      </c>
    </row>
    <row r="912" ht="22.5" customHeight="1">
      <c r="A912" s="261"/>
      <c r="B912" s="262"/>
      <c r="C912" s="263"/>
      <c r="D912" s="264"/>
      <c r="E912" s="264">
        <f t="shared" si="3"/>
        <v>0</v>
      </c>
      <c r="F912" s="157"/>
      <c r="G912" s="263"/>
      <c r="H912" s="272">
        <f t="shared" si="4"/>
        <v>0</v>
      </c>
    </row>
    <row r="913" ht="22.5" customHeight="1">
      <c r="A913" s="261"/>
      <c r="B913" s="262"/>
      <c r="C913" s="263"/>
      <c r="D913" s="264"/>
      <c r="E913" s="264">
        <f t="shared" si="3"/>
        <v>0</v>
      </c>
      <c r="F913" s="157"/>
      <c r="G913" s="263"/>
      <c r="H913" s="272">
        <f t="shared" si="4"/>
        <v>0</v>
      </c>
    </row>
    <row r="914" ht="22.5" customHeight="1">
      <c r="A914" s="261"/>
      <c r="B914" s="262"/>
      <c r="C914" s="263"/>
      <c r="D914" s="264"/>
      <c r="E914" s="264">
        <f t="shared" si="3"/>
        <v>0</v>
      </c>
      <c r="F914" s="157"/>
      <c r="G914" s="263"/>
      <c r="H914" s="272">
        <f t="shared" si="4"/>
        <v>0</v>
      </c>
    </row>
    <row r="915" ht="22.5" customHeight="1">
      <c r="A915" s="261"/>
      <c r="B915" s="262"/>
      <c r="C915" s="263"/>
      <c r="D915" s="264"/>
      <c r="E915" s="264">
        <f t="shared" si="3"/>
        <v>0</v>
      </c>
      <c r="F915" s="157"/>
      <c r="G915" s="263"/>
      <c r="H915" s="272">
        <f t="shared" si="4"/>
        <v>0</v>
      </c>
    </row>
    <row r="916" ht="22.5" customHeight="1">
      <c r="A916" s="261"/>
      <c r="B916" s="262"/>
      <c r="C916" s="263"/>
      <c r="D916" s="264"/>
      <c r="E916" s="264">
        <f t="shared" si="3"/>
        <v>0</v>
      </c>
      <c r="F916" s="157"/>
      <c r="G916" s="263"/>
      <c r="H916" s="272">
        <f t="shared" si="4"/>
        <v>0</v>
      </c>
    </row>
    <row r="917" ht="22.5" customHeight="1">
      <c r="A917" s="261"/>
      <c r="B917" s="262"/>
      <c r="C917" s="263"/>
      <c r="D917" s="264"/>
      <c r="E917" s="264">
        <f t="shared" si="3"/>
        <v>0</v>
      </c>
      <c r="F917" s="157"/>
      <c r="G917" s="263"/>
      <c r="H917" s="272">
        <f t="shared" si="4"/>
        <v>0</v>
      </c>
    </row>
    <row r="918" ht="22.5" customHeight="1">
      <c r="A918" s="261"/>
      <c r="B918" s="262"/>
      <c r="C918" s="263"/>
      <c r="D918" s="264"/>
      <c r="E918" s="264">
        <f t="shared" si="3"/>
        <v>0</v>
      </c>
      <c r="F918" s="157"/>
      <c r="G918" s="263"/>
      <c r="H918" s="272">
        <f t="shared" si="4"/>
        <v>0</v>
      </c>
    </row>
    <row r="919" ht="22.5" customHeight="1">
      <c r="A919" s="261"/>
      <c r="B919" s="262"/>
      <c r="C919" s="263"/>
      <c r="D919" s="264"/>
      <c r="E919" s="264">
        <f t="shared" si="3"/>
        <v>0</v>
      </c>
      <c r="F919" s="157"/>
      <c r="G919" s="263"/>
      <c r="H919" s="272">
        <f t="shared" si="4"/>
        <v>0</v>
      </c>
    </row>
    <row r="920" ht="22.5" customHeight="1">
      <c r="A920" s="261"/>
      <c r="B920" s="262"/>
      <c r="C920" s="263"/>
      <c r="D920" s="264"/>
      <c r="E920" s="264">
        <f t="shared" si="3"/>
        <v>0</v>
      </c>
      <c r="F920" s="157"/>
      <c r="G920" s="263"/>
      <c r="H920" s="272">
        <f t="shared" si="4"/>
        <v>0</v>
      </c>
    </row>
    <row r="921" ht="22.5" customHeight="1">
      <c r="A921" s="261"/>
      <c r="B921" s="262"/>
      <c r="C921" s="263"/>
      <c r="D921" s="264"/>
      <c r="E921" s="264">
        <f t="shared" si="3"/>
        <v>0</v>
      </c>
      <c r="F921" s="157"/>
      <c r="G921" s="263"/>
      <c r="H921" s="272">
        <f t="shared" si="4"/>
        <v>0</v>
      </c>
    </row>
    <row r="922" ht="22.5" customHeight="1">
      <c r="A922" s="261"/>
      <c r="B922" s="262"/>
      <c r="C922" s="263"/>
      <c r="D922" s="264"/>
      <c r="E922" s="264">
        <f t="shared" si="3"/>
        <v>0</v>
      </c>
      <c r="F922" s="157"/>
      <c r="G922" s="263"/>
      <c r="H922" s="272">
        <f t="shared" si="4"/>
        <v>0</v>
      </c>
    </row>
    <row r="923" ht="22.5" customHeight="1">
      <c r="A923" s="261"/>
      <c r="B923" s="262"/>
      <c r="C923" s="263"/>
      <c r="D923" s="264"/>
      <c r="E923" s="264">
        <f t="shared" si="3"/>
        <v>0</v>
      </c>
      <c r="F923" s="157"/>
      <c r="G923" s="263"/>
      <c r="H923" s="272">
        <f t="shared" si="4"/>
        <v>0</v>
      </c>
    </row>
    <row r="924" ht="22.5" customHeight="1">
      <c r="A924" s="261"/>
      <c r="B924" s="262"/>
      <c r="C924" s="263"/>
      <c r="D924" s="264"/>
      <c r="E924" s="264">
        <f t="shared" si="3"/>
        <v>0</v>
      </c>
      <c r="F924" s="157"/>
      <c r="G924" s="263"/>
      <c r="H924" s="272">
        <f t="shared" si="4"/>
        <v>0</v>
      </c>
    </row>
    <row r="925" ht="22.5" customHeight="1">
      <c r="A925" s="261"/>
      <c r="B925" s="262"/>
      <c r="C925" s="263"/>
      <c r="D925" s="264"/>
      <c r="E925" s="264">
        <f t="shared" si="3"/>
        <v>0</v>
      </c>
      <c r="F925" s="157"/>
      <c r="G925" s="263"/>
      <c r="H925" s="272">
        <f t="shared" si="4"/>
        <v>0</v>
      </c>
    </row>
    <row r="926" ht="22.5" customHeight="1">
      <c r="A926" s="261"/>
      <c r="B926" s="262"/>
      <c r="C926" s="263"/>
      <c r="D926" s="264"/>
      <c r="E926" s="264">
        <f t="shared" si="3"/>
        <v>0</v>
      </c>
      <c r="F926" s="157"/>
      <c r="G926" s="263"/>
      <c r="H926" s="272">
        <f t="shared" si="4"/>
        <v>0</v>
      </c>
    </row>
    <row r="927" ht="22.5" customHeight="1">
      <c r="A927" s="261"/>
      <c r="B927" s="262"/>
      <c r="C927" s="263"/>
      <c r="D927" s="264"/>
      <c r="E927" s="264">
        <f t="shared" si="3"/>
        <v>0</v>
      </c>
      <c r="F927" s="157"/>
      <c r="G927" s="263"/>
      <c r="H927" s="272">
        <f t="shared" si="4"/>
        <v>0</v>
      </c>
    </row>
    <row r="928" ht="22.5" customHeight="1">
      <c r="A928" s="261"/>
      <c r="B928" s="262"/>
      <c r="C928" s="263"/>
      <c r="D928" s="264"/>
      <c r="E928" s="264">
        <f t="shared" si="3"/>
        <v>0</v>
      </c>
      <c r="F928" s="157"/>
      <c r="G928" s="263"/>
      <c r="H928" s="272">
        <f t="shared" si="4"/>
        <v>0</v>
      </c>
    </row>
    <row r="929" ht="22.5" customHeight="1">
      <c r="A929" s="261"/>
      <c r="B929" s="262"/>
      <c r="C929" s="263"/>
      <c r="D929" s="264"/>
      <c r="E929" s="264">
        <f t="shared" si="3"/>
        <v>0</v>
      </c>
      <c r="F929" s="157"/>
      <c r="G929" s="263"/>
      <c r="H929" s="272">
        <f t="shared" si="4"/>
        <v>0</v>
      </c>
    </row>
    <row r="930" ht="22.5" customHeight="1">
      <c r="A930" s="261"/>
      <c r="B930" s="262"/>
      <c r="C930" s="263"/>
      <c r="D930" s="264"/>
      <c r="E930" s="264">
        <f t="shared" si="3"/>
        <v>0</v>
      </c>
      <c r="F930" s="157"/>
      <c r="G930" s="263"/>
      <c r="H930" s="272">
        <f t="shared" si="4"/>
        <v>0</v>
      </c>
    </row>
    <row r="931" ht="22.5" customHeight="1">
      <c r="A931" s="261"/>
      <c r="B931" s="262"/>
      <c r="C931" s="263"/>
      <c r="D931" s="264"/>
      <c r="E931" s="264">
        <f t="shared" si="3"/>
        <v>0</v>
      </c>
      <c r="F931" s="157"/>
      <c r="G931" s="263"/>
      <c r="H931" s="272">
        <f t="shared" si="4"/>
        <v>0</v>
      </c>
    </row>
    <row r="932" ht="22.5" customHeight="1">
      <c r="A932" s="261"/>
      <c r="B932" s="262"/>
      <c r="C932" s="263"/>
      <c r="D932" s="264"/>
      <c r="E932" s="264">
        <f t="shared" si="3"/>
        <v>0</v>
      </c>
      <c r="F932" s="157"/>
      <c r="G932" s="263"/>
      <c r="H932" s="272">
        <f t="shared" si="4"/>
        <v>0</v>
      </c>
    </row>
    <row r="933" ht="22.5" customHeight="1">
      <c r="A933" s="261"/>
      <c r="B933" s="262"/>
      <c r="C933" s="263"/>
      <c r="D933" s="264"/>
      <c r="E933" s="264">
        <f t="shared" si="3"/>
        <v>0</v>
      </c>
      <c r="F933" s="157"/>
      <c r="G933" s="263"/>
      <c r="H933" s="272">
        <f t="shared" si="4"/>
        <v>0</v>
      </c>
    </row>
    <row r="934" ht="22.5" customHeight="1">
      <c r="A934" s="261"/>
      <c r="B934" s="262"/>
      <c r="C934" s="263"/>
      <c r="D934" s="264"/>
      <c r="E934" s="264">
        <f t="shared" si="3"/>
        <v>0</v>
      </c>
      <c r="F934" s="157"/>
      <c r="G934" s="263"/>
      <c r="H934" s="272">
        <f t="shared" si="4"/>
        <v>0</v>
      </c>
    </row>
    <row r="935" ht="22.5" customHeight="1">
      <c r="A935" s="261"/>
      <c r="B935" s="262"/>
      <c r="C935" s="263"/>
      <c r="D935" s="264"/>
      <c r="E935" s="264">
        <f t="shared" si="3"/>
        <v>0</v>
      </c>
      <c r="F935" s="157"/>
      <c r="G935" s="263"/>
      <c r="H935" s="272">
        <f t="shared" si="4"/>
        <v>0</v>
      </c>
    </row>
    <row r="936" ht="22.5" customHeight="1">
      <c r="A936" s="261"/>
      <c r="B936" s="262"/>
      <c r="C936" s="263"/>
      <c r="D936" s="264"/>
      <c r="E936" s="264">
        <f t="shared" si="3"/>
        <v>0</v>
      </c>
      <c r="F936" s="157"/>
      <c r="G936" s="263"/>
      <c r="H936" s="272">
        <f t="shared" si="4"/>
        <v>0</v>
      </c>
    </row>
    <row r="937" ht="22.5" customHeight="1">
      <c r="A937" s="261"/>
      <c r="B937" s="262"/>
      <c r="C937" s="263"/>
      <c r="D937" s="264"/>
      <c r="E937" s="264">
        <f t="shared" si="3"/>
        <v>0</v>
      </c>
      <c r="F937" s="157"/>
      <c r="G937" s="263"/>
      <c r="H937" s="272">
        <f t="shared" si="4"/>
        <v>0</v>
      </c>
    </row>
    <row r="938" ht="22.5" customHeight="1">
      <c r="A938" s="261"/>
      <c r="B938" s="262"/>
      <c r="C938" s="263"/>
      <c r="D938" s="264"/>
      <c r="E938" s="264">
        <f t="shared" si="3"/>
        <v>0</v>
      </c>
      <c r="F938" s="157"/>
      <c r="G938" s="263"/>
      <c r="H938" s="272">
        <f t="shared" si="4"/>
        <v>0</v>
      </c>
    </row>
    <row r="939" ht="22.5" customHeight="1">
      <c r="A939" s="261"/>
      <c r="B939" s="262"/>
      <c r="C939" s="263"/>
      <c r="D939" s="264"/>
      <c r="E939" s="264">
        <f t="shared" si="3"/>
        <v>0</v>
      </c>
      <c r="F939" s="157"/>
      <c r="G939" s="263"/>
      <c r="H939" s="272">
        <f t="shared" si="4"/>
        <v>0</v>
      </c>
    </row>
    <row r="940" ht="22.5" customHeight="1">
      <c r="A940" s="261"/>
      <c r="B940" s="262"/>
      <c r="C940" s="263"/>
      <c r="D940" s="264"/>
      <c r="E940" s="264">
        <f t="shared" si="3"/>
        <v>0</v>
      </c>
      <c r="F940" s="157"/>
      <c r="G940" s="263"/>
      <c r="H940" s="272">
        <f t="shared" si="4"/>
        <v>0</v>
      </c>
    </row>
    <row r="941" ht="22.5" customHeight="1">
      <c r="A941" s="261"/>
      <c r="B941" s="262"/>
      <c r="C941" s="263"/>
      <c r="D941" s="264"/>
      <c r="E941" s="264">
        <f t="shared" si="3"/>
        <v>0</v>
      </c>
      <c r="F941" s="157"/>
      <c r="G941" s="263"/>
      <c r="H941" s="272">
        <f t="shared" si="4"/>
        <v>0</v>
      </c>
    </row>
    <row r="942" ht="22.5" customHeight="1">
      <c r="A942" s="261"/>
      <c r="B942" s="262"/>
      <c r="C942" s="263"/>
      <c r="D942" s="264"/>
      <c r="E942" s="264">
        <f t="shared" si="3"/>
        <v>0</v>
      </c>
      <c r="F942" s="157"/>
      <c r="G942" s="263"/>
      <c r="H942" s="272">
        <f t="shared" si="4"/>
        <v>0</v>
      </c>
    </row>
    <row r="943" ht="22.5" customHeight="1">
      <c r="A943" s="261"/>
      <c r="B943" s="262"/>
      <c r="C943" s="263"/>
      <c r="D943" s="264"/>
      <c r="E943" s="264">
        <f t="shared" si="3"/>
        <v>0</v>
      </c>
      <c r="F943" s="157"/>
      <c r="G943" s="263"/>
      <c r="H943" s="272">
        <f t="shared" si="4"/>
        <v>0</v>
      </c>
    </row>
    <row r="944" ht="22.5" customHeight="1">
      <c r="A944" s="261"/>
      <c r="B944" s="262"/>
      <c r="C944" s="263"/>
      <c r="D944" s="264"/>
      <c r="E944" s="264">
        <f t="shared" si="3"/>
        <v>0</v>
      </c>
      <c r="F944" s="157"/>
      <c r="G944" s="263"/>
      <c r="H944" s="272">
        <f t="shared" si="4"/>
        <v>0</v>
      </c>
    </row>
    <row r="945" ht="22.5" customHeight="1">
      <c r="A945" s="261"/>
      <c r="B945" s="262"/>
      <c r="C945" s="263"/>
      <c r="D945" s="264"/>
      <c r="E945" s="264">
        <f t="shared" si="3"/>
        <v>0</v>
      </c>
      <c r="F945" s="157"/>
      <c r="G945" s="263"/>
      <c r="H945" s="272">
        <f t="shared" si="4"/>
        <v>0</v>
      </c>
    </row>
    <row r="946" ht="22.5" customHeight="1">
      <c r="A946" s="261"/>
      <c r="B946" s="262"/>
      <c r="C946" s="263"/>
      <c r="D946" s="264"/>
      <c r="E946" s="264">
        <f t="shared" si="3"/>
        <v>0</v>
      </c>
      <c r="F946" s="157"/>
      <c r="G946" s="263"/>
      <c r="H946" s="272">
        <f t="shared" si="4"/>
        <v>0</v>
      </c>
    </row>
    <row r="947" ht="22.5" customHeight="1">
      <c r="A947" s="261"/>
      <c r="B947" s="262"/>
      <c r="C947" s="263"/>
      <c r="D947" s="264"/>
      <c r="E947" s="264">
        <f t="shared" si="3"/>
        <v>0</v>
      </c>
      <c r="F947" s="157"/>
      <c r="G947" s="263"/>
      <c r="H947" s="272">
        <f t="shared" si="4"/>
        <v>0</v>
      </c>
    </row>
    <row r="948" ht="22.5" customHeight="1">
      <c r="A948" s="261"/>
      <c r="B948" s="262"/>
      <c r="C948" s="263"/>
      <c r="D948" s="264"/>
      <c r="E948" s="264">
        <f t="shared" si="3"/>
        <v>0</v>
      </c>
      <c r="F948" s="157"/>
      <c r="G948" s="263"/>
      <c r="H948" s="272">
        <f t="shared" si="4"/>
        <v>0</v>
      </c>
    </row>
    <row r="949" ht="22.5" customHeight="1">
      <c r="A949" s="261"/>
      <c r="B949" s="262"/>
      <c r="C949" s="263"/>
      <c r="D949" s="264"/>
      <c r="E949" s="264">
        <f t="shared" si="3"/>
        <v>0</v>
      </c>
      <c r="F949" s="157"/>
      <c r="G949" s="263"/>
      <c r="H949" s="272">
        <f t="shared" si="4"/>
        <v>0</v>
      </c>
    </row>
    <row r="950" ht="22.5" customHeight="1">
      <c r="A950" s="261"/>
      <c r="B950" s="262"/>
      <c r="C950" s="263"/>
      <c r="D950" s="264"/>
      <c r="E950" s="264">
        <f t="shared" si="3"/>
        <v>0</v>
      </c>
      <c r="F950" s="157"/>
      <c r="G950" s="263"/>
      <c r="H950" s="272">
        <f t="shared" si="4"/>
        <v>0</v>
      </c>
    </row>
    <row r="951" ht="22.5" customHeight="1">
      <c r="A951" s="261"/>
      <c r="B951" s="262"/>
      <c r="C951" s="263"/>
      <c r="D951" s="264"/>
      <c r="E951" s="264">
        <f t="shared" si="3"/>
        <v>0</v>
      </c>
      <c r="F951" s="157"/>
      <c r="G951" s="263"/>
      <c r="H951" s="272">
        <f t="shared" si="4"/>
        <v>0</v>
      </c>
    </row>
    <row r="952" ht="22.5" customHeight="1">
      <c r="A952" s="261"/>
      <c r="B952" s="262"/>
      <c r="C952" s="263"/>
      <c r="D952" s="264"/>
      <c r="E952" s="264">
        <f t="shared" si="3"/>
        <v>0</v>
      </c>
      <c r="F952" s="157"/>
      <c r="G952" s="263"/>
      <c r="H952" s="272">
        <f t="shared" si="4"/>
        <v>0</v>
      </c>
    </row>
    <row r="953" ht="22.5" customHeight="1">
      <c r="A953" s="261"/>
      <c r="B953" s="262"/>
      <c r="C953" s="263"/>
      <c r="D953" s="264"/>
      <c r="E953" s="264">
        <f t="shared" si="3"/>
        <v>0</v>
      </c>
      <c r="F953" s="157"/>
      <c r="G953" s="263"/>
      <c r="H953" s="272">
        <f t="shared" si="4"/>
        <v>0</v>
      </c>
    </row>
    <row r="954" ht="22.5" customHeight="1">
      <c r="A954" s="261"/>
      <c r="B954" s="262"/>
      <c r="C954" s="263"/>
      <c r="D954" s="264"/>
      <c r="E954" s="264">
        <f t="shared" si="3"/>
        <v>0</v>
      </c>
      <c r="F954" s="157"/>
      <c r="G954" s="263"/>
      <c r="H954" s="272">
        <f t="shared" si="4"/>
        <v>0</v>
      </c>
    </row>
    <row r="955" ht="22.5" customHeight="1">
      <c r="A955" s="261"/>
      <c r="B955" s="262"/>
      <c r="C955" s="263"/>
      <c r="D955" s="264"/>
      <c r="E955" s="264">
        <f t="shared" si="3"/>
        <v>0</v>
      </c>
      <c r="F955" s="157"/>
      <c r="G955" s="263"/>
      <c r="H955" s="272">
        <f t="shared" si="4"/>
        <v>0</v>
      </c>
    </row>
    <row r="956" ht="22.5" customHeight="1">
      <c r="A956" s="261"/>
      <c r="B956" s="262"/>
      <c r="C956" s="263"/>
      <c r="D956" s="264"/>
      <c r="E956" s="264">
        <f t="shared" si="3"/>
        <v>0</v>
      </c>
      <c r="F956" s="157"/>
      <c r="G956" s="263"/>
      <c r="H956" s="272">
        <f t="shared" si="4"/>
        <v>0</v>
      </c>
    </row>
    <row r="957" ht="22.5" customHeight="1">
      <c r="A957" s="261"/>
      <c r="B957" s="262"/>
      <c r="C957" s="263"/>
      <c r="D957" s="264"/>
      <c r="E957" s="264">
        <f t="shared" si="3"/>
        <v>0</v>
      </c>
      <c r="F957" s="157"/>
      <c r="G957" s="263"/>
      <c r="H957" s="272">
        <f t="shared" si="4"/>
        <v>0</v>
      </c>
    </row>
    <row r="958" ht="22.5" customHeight="1">
      <c r="A958" s="261"/>
      <c r="B958" s="262"/>
      <c r="C958" s="263"/>
      <c r="D958" s="264"/>
      <c r="E958" s="264">
        <f t="shared" si="3"/>
        <v>0</v>
      </c>
      <c r="F958" s="157"/>
      <c r="G958" s="263"/>
      <c r="H958" s="272">
        <f t="shared" si="4"/>
        <v>0</v>
      </c>
    </row>
    <row r="959" ht="22.5" customHeight="1">
      <c r="A959" s="261"/>
      <c r="B959" s="262"/>
      <c r="C959" s="263"/>
      <c r="D959" s="264"/>
      <c r="E959" s="264">
        <f t="shared" si="3"/>
        <v>0</v>
      </c>
      <c r="F959" s="157"/>
      <c r="G959" s="263"/>
      <c r="H959" s="272">
        <f t="shared" si="4"/>
        <v>0</v>
      </c>
    </row>
    <row r="960" ht="22.5" customHeight="1">
      <c r="A960" s="261"/>
      <c r="B960" s="262"/>
      <c r="C960" s="263"/>
      <c r="D960" s="264"/>
      <c r="E960" s="264">
        <f t="shared" si="3"/>
        <v>0</v>
      </c>
      <c r="F960" s="157"/>
      <c r="G960" s="263"/>
      <c r="H960" s="272">
        <f t="shared" si="4"/>
        <v>0</v>
      </c>
    </row>
    <row r="961" ht="22.5" customHeight="1">
      <c r="A961" s="261"/>
      <c r="B961" s="262"/>
      <c r="C961" s="263"/>
      <c r="D961" s="264"/>
      <c r="E961" s="264">
        <f t="shared" si="3"/>
        <v>0</v>
      </c>
      <c r="F961" s="157"/>
      <c r="G961" s="263"/>
      <c r="H961" s="272">
        <f t="shared" si="4"/>
        <v>0</v>
      </c>
    </row>
    <row r="962" ht="22.5" customHeight="1">
      <c r="A962" s="261"/>
      <c r="B962" s="262"/>
      <c r="C962" s="263"/>
      <c r="D962" s="264"/>
      <c r="E962" s="264">
        <f t="shared" si="3"/>
        <v>0</v>
      </c>
      <c r="F962" s="157"/>
      <c r="G962" s="263"/>
      <c r="H962" s="272">
        <f t="shared" si="4"/>
        <v>0</v>
      </c>
    </row>
    <row r="963" ht="22.5" customHeight="1">
      <c r="A963" s="261"/>
      <c r="B963" s="262"/>
      <c r="C963" s="263"/>
      <c r="D963" s="264"/>
      <c r="E963" s="264">
        <f t="shared" si="3"/>
        <v>0</v>
      </c>
      <c r="F963" s="157"/>
      <c r="G963" s="263"/>
      <c r="H963" s="272">
        <f t="shared" si="4"/>
        <v>0</v>
      </c>
    </row>
    <row r="964" ht="22.5" customHeight="1">
      <c r="A964" s="261"/>
      <c r="B964" s="262"/>
      <c r="C964" s="263"/>
      <c r="D964" s="264"/>
      <c r="E964" s="264">
        <f t="shared" si="3"/>
        <v>0</v>
      </c>
      <c r="F964" s="157"/>
      <c r="G964" s="263"/>
      <c r="H964" s="272">
        <f t="shared" si="4"/>
        <v>0</v>
      </c>
    </row>
    <row r="965" ht="22.5" customHeight="1">
      <c r="A965" s="261"/>
      <c r="B965" s="262"/>
      <c r="C965" s="263"/>
      <c r="D965" s="264"/>
      <c r="E965" s="264">
        <f t="shared" si="3"/>
        <v>0</v>
      </c>
      <c r="F965" s="157"/>
      <c r="G965" s="263"/>
      <c r="H965" s="272">
        <f t="shared" si="4"/>
        <v>0</v>
      </c>
    </row>
    <row r="966" ht="22.5" customHeight="1">
      <c r="A966" s="261"/>
      <c r="B966" s="262"/>
      <c r="C966" s="263"/>
      <c r="D966" s="264"/>
      <c r="E966" s="264">
        <f t="shared" si="3"/>
        <v>0</v>
      </c>
      <c r="F966" s="157"/>
      <c r="G966" s="263"/>
      <c r="H966" s="272">
        <f t="shared" si="4"/>
        <v>0</v>
      </c>
    </row>
    <row r="967" ht="22.5" customHeight="1">
      <c r="A967" s="261"/>
      <c r="B967" s="262"/>
      <c r="C967" s="263"/>
      <c r="D967" s="264"/>
      <c r="E967" s="264">
        <f t="shared" si="3"/>
        <v>0</v>
      </c>
      <c r="F967" s="157"/>
      <c r="G967" s="263"/>
      <c r="H967" s="272">
        <f t="shared" si="4"/>
        <v>0</v>
      </c>
    </row>
    <row r="968" ht="22.5" customHeight="1">
      <c r="A968" s="261"/>
      <c r="B968" s="262"/>
      <c r="C968" s="263"/>
      <c r="D968" s="264"/>
      <c r="E968" s="264">
        <f t="shared" si="3"/>
        <v>0</v>
      </c>
      <c r="F968" s="157"/>
      <c r="G968" s="263"/>
      <c r="H968" s="272">
        <f t="shared" si="4"/>
        <v>0</v>
      </c>
    </row>
    <row r="969" ht="22.5" customHeight="1">
      <c r="A969" s="261"/>
      <c r="B969" s="262"/>
      <c r="C969" s="263"/>
      <c r="D969" s="264"/>
      <c r="E969" s="264">
        <f t="shared" si="3"/>
        <v>0</v>
      </c>
      <c r="F969" s="157"/>
      <c r="G969" s="263"/>
      <c r="H969" s="272">
        <f t="shared" si="4"/>
        <v>0</v>
      </c>
    </row>
    <row r="970" ht="22.5" customHeight="1">
      <c r="A970" s="261"/>
      <c r="B970" s="262"/>
      <c r="C970" s="263"/>
      <c r="D970" s="264"/>
      <c r="E970" s="264">
        <f t="shared" si="3"/>
        <v>0</v>
      </c>
      <c r="F970" s="157"/>
      <c r="G970" s="263"/>
      <c r="H970" s="272">
        <f t="shared" si="4"/>
        <v>0</v>
      </c>
    </row>
    <row r="971" ht="22.5" customHeight="1">
      <c r="A971" s="261"/>
      <c r="B971" s="262"/>
      <c r="C971" s="263"/>
      <c r="D971" s="264"/>
      <c r="E971" s="264">
        <f t="shared" si="3"/>
        <v>0</v>
      </c>
      <c r="F971" s="157"/>
      <c r="G971" s="263"/>
      <c r="H971" s="272">
        <f t="shared" si="4"/>
        <v>0</v>
      </c>
    </row>
    <row r="972" ht="22.5" customHeight="1">
      <c r="A972" s="261"/>
      <c r="B972" s="262"/>
      <c r="C972" s="263"/>
      <c r="D972" s="264"/>
      <c r="E972" s="264">
        <f t="shared" si="3"/>
        <v>0</v>
      </c>
      <c r="F972" s="157"/>
      <c r="G972" s="263"/>
      <c r="H972" s="272">
        <f t="shared" si="4"/>
        <v>0</v>
      </c>
    </row>
    <row r="973" ht="22.5" customHeight="1">
      <c r="A973" s="261"/>
      <c r="B973" s="262"/>
      <c r="C973" s="263"/>
      <c r="D973" s="264"/>
      <c r="E973" s="264">
        <f t="shared" si="3"/>
        <v>0</v>
      </c>
      <c r="F973" s="157"/>
      <c r="G973" s="263"/>
      <c r="H973" s="272">
        <f t="shared" si="4"/>
        <v>0</v>
      </c>
    </row>
    <row r="974" ht="22.5" customHeight="1">
      <c r="A974" s="261"/>
      <c r="B974" s="262"/>
      <c r="C974" s="263"/>
      <c r="D974" s="264"/>
      <c r="E974" s="264">
        <f t="shared" si="3"/>
        <v>0</v>
      </c>
      <c r="F974" s="157"/>
      <c r="G974" s="263"/>
      <c r="H974" s="272">
        <f t="shared" si="4"/>
        <v>0</v>
      </c>
    </row>
    <row r="975" ht="22.5" customHeight="1">
      <c r="A975" s="261"/>
      <c r="B975" s="262"/>
      <c r="C975" s="263"/>
      <c r="D975" s="264"/>
      <c r="E975" s="264">
        <f t="shared" si="3"/>
        <v>0</v>
      </c>
      <c r="F975" s="157"/>
      <c r="G975" s="263"/>
      <c r="H975" s="272">
        <f t="shared" si="4"/>
        <v>0</v>
      </c>
    </row>
    <row r="976" ht="22.5" customHeight="1">
      <c r="A976" s="261"/>
      <c r="B976" s="262"/>
      <c r="C976" s="263"/>
      <c r="D976" s="264"/>
      <c r="E976" s="264">
        <f t="shared" si="3"/>
        <v>0</v>
      </c>
      <c r="F976" s="157"/>
      <c r="G976" s="263"/>
      <c r="H976" s="272">
        <f t="shared" si="4"/>
        <v>0</v>
      </c>
    </row>
    <row r="977" ht="22.5" customHeight="1">
      <c r="A977" s="261"/>
      <c r="B977" s="262"/>
      <c r="C977" s="263"/>
      <c r="D977" s="264"/>
      <c r="E977" s="264">
        <f t="shared" si="3"/>
        <v>0</v>
      </c>
      <c r="F977" s="157"/>
      <c r="G977" s="263"/>
      <c r="H977" s="272">
        <f t="shared" si="4"/>
        <v>0</v>
      </c>
    </row>
    <row r="978" ht="22.5" customHeight="1">
      <c r="A978" s="261"/>
      <c r="B978" s="262"/>
      <c r="C978" s="263"/>
      <c r="D978" s="264"/>
      <c r="E978" s="264">
        <f t="shared" si="3"/>
        <v>0</v>
      </c>
      <c r="F978" s="157"/>
      <c r="G978" s="263"/>
      <c r="H978" s="272">
        <f t="shared" si="4"/>
        <v>0</v>
      </c>
    </row>
    <row r="979" ht="22.5" customHeight="1">
      <c r="A979" s="261"/>
      <c r="B979" s="262"/>
      <c r="C979" s="263"/>
      <c r="D979" s="264"/>
      <c r="E979" s="264">
        <f t="shared" si="3"/>
        <v>0</v>
      </c>
      <c r="F979" s="157"/>
      <c r="G979" s="263"/>
      <c r="H979" s="272">
        <f t="shared" si="4"/>
        <v>0</v>
      </c>
    </row>
    <row r="980" ht="22.5" customHeight="1">
      <c r="A980" s="261"/>
      <c r="B980" s="262"/>
      <c r="C980" s="263"/>
      <c r="D980" s="264"/>
      <c r="E980" s="264">
        <f t="shared" si="3"/>
        <v>0</v>
      </c>
      <c r="F980" s="157"/>
      <c r="G980" s="263"/>
      <c r="H980" s="272">
        <f t="shared" si="4"/>
        <v>0</v>
      </c>
    </row>
    <row r="981" ht="22.5" customHeight="1">
      <c r="A981" s="261"/>
      <c r="B981" s="262"/>
      <c r="C981" s="263"/>
      <c r="D981" s="264"/>
      <c r="E981" s="264">
        <f t="shared" si="3"/>
        <v>0</v>
      </c>
      <c r="F981" s="157"/>
      <c r="G981" s="263"/>
      <c r="H981" s="272">
        <f t="shared" si="4"/>
        <v>0</v>
      </c>
    </row>
    <row r="982" ht="22.5" customHeight="1">
      <c r="A982" s="261"/>
      <c r="B982" s="262"/>
      <c r="C982" s="263"/>
      <c r="D982" s="264"/>
      <c r="E982" s="264">
        <f t="shared" si="3"/>
        <v>0</v>
      </c>
      <c r="F982" s="157"/>
      <c r="G982" s="263"/>
      <c r="H982" s="272">
        <f t="shared" si="4"/>
        <v>0</v>
      </c>
    </row>
    <row r="983" ht="22.5" customHeight="1">
      <c r="A983" s="261"/>
      <c r="B983" s="262"/>
      <c r="C983" s="263"/>
      <c r="D983" s="264"/>
      <c r="E983" s="264">
        <f t="shared" si="3"/>
        <v>0</v>
      </c>
      <c r="F983" s="157"/>
      <c r="G983" s="263"/>
      <c r="H983" s="272">
        <f t="shared" si="4"/>
        <v>0</v>
      </c>
    </row>
    <row r="984" ht="22.5" customHeight="1">
      <c r="A984" s="261"/>
      <c r="B984" s="262"/>
      <c r="C984" s="263"/>
      <c r="D984" s="264"/>
      <c r="E984" s="264">
        <f t="shared" si="3"/>
        <v>0</v>
      </c>
      <c r="F984" s="157"/>
      <c r="G984" s="263"/>
      <c r="H984" s="272">
        <f t="shared" si="4"/>
        <v>0</v>
      </c>
    </row>
    <row r="985" ht="22.5" customHeight="1">
      <c r="A985" s="261"/>
      <c r="B985" s="262"/>
      <c r="C985" s="263"/>
      <c r="D985" s="264"/>
      <c r="E985" s="264">
        <f t="shared" si="3"/>
        <v>0</v>
      </c>
      <c r="F985" s="157"/>
      <c r="G985" s="263"/>
      <c r="H985" s="272">
        <f t="shared" si="4"/>
        <v>0</v>
      </c>
    </row>
    <row r="986" ht="22.5" customHeight="1">
      <c r="A986" s="261"/>
      <c r="B986" s="262"/>
      <c r="C986" s="263"/>
      <c r="D986" s="264"/>
      <c r="E986" s="264">
        <f t="shared" si="3"/>
        <v>0</v>
      </c>
      <c r="F986" s="157"/>
      <c r="G986" s="263"/>
      <c r="H986" s="272">
        <f t="shared" si="4"/>
        <v>0</v>
      </c>
    </row>
    <row r="987" ht="22.5" customHeight="1">
      <c r="A987" s="261"/>
      <c r="B987" s="262"/>
      <c r="C987" s="263"/>
      <c r="D987" s="264"/>
      <c r="E987" s="264">
        <f t="shared" si="3"/>
        <v>0</v>
      </c>
      <c r="F987" s="157"/>
      <c r="G987" s="263"/>
      <c r="H987" s="272">
        <f t="shared" si="4"/>
        <v>0</v>
      </c>
    </row>
    <row r="988" ht="22.5" customHeight="1">
      <c r="A988" s="261"/>
      <c r="B988" s="262"/>
      <c r="C988" s="263"/>
      <c r="D988" s="264"/>
      <c r="E988" s="264">
        <f t="shared" si="3"/>
        <v>0</v>
      </c>
      <c r="F988" s="157"/>
      <c r="G988" s="263"/>
      <c r="H988" s="272">
        <f t="shared" si="4"/>
        <v>0</v>
      </c>
    </row>
    <row r="989" ht="22.5" customHeight="1">
      <c r="A989" s="261"/>
      <c r="B989" s="262"/>
      <c r="C989" s="263"/>
      <c r="D989" s="264"/>
      <c r="E989" s="264">
        <f t="shared" si="3"/>
        <v>0</v>
      </c>
      <c r="F989" s="157"/>
      <c r="G989" s="263"/>
      <c r="H989" s="272">
        <f t="shared" si="4"/>
        <v>0</v>
      </c>
    </row>
    <row r="990" ht="22.5" customHeight="1">
      <c r="A990" s="261"/>
      <c r="B990" s="262"/>
      <c r="C990" s="263"/>
      <c r="D990" s="264"/>
      <c r="E990" s="264">
        <f t="shared" si="3"/>
        <v>0</v>
      </c>
      <c r="F990" s="157"/>
      <c r="G990" s="263"/>
      <c r="H990" s="272">
        <f t="shared" si="4"/>
        <v>0</v>
      </c>
    </row>
    <row r="991" ht="22.5" customHeight="1">
      <c r="A991" s="261"/>
      <c r="B991" s="262"/>
      <c r="C991" s="263"/>
      <c r="D991" s="264"/>
      <c r="E991" s="264">
        <f t="shared" si="3"/>
        <v>0</v>
      </c>
      <c r="F991" s="157"/>
      <c r="G991" s="263"/>
      <c r="H991" s="272">
        <f t="shared" si="4"/>
        <v>0</v>
      </c>
    </row>
    <row r="992" ht="22.5" customHeight="1">
      <c r="A992" s="261"/>
      <c r="B992" s="262"/>
      <c r="C992" s="263"/>
      <c r="D992" s="264"/>
      <c r="E992" s="264">
        <f t="shared" si="3"/>
        <v>0</v>
      </c>
      <c r="F992" s="157"/>
      <c r="G992" s="263"/>
      <c r="H992" s="272">
        <f t="shared" si="4"/>
        <v>0</v>
      </c>
    </row>
    <row r="993" ht="22.5" customHeight="1">
      <c r="A993" s="261"/>
      <c r="B993" s="262"/>
      <c r="C993" s="263"/>
      <c r="D993" s="264"/>
      <c r="E993" s="264">
        <f t="shared" si="3"/>
        <v>0</v>
      </c>
      <c r="F993" s="157"/>
      <c r="G993" s="263"/>
      <c r="H993" s="272">
        <f t="shared" si="4"/>
        <v>0</v>
      </c>
    </row>
    <row r="994" ht="22.5" customHeight="1">
      <c r="A994" s="261"/>
      <c r="B994" s="262"/>
      <c r="C994" s="263"/>
      <c r="D994" s="264"/>
      <c r="E994" s="264">
        <f t="shared" si="3"/>
        <v>0</v>
      </c>
      <c r="F994" s="157"/>
      <c r="G994" s="263"/>
      <c r="H994" s="272">
        <f t="shared" si="4"/>
        <v>0</v>
      </c>
    </row>
    <row r="995" ht="22.5" customHeight="1">
      <c r="A995" s="261"/>
      <c r="B995" s="262"/>
      <c r="C995" s="263"/>
      <c r="D995" s="264"/>
      <c r="E995" s="264">
        <f t="shared" si="3"/>
        <v>0</v>
      </c>
      <c r="F995" s="157"/>
      <c r="G995" s="263"/>
      <c r="H995" s="272">
        <f t="shared" si="4"/>
        <v>0</v>
      </c>
    </row>
    <row r="996" ht="22.5" customHeight="1">
      <c r="A996" s="261"/>
      <c r="B996" s="262"/>
      <c r="C996" s="263"/>
      <c r="D996" s="264"/>
      <c r="E996" s="264">
        <f t="shared" si="3"/>
        <v>0</v>
      </c>
      <c r="F996" s="157"/>
      <c r="G996" s="263"/>
      <c r="H996" s="272">
        <f t="shared" si="4"/>
        <v>0</v>
      </c>
    </row>
    <row r="997" ht="22.5" customHeight="1">
      <c r="A997" s="261"/>
      <c r="B997" s="262"/>
      <c r="C997" s="263"/>
      <c r="D997" s="264"/>
      <c r="E997" s="264">
        <f t="shared" si="3"/>
        <v>0</v>
      </c>
      <c r="F997" s="157"/>
      <c r="G997" s="263"/>
      <c r="H997" s="272">
        <f t="shared" si="4"/>
        <v>0</v>
      </c>
    </row>
    <row r="998" ht="22.5" customHeight="1">
      <c r="A998" s="261"/>
      <c r="B998" s="262"/>
      <c r="C998" s="263"/>
      <c r="D998" s="264"/>
      <c r="E998" s="264">
        <f t="shared" si="3"/>
        <v>0</v>
      </c>
      <c r="F998" s="157"/>
      <c r="G998" s="263"/>
      <c r="H998" s="272">
        <f t="shared" si="4"/>
        <v>0</v>
      </c>
    </row>
    <row r="999" ht="22.5" customHeight="1">
      <c r="A999" s="261"/>
      <c r="B999" s="262"/>
      <c r="C999" s="263"/>
      <c r="D999" s="264"/>
      <c r="E999" s="264">
        <f t="shared" si="3"/>
        <v>0</v>
      </c>
      <c r="F999" s="157"/>
      <c r="G999" s="263"/>
      <c r="H999" s="272">
        <f t="shared" si="4"/>
        <v>0</v>
      </c>
    </row>
    <row r="1000" ht="22.5" customHeight="1">
      <c r="A1000" s="261"/>
      <c r="B1000" s="262"/>
      <c r="C1000" s="263"/>
      <c r="D1000" s="264"/>
      <c r="E1000" s="264">
        <f t="shared" si="3"/>
        <v>0</v>
      </c>
      <c r="F1000" s="157"/>
      <c r="G1000" s="263"/>
      <c r="H1000" s="272">
        <f t="shared" si="4"/>
        <v>0</v>
      </c>
    </row>
    <row r="1001" ht="22.5" customHeight="1">
      <c r="A1001" s="261"/>
      <c r="B1001" s="262"/>
      <c r="C1001" s="263"/>
      <c r="D1001" s="264"/>
      <c r="E1001" s="264">
        <f t="shared" si="3"/>
        <v>0</v>
      </c>
      <c r="F1001" s="157"/>
      <c r="G1001" s="263"/>
      <c r="H1001" s="272">
        <f t="shared" si="4"/>
        <v>0</v>
      </c>
    </row>
    <row r="1002" ht="22.5" customHeight="1">
      <c r="A1002" s="261"/>
      <c r="B1002" s="262"/>
      <c r="C1002" s="263"/>
      <c r="D1002" s="264"/>
      <c r="E1002" s="264">
        <f t="shared" si="3"/>
        <v>0</v>
      </c>
      <c r="F1002" s="157"/>
      <c r="G1002" s="263"/>
      <c r="H1002" s="272">
        <f t="shared" si="4"/>
        <v>0</v>
      </c>
    </row>
    <row r="1003" ht="22.5" customHeight="1">
      <c r="A1003" s="261"/>
      <c r="B1003" s="262"/>
      <c r="C1003" s="263"/>
      <c r="D1003" s="264"/>
      <c r="E1003" s="264">
        <f t="shared" si="3"/>
        <v>0</v>
      </c>
      <c r="F1003" s="157"/>
      <c r="G1003" s="263"/>
      <c r="H1003" s="272">
        <f t="shared" si="4"/>
        <v>0</v>
      </c>
    </row>
    <row r="1004" ht="22.5" customHeight="1">
      <c r="A1004" s="261"/>
      <c r="B1004" s="262"/>
      <c r="C1004" s="263"/>
      <c r="D1004" s="264"/>
      <c r="E1004" s="264">
        <f t="shared" si="3"/>
        <v>0</v>
      </c>
      <c r="F1004" s="157"/>
      <c r="G1004" s="263"/>
      <c r="H1004" s="272">
        <f t="shared" si="4"/>
        <v>0</v>
      </c>
    </row>
    <row r="1005" ht="22.5" customHeight="1">
      <c r="A1005" s="261"/>
      <c r="B1005" s="262"/>
      <c r="C1005" s="263"/>
      <c r="D1005" s="264"/>
      <c r="E1005" s="264">
        <f t="shared" si="3"/>
        <v>0</v>
      </c>
      <c r="F1005" s="157"/>
      <c r="G1005" s="263"/>
      <c r="H1005" s="272">
        <f t="shared" si="4"/>
        <v>0</v>
      </c>
    </row>
    <row r="1006" ht="22.5" customHeight="1">
      <c r="A1006" s="261"/>
      <c r="B1006" s="262"/>
      <c r="C1006" s="263"/>
      <c r="D1006" s="264"/>
      <c r="E1006" s="264">
        <f t="shared" si="3"/>
        <v>0</v>
      </c>
      <c r="F1006" s="157"/>
      <c r="G1006" s="263"/>
      <c r="H1006" s="272">
        <f t="shared" si="4"/>
        <v>0</v>
      </c>
    </row>
    <row r="1007" ht="22.5" customHeight="1">
      <c r="A1007" s="261"/>
      <c r="B1007" s="262"/>
      <c r="C1007" s="263"/>
      <c r="D1007" s="264"/>
      <c r="E1007" s="264">
        <f t="shared" si="3"/>
        <v>0</v>
      </c>
      <c r="F1007" s="157"/>
      <c r="G1007" s="263"/>
      <c r="H1007" s="272">
        <f t="shared" si="4"/>
        <v>0</v>
      </c>
    </row>
    <row r="1008" ht="22.5" customHeight="1">
      <c r="A1008" s="261"/>
      <c r="B1008" s="262"/>
      <c r="C1008" s="263"/>
      <c r="D1008" s="264"/>
      <c r="E1008" s="264">
        <f t="shared" si="3"/>
        <v>0</v>
      </c>
      <c r="F1008" s="157"/>
      <c r="G1008" s="263"/>
      <c r="H1008" s="272">
        <f t="shared" si="4"/>
        <v>0</v>
      </c>
    </row>
    <row r="1009" ht="22.5" customHeight="1">
      <c r="A1009" s="261"/>
      <c r="B1009" s="262"/>
      <c r="C1009" s="263"/>
      <c r="D1009" s="264"/>
      <c r="E1009" s="264">
        <f t="shared" si="3"/>
        <v>0</v>
      </c>
      <c r="F1009" s="157"/>
      <c r="G1009" s="263"/>
      <c r="H1009" s="272">
        <f t="shared" si="4"/>
        <v>0</v>
      </c>
    </row>
    <row r="1010" ht="22.5" customHeight="1">
      <c r="A1010" s="261"/>
      <c r="B1010" s="262"/>
      <c r="C1010" s="263"/>
      <c r="D1010" s="264"/>
      <c r="E1010" s="264">
        <f t="shared" si="3"/>
        <v>0</v>
      </c>
      <c r="F1010" s="157"/>
      <c r="G1010" s="263"/>
      <c r="H1010" s="272">
        <f t="shared" si="4"/>
        <v>0</v>
      </c>
    </row>
    <row r="1011" ht="22.5" customHeight="1">
      <c r="A1011" s="261"/>
      <c r="B1011" s="262"/>
      <c r="C1011" s="263"/>
      <c r="D1011" s="264"/>
      <c r="E1011" s="264">
        <f t="shared" si="3"/>
        <v>0</v>
      </c>
      <c r="F1011" s="157"/>
      <c r="G1011" s="263"/>
      <c r="H1011" s="272">
        <f t="shared" si="4"/>
        <v>0</v>
      </c>
    </row>
    <row r="1012" ht="22.5" customHeight="1">
      <c r="A1012" s="261"/>
      <c r="B1012" s="262"/>
      <c r="C1012" s="263"/>
      <c r="D1012" s="264"/>
      <c r="E1012" s="264">
        <f t="shared" si="3"/>
        <v>0</v>
      </c>
      <c r="F1012" s="157"/>
      <c r="G1012" s="263"/>
      <c r="H1012" s="272">
        <f t="shared" si="4"/>
        <v>0</v>
      </c>
    </row>
    <row r="1013" ht="22.5" customHeight="1">
      <c r="A1013" s="261"/>
      <c r="B1013" s="262"/>
      <c r="C1013" s="263"/>
      <c r="D1013" s="264"/>
      <c r="E1013" s="264">
        <f t="shared" si="3"/>
        <v>0</v>
      </c>
      <c r="F1013" s="157"/>
      <c r="G1013" s="263"/>
      <c r="H1013" s="272">
        <f t="shared" si="4"/>
        <v>0</v>
      </c>
    </row>
    <row r="1014" ht="22.5" customHeight="1">
      <c r="A1014" s="261"/>
      <c r="B1014" s="262"/>
      <c r="C1014" s="263"/>
      <c r="D1014" s="264"/>
      <c r="E1014" s="264">
        <f t="shared" si="3"/>
        <v>0</v>
      </c>
      <c r="F1014" s="157"/>
      <c r="G1014" s="263"/>
      <c r="H1014" s="272">
        <f t="shared" si="4"/>
        <v>0</v>
      </c>
    </row>
    <row r="1015" ht="22.5" customHeight="1">
      <c r="A1015" s="261"/>
      <c r="B1015" s="262"/>
      <c r="C1015" s="263"/>
      <c r="D1015" s="264"/>
      <c r="E1015" s="264">
        <f t="shared" si="3"/>
        <v>0</v>
      </c>
      <c r="F1015" s="157"/>
      <c r="G1015" s="263"/>
      <c r="H1015" s="272">
        <f t="shared" si="4"/>
        <v>0</v>
      </c>
    </row>
    <row r="1016" ht="22.5" customHeight="1">
      <c r="A1016" s="261"/>
      <c r="B1016" s="262"/>
      <c r="C1016" s="263"/>
      <c r="D1016" s="264"/>
      <c r="E1016" s="264">
        <f t="shared" si="3"/>
        <v>0</v>
      </c>
      <c r="F1016" s="157"/>
      <c r="G1016" s="263"/>
      <c r="H1016" s="272">
        <f t="shared" si="4"/>
        <v>0</v>
      </c>
    </row>
    <row r="1017" ht="22.5" customHeight="1">
      <c r="A1017" s="261"/>
      <c r="B1017" s="262"/>
      <c r="C1017" s="263"/>
      <c r="D1017" s="264"/>
      <c r="E1017" s="264">
        <f t="shared" si="3"/>
        <v>0</v>
      </c>
      <c r="F1017" s="157"/>
      <c r="G1017" s="263"/>
      <c r="H1017" s="272">
        <f t="shared" si="4"/>
        <v>0</v>
      </c>
    </row>
    <row r="1018" ht="22.5" customHeight="1">
      <c r="A1018" s="261"/>
      <c r="B1018" s="262"/>
      <c r="C1018" s="263"/>
      <c r="D1018" s="264"/>
      <c r="E1018" s="264">
        <f t="shared" si="3"/>
        <v>0</v>
      </c>
      <c r="F1018" s="157"/>
      <c r="G1018" s="263"/>
      <c r="H1018" s="272">
        <f t="shared" si="4"/>
        <v>0</v>
      </c>
    </row>
    <row r="1019" ht="22.5" customHeight="1">
      <c r="A1019" s="261"/>
      <c r="B1019" s="262"/>
      <c r="C1019" s="263"/>
      <c r="D1019" s="264"/>
      <c r="E1019" s="264">
        <f t="shared" si="3"/>
        <v>0</v>
      </c>
      <c r="F1019" s="157"/>
      <c r="G1019" s="263"/>
      <c r="H1019" s="272">
        <f t="shared" si="4"/>
        <v>0</v>
      </c>
    </row>
    <row r="1020" ht="22.5" customHeight="1">
      <c r="A1020" s="261"/>
      <c r="B1020" s="262"/>
      <c r="C1020" s="263"/>
      <c r="D1020" s="264"/>
      <c r="E1020" s="264">
        <f t="shared" si="3"/>
        <v>0</v>
      </c>
      <c r="F1020" s="157"/>
      <c r="G1020" s="263"/>
      <c r="H1020" s="272">
        <f t="shared" si="4"/>
        <v>0</v>
      </c>
    </row>
    <row r="1021" ht="22.5" customHeight="1">
      <c r="A1021" s="261"/>
      <c r="B1021" s="262"/>
      <c r="C1021" s="263"/>
      <c r="D1021" s="264"/>
      <c r="E1021" s="264">
        <f t="shared" si="3"/>
        <v>0</v>
      </c>
      <c r="F1021" s="157"/>
      <c r="G1021" s="263"/>
      <c r="H1021" s="272">
        <f t="shared" si="4"/>
        <v>0</v>
      </c>
    </row>
    <row r="1022" ht="22.5" customHeight="1">
      <c r="A1022" s="261"/>
      <c r="B1022" s="262"/>
      <c r="C1022" s="263"/>
      <c r="D1022" s="264"/>
      <c r="E1022" s="264">
        <f t="shared" si="3"/>
        <v>0</v>
      </c>
      <c r="F1022" s="157"/>
      <c r="G1022" s="263"/>
      <c r="H1022" s="272">
        <f t="shared" si="4"/>
        <v>0</v>
      </c>
    </row>
    <row r="1023" ht="22.5" customHeight="1">
      <c r="A1023" s="261"/>
      <c r="B1023" s="262"/>
      <c r="C1023" s="263"/>
      <c r="D1023" s="264"/>
      <c r="E1023" s="264">
        <f t="shared" si="3"/>
        <v>0</v>
      </c>
      <c r="F1023" s="157"/>
      <c r="G1023" s="263"/>
      <c r="H1023" s="272">
        <f t="shared" si="4"/>
        <v>0</v>
      </c>
    </row>
    <row r="1024" ht="22.5" customHeight="1">
      <c r="A1024" s="261"/>
      <c r="B1024" s="262"/>
      <c r="C1024" s="263"/>
      <c r="D1024" s="264"/>
      <c r="E1024" s="264">
        <f t="shared" si="3"/>
        <v>0</v>
      </c>
      <c r="F1024" s="157"/>
      <c r="G1024" s="263"/>
      <c r="H1024" s="272">
        <f t="shared" si="4"/>
        <v>0</v>
      </c>
    </row>
    <row r="1025" ht="22.5" customHeight="1">
      <c r="A1025" s="261"/>
      <c r="B1025" s="262"/>
      <c r="C1025" s="263"/>
      <c r="D1025" s="264"/>
      <c r="E1025" s="264">
        <f t="shared" si="3"/>
        <v>0</v>
      </c>
      <c r="F1025" s="157"/>
      <c r="G1025" s="263"/>
      <c r="H1025" s="272">
        <f t="shared" si="4"/>
        <v>0</v>
      </c>
    </row>
    <row r="1026" ht="22.5" customHeight="1">
      <c r="A1026" s="261"/>
      <c r="B1026" s="262"/>
      <c r="C1026" s="263"/>
      <c r="D1026" s="264"/>
      <c r="E1026" s="264">
        <f t="shared" si="3"/>
        <v>0</v>
      </c>
      <c r="F1026" s="157"/>
      <c r="G1026" s="263"/>
      <c r="H1026" s="272">
        <f t="shared" si="4"/>
        <v>0</v>
      </c>
    </row>
    <row r="1027" ht="22.5" customHeight="1">
      <c r="A1027" s="261"/>
      <c r="B1027" s="262"/>
      <c r="C1027" s="263"/>
      <c r="D1027" s="264"/>
      <c r="E1027" s="264">
        <f t="shared" si="3"/>
        <v>0</v>
      </c>
      <c r="F1027" s="157"/>
      <c r="G1027" s="263"/>
      <c r="H1027" s="272">
        <f t="shared" si="4"/>
        <v>0</v>
      </c>
    </row>
    <row r="1028" ht="22.5" customHeight="1">
      <c r="A1028" s="261"/>
      <c r="B1028" s="262"/>
      <c r="C1028" s="263"/>
      <c r="D1028" s="264"/>
      <c r="E1028" s="264">
        <f t="shared" si="3"/>
        <v>0</v>
      </c>
      <c r="F1028" s="157"/>
      <c r="G1028" s="263"/>
      <c r="H1028" s="272">
        <f t="shared" si="4"/>
        <v>0</v>
      </c>
    </row>
    <row r="1029" ht="22.5" customHeight="1">
      <c r="A1029" s="261"/>
      <c r="B1029" s="262"/>
      <c r="C1029" s="263"/>
      <c r="D1029" s="264"/>
      <c r="E1029" s="264">
        <f t="shared" si="3"/>
        <v>0</v>
      </c>
      <c r="F1029" s="157"/>
      <c r="G1029" s="263"/>
      <c r="H1029" s="272">
        <f t="shared" si="4"/>
        <v>0</v>
      </c>
    </row>
    <row r="1030" ht="22.5" customHeight="1">
      <c r="A1030" s="261"/>
      <c r="B1030" s="262"/>
      <c r="C1030" s="263"/>
      <c r="D1030" s="264"/>
      <c r="E1030" s="264">
        <f t="shared" si="3"/>
        <v>0</v>
      </c>
      <c r="F1030" s="157"/>
      <c r="G1030" s="263"/>
      <c r="H1030" s="272">
        <f t="shared" si="4"/>
        <v>0</v>
      </c>
    </row>
    <row r="1031" ht="22.5" customHeight="1">
      <c r="A1031" s="261"/>
      <c r="B1031" s="262"/>
      <c r="C1031" s="263"/>
      <c r="D1031" s="264"/>
      <c r="E1031" s="264">
        <f t="shared" si="3"/>
        <v>0</v>
      </c>
      <c r="F1031" s="157"/>
      <c r="G1031" s="263"/>
      <c r="H1031" s="272">
        <f t="shared" si="4"/>
        <v>0</v>
      </c>
    </row>
    <row r="1032" ht="22.5" customHeight="1">
      <c r="A1032" s="261"/>
      <c r="B1032" s="262"/>
      <c r="C1032" s="263"/>
      <c r="D1032" s="264"/>
      <c r="E1032" s="264">
        <f t="shared" si="3"/>
        <v>0</v>
      </c>
      <c r="F1032" s="157"/>
      <c r="G1032" s="263"/>
      <c r="H1032" s="272">
        <f t="shared" si="4"/>
        <v>0</v>
      </c>
    </row>
    <row r="1033" ht="22.5" customHeight="1">
      <c r="A1033" s="261"/>
      <c r="B1033" s="262"/>
      <c r="C1033" s="263"/>
      <c r="D1033" s="264"/>
      <c r="E1033" s="264">
        <f t="shared" si="3"/>
        <v>0</v>
      </c>
      <c r="F1033" s="157"/>
      <c r="G1033" s="263"/>
      <c r="H1033" s="272">
        <f t="shared" si="4"/>
        <v>0</v>
      </c>
    </row>
    <row r="1034" ht="22.5" customHeight="1">
      <c r="A1034" s="261"/>
      <c r="B1034" s="262"/>
      <c r="C1034" s="263"/>
      <c r="D1034" s="264"/>
      <c r="E1034" s="264">
        <f t="shared" si="3"/>
        <v>0</v>
      </c>
      <c r="F1034" s="157"/>
      <c r="G1034" s="263"/>
      <c r="H1034" s="272">
        <f t="shared" si="4"/>
        <v>0</v>
      </c>
    </row>
    <row r="1035" ht="22.5" customHeight="1">
      <c r="A1035" s="261"/>
      <c r="B1035" s="262"/>
      <c r="C1035" s="263"/>
      <c r="D1035" s="264"/>
      <c r="E1035" s="264">
        <f t="shared" si="3"/>
        <v>0</v>
      </c>
      <c r="F1035" s="157"/>
      <c r="G1035" s="263"/>
      <c r="H1035" s="272">
        <f t="shared" si="4"/>
        <v>0</v>
      </c>
    </row>
    <row r="1036" ht="22.5" customHeight="1">
      <c r="A1036" s="261"/>
      <c r="B1036" s="262"/>
      <c r="C1036" s="263"/>
      <c r="D1036" s="264"/>
      <c r="E1036" s="264">
        <f t="shared" si="3"/>
        <v>0</v>
      </c>
      <c r="F1036" s="157"/>
      <c r="G1036" s="263"/>
      <c r="H1036" s="272">
        <f t="shared" si="4"/>
        <v>0</v>
      </c>
    </row>
    <row r="1037" ht="22.5" customHeight="1">
      <c r="A1037" s="261"/>
      <c r="B1037" s="262"/>
      <c r="C1037" s="263"/>
      <c r="D1037" s="264"/>
      <c r="E1037" s="264">
        <f t="shared" si="3"/>
        <v>0</v>
      </c>
      <c r="F1037" s="157"/>
      <c r="G1037" s="263"/>
      <c r="H1037" s="272">
        <f t="shared" si="4"/>
        <v>0</v>
      </c>
    </row>
    <row r="1038" ht="22.5" customHeight="1">
      <c r="A1038" s="261"/>
      <c r="B1038" s="262"/>
      <c r="C1038" s="263"/>
      <c r="D1038" s="264"/>
      <c r="E1038" s="264">
        <f t="shared" si="3"/>
        <v>0</v>
      </c>
      <c r="F1038" s="157"/>
      <c r="G1038" s="263"/>
      <c r="H1038" s="272">
        <f t="shared" si="4"/>
        <v>0</v>
      </c>
    </row>
  </sheetData>
  <dataValidations>
    <dataValidation type="list" allowBlank="1" sqref="A2:A1038">
      <formula1>"Augustus,September,Oktober,November,December,Januari,Februari,Maart,April,Mei,Juni,Juli"</formula1>
    </dataValidation>
    <dataValidation type="custom" allowBlank="1" showDropDown="1" sqref="C2:E1038 G2:H1038">
      <formula1>AND(ISNUMBER(C2),(NOT(OR(NOT(ISERROR(DATEVALUE(C2))), AND(ISNUMBER(C2), LEFT(CELL("format", C2))="D")))))</formula1>
    </dataValidation>
    <dataValidation allowBlank="1" showDropDown="1" sqref="B2:B1038 F2:F1038"/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2.89"/>
    <col customWidth="1" min="6" max="6" width="24.11"/>
    <col hidden="1" min="8" max="8" width="11.22"/>
  </cols>
  <sheetData>
    <row r="1">
      <c r="A1" s="266" t="s">
        <v>248</v>
      </c>
      <c r="B1" s="267"/>
      <c r="C1" s="267"/>
      <c r="D1" s="267"/>
      <c r="E1" s="267"/>
      <c r="F1" s="267"/>
      <c r="G1" s="267"/>
    </row>
    <row r="2">
      <c r="A2" s="268" t="s">
        <v>249</v>
      </c>
      <c r="B2" s="269"/>
      <c r="C2" s="269"/>
      <c r="D2" s="269"/>
      <c r="E2" s="269"/>
      <c r="F2" s="269"/>
      <c r="G2" s="269"/>
    </row>
    <row r="4">
      <c r="A4" s="270" t="s">
        <v>250</v>
      </c>
      <c r="B4" s="271"/>
      <c r="C4" s="270" t="s">
        <v>251</v>
      </c>
      <c r="D4" s="271"/>
      <c r="E4" s="270" t="s">
        <v>250</v>
      </c>
      <c r="F4" s="271"/>
      <c r="G4" s="270" t="s">
        <v>251</v>
      </c>
    </row>
    <row r="5">
      <c r="A5" s="271"/>
      <c r="B5" s="271"/>
      <c r="C5" s="271"/>
      <c r="D5" s="271"/>
      <c r="E5" s="271"/>
      <c r="F5" s="271"/>
      <c r="G5" s="271"/>
    </row>
    <row r="6">
      <c r="A6" s="273" t="s">
        <v>252</v>
      </c>
      <c r="B6" s="274"/>
      <c r="C6" s="275">
        <v>2025.0</v>
      </c>
      <c r="D6" s="271"/>
      <c r="E6" s="276" t="s">
        <v>253</v>
      </c>
      <c r="F6" s="277"/>
      <c r="G6" s="275">
        <v>2025.0</v>
      </c>
    </row>
    <row r="7">
      <c r="A7" s="278" t="s">
        <v>254</v>
      </c>
      <c r="B7" s="271"/>
      <c r="C7" s="279" t="str">
        <f>'Doel vs Werkelijkheid'!D14</f>
        <v/>
      </c>
      <c r="D7" s="271"/>
      <c r="E7" s="278" t="s">
        <v>254</v>
      </c>
      <c r="F7" s="271"/>
      <c r="G7" s="279">
        <f>'Doel vs Werkelijkheid'!K14</f>
        <v>86454.55533</v>
      </c>
    </row>
    <row r="8">
      <c r="A8" s="271" t="s">
        <v>255</v>
      </c>
      <c r="B8" s="271"/>
      <c r="C8" s="280">
        <v>-2470.0</v>
      </c>
      <c r="D8" s="271"/>
      <c r="E8" s="271" t="s">
        <v>255</v>
      </c>
      <c r="F8" s="271"/>
      <c r="G8" s="280">
        <v>-2470.0</v>
      </c>
    </row>
    <row r="9">
      <c r="A9" s="271" t="s">
        <v>256</v>
      </c>
      <c r="B9" s="271"/>
      <c r="C9" s="281">
        <f>IF(C4="Ja",-2123,0)</f>
        <v>0</v>
      </c>
      <c r="D9" s="271"/>
      <c r="E9" s="271" t="s">
        <v>256</v>
      </c>
      <c r="F9" s="271"/>
      <c r="G9" s="281">
        <f>IF(G4="Ja",-2123,0)</f>
        <v>0</v>
      </c>
    </row>
    <row r="10">
      <c r="A10" s="271" t="s">
        <v>257</v>
      </c>
      <c r="B10" s="271"/>
      <c r="C10" s="282">
        <f>MIN(0,-(C7+SUM(C8:C9))*0.127)</f>
        <v>0</v>
      </c>
      <c r="D10" s="271"/>
      <c r="E10" s="271" t="s">
        <v>257</v>
      </c>
      <c r="F10" s="271"/>
      <c r="G10" s="282">
        <f>MIN(0,-(G7+SUM(G8:G9))*0.127)</f>
        <v>-10666.03853</v>
      </c>
    </row>
    <row r="11">
      <c r="A11" s="278" t="s">
        <v>258</v>
      </c>
      <c r="B11" s="271"/>
      <c r="C11" s="279">
        <f>MAX(C7+SUM(C8:C10),0)</f>
        <v>0</v>
      </c>
      <c r="D11" s="271"/>
      <c r="E11" s="278" t="s">
        <v>258</v>
      </c>
      <c r="F11" s="271"/>
      <c r="G11" s="279">
        <f>MAX(G7+SUM(G8:G10),0)</f>
        <v>73318.51681</v>
      </c>
    </row>
    <row r="12">
      <c r="A12" s="271"/>
      <c r="B12" s="271"/>
      <c r="C12" s="283"/>
      <c r="D12" s="271"/>
      <c r="E12" s="271"/>
      <c r="F12" s="271"/>
      <c r="G12" s="283"/>
    </row>
    <row r="13">
      <c r="A13" s="271" t="s">
        <v>259</v>
      </c>
      <c r="B13" s="271"/>
      <c r="C13" s="284">
        <f>MIN(76817,C11)*0.3664 + MAX(C11-76817,0)*0.495</f>
        <v>0</v>
      </c>
      <c r="D13" s="271"/>
      <c r="E13" s="271" t="s">
        <v>259</v>
      </c>
      <c r="F13" s="271"/>
      <c r="G13" s="284">
        <f>MIN(76817,G11)*0.3664 + MAX(G11-76817,0)*0.495</f>
        <v>26863.90456</v>
      </c>
    </row>
    <row r="14">
      <c r="A14" s="271" t="s">
        <v>260</v>
      </c>
      <c r="B14" s="271"/>
      <c r="C14" s="284">
        <f>-IF(AND(C11&lt;24813,C11&gt;0),3362,IF(AND(C11&gt;=24818,C11&lt;75518),(3362-0.0663*(C11-24812)),0))</f>
        <v>0</v>
      </c>
      <c r="D14" s="271"/>
      <c r="E14" s="271" t="s">
        <v>260</v>
      </c>
      <c r="F14" s="271"/>
      <c r="G14" s="284">
        <f>-IF(AND(G11&lt;24813,G11&gt;0),3362,IF(AND(G11&gt;=24818,G11&lt;75518),(3362-0.0663*(G11-24812)),0))</f>
        <v>-146.0179358</v>
      </c>
    </row>
    <row r="15">
      <c r="A15" s="271" t="s">
        <v>261</v>
      </c>
      <c r="B15" s="271"/>
      <c r="C15" s="282">
        <f>-IF(AND(C7&lt;11491,C7&gt;0),0.08425*C7,IF(AND(C7&gt;=11491,C7&lt;24821),(968+0.31433*(C7-11490)),IF(AND(C7&gt;=24821,C7&lt;39958),(5158+0.02471*(C7-24820)),IF(AND(C7&gt;=39958,C7&lt;124935),(5532-0.0651*(C7-39958)),0))))</f>
        <v>0</v>
      </c>
      <c r="D15" s="271"/>
      <c r="E15" s="271" t="s">
        <v>261</v>
      </c>
      <c r="F15" s="271"/>
      <c r="G15" s="282">
        <f>-IF(AND(G7&lt;11491,G7&gt;0),0.08425*G7,IF(AND(G7&gt;=11491,G7&lt;24821),(968+0.31433*(G7-11490)),IF(AND(G7&gt;=24821,G7&lt;39958),(5158+0.02471*(G7-24820)),IF(AND(G7&gt;=39958,G7&lt;124935),(5532-0.0651*(G7-39958)),0))))</f>
        <v>-2505.074248</v>
      </c>
    </row>
    <row r="16">
      <c r="A16" s="278" t="s">
        <v>262</v>
      </c>
      <c r="B16" s="271"/>
      <c r="C16" s="279">
        <f>MAX(0,C13+C14+C15)</f>
        <v>0</v>
      </c>
      <c r="D16" s="271"/>
      <c r="E16" s="278" t="s">
        <v>262</v>
      </c>
      <c r="F16" s="271"/>
      <c r="G16" s="279">
        <f>MAX(0,G13+G14+G15)</f>
        <v>24212.81237</v>
      </c>
    </row>
    <row r="17">
      <c r="A17" s="271" t="s">
        <v>263</v>
      </c>
      <c r="B17" s="271"/>
      <c r="C17" s="282">
        <f>MIN(C11,71628)*0.0532</f>
        <v>0</v>
      </c>
      <c r="D17" s="271"/>
      <c r="E17" s="271" t="s">
        <v>263</v>
      </c>
      <c r="F17" s="271"/>
      <c r="G17" s="282">
        <f>MIN(G11,71628)*0.0532</f>
        <v>3810.6096</v>
      </c>
    </row>
    <row r="18">
      <c r="A18" s="278" t="s">
        <v>264</v>
      </c>
      <c r="B18" s="271"/>
      <c r="C18" s="279">
        <f>C16+C17</f>
        <v>0</v>
      </c>
      <c r="D18" s="271"/>
      <c r="E18" s="278" t="s">
        <v>264</v>
      </c>
      <c r="F18" s="271"/>
      <c r="G18" s="279">
        <f>G16+G17</f>
        <v>28023.42197</v>
      </c>
    </row>
    <row r="19">
      <c r="A19" s="285" t="s">
        <v>265</v>
      </c>
      <c r="B19" s="271"/>
      <c r="C19" s="286" t="str">
        <f>IFERROR(C18/C7,"")</f>
        <v/>
      </c>
      <c r="D19" s="271"/>
      <c r="E19" s="285" t="s">
        <v>265</v>
      </c>
      <c r="F19" s="271"/>
      <c r="G19" s="286">
        <f>IFERROR(G18/G7,"")</f>
        <v>0.3241404905</v>
      </c>
      <c r="H19" s="33">
        <f>G19</f>
        <v>0.3241404905</v>
      </c>
    </row>
    <row r="21">
      <c r="A21" s="266" t="s">
        <v>266</v>
      </c>
      <c r="B21" s="267"/>
      <c r="C21" s="267"/>
      <c r="D21" s="267"/>
      <c r="E21" s="267"/>
      <c r="F21" s="267"/>
      <c r="G21" s="267"/>
    </row>
    <row r="22">
      <c r="A22" s="268" t="s">
        <v>249</v>
      </c>
      <c r="B22" s="269"/>
      <c r="C22" s="269"/>
      <c r="D22" s="269"/>
      <c r="E22" s="269"/>
      <c r="F22" s="269"/>
      <c r="G22" s="269"/>
    </row>
    <row r="24">
      <c r="A24" s="276" t="s">
        <v>252</v>
      </c>
      <c r="B24" s="287"/>
      <c r="C24" s="275">
        <v>2025.0</v>
      </c>
      <c r="D24" s="288"/>
      <c r="E24" s="289" t="s">
        <v>253</v>
      </c>
      <c r="F24" s="290"/>
      <c r="G24" s="275">
        <v>2025.0</v>
      </c>
    </row>
    <row r="25">
      <c r="A25" s="291" t="s">
        <v>254</v>
      </c>
      <c r="B25" s="288"/>
      <c r="C25" s="279" t="str">
        <f>'Doel vs Werkelijkheid'!D32</f>
        <v/>
      </c>
      <c r="D25" s="292"/>
      <c r="E25" s="293" t="s">
        <v>254</v>
      </c>
      <c r="F25" s="292"/>
      <c r="G25" s="279" t="str">
        <f>'Doel vs Werkelijkheid'!K32</f>
        <v/>
      </c>
    </row>
    <row r="26">
      <c r="A26" s="288" t="s">
        <v>267</v>
      </c>
      <c r="B26" s="288"/>
      <c r="C26" s="294">
        <f>IFS(C25&lt;16861.46, 898.28*4,AND(C25&gt;16861.46,C25&lt;72810.95),20.5%*C25,AND(C25&gt;72810.95,C25&lt;107300.3),14.16%*C25,C25&gt;107300.3,5148.1*4)</f>
        <v>3593.12</v>
      </c>
      <c r="D26" s="292"/>
      <c r="E26" s="292" t="s">
        <v>267</v>
      </c>
      <c r="F26" s="292"/>
      <c r="G26" s="294">
        <f>IFS(G25&lt;16861.46, 898.28*4,AND(G25&gt;16861.46,G25&lt;72810.95),20.5%*G25,AND(G25&gt;72810.95,G25&lt;107300.3),14.16%*G25,G25&gt;107300.3,5148.1*4)</f>
        <v>3593.12</v>
      </c>
    </row>
    <row r="27">
      <c r="A27" s="291" t="s">
        <v>258</v>
      </c>
      <c r="B27" s="288"/>
      <c r="C27" s="295">
        <f>MAX(C25-C26,0)</f>
        <v>0</v>
      </c>
      <c r="D27" s="292"/>
      <c r="E27" s="293" t="s">
        <v>258</v>
      </c>
      <c r="F27" s="292"/>
      <c r="G27" s="295">
        <f>MAX(G25-G26,0)</f>
        <v>0</v>
      </c>
    </row>
    <row r="28">
      <c r="A28" s="288"/>
      <c r="B28" s="288"/>
      <c r="C28" s="292"/>
      <c r="D28" s="292"/>
      <c r="E28" s="292"/>
      <c r="F28" s="292"/>
      <c r="G28" s="292"/>
    </row>
    <row r="29">
      <c r="A29" s="288" t="s">
        <v>268</v>
      </c>
      <c r="B29" s="288"/>
      <c r="C29" s="294">
        <f>MIN(C27,15200)*25%</f>
        <v>0</v>
      </c>
      <c r="D29" s="292"/>
      <c r="E29" s="292" t="s">
        <v>268</v>
      </c>
      <c r="F29" s="292"/>
      <c r="G29" s="294">
        <f>MIN(G27,15200)*25%</f>
        <v>0</v>
      </c>
    </row>
    <row r="30">
      <c r="A30" s="288" t="s">
        <v>269</v>
      </c>
      <c r="B30" s="288"/>
      <c r="C30" s="294">
        <f>max(0,(MIN(C27,26830)-15200)*40%)</f>
        <v>0</v>
      </c>
      <c r="D30" s="292"/>
      <c r="E30" s="292" t="s">
        <v>269</v>
      </c>
      <c r="F30" s="292"/>
      <c r="G30" s="294">
        <f>max(0,(MIN(G27,26830)-15200)*40%)</f>
        <v>0</v>
      </c>
    </row>
    <row r="31">
      <c r="A31" s="288" t="s">
        <v>270</v>
      </c>
      <c r="B31" s="288"/>
      <c r="C31" s="294">
        <f>MAX(0,(MIN(C27,46440)-26830)*45%)</f>
        <v>0</v>
      </c>
      <c r="D31" s="292"/>
      <c r="E31" s="292" t="s">
        <v>270</v>
      </c>
      <c r="F31" s="292"/>
      <c r="G31" s="294">
        <f>MAX(0,(MIN(G27,46440)-26830)*45%)</f>
        <v>0</v>
      </c>
    </row>
    <row r="32">
      <c r="A32" s="288" t="s">
        <v>271</v>
      </c>
      <c r="B32" s="288"/>
      <c r="C32" s="294">
        <f>Max(C27-46440,0)*50%</f>
        <v>0</v>
      </c>
      <c r="D32" s="292"/>
      <c r="E32" s="292" t="s">
        <v>271</v>
      </c>
      <c r="F32" s="292"/>
      <c r="G32" s="294">
        <f>Max(G27-46440,0)*50%</f>
        <v>0</v>
      </c>
    </row>
    <row r="33">
      <c r="A33" s="288" t="s">
        <v>267</v>
      </c>
      <c r="B33" s="288"/>
      <c r="C33" s="294">
        <f>C26</f>
        <v>3593.12</v>
      </c>
      <c r="D33" s="292"/>
      <c r="E33" s="292" t="s">
        <v>267</v>
      </c>
      <c r="F33" s="292"/>
      <c r="G33" s="294">
        <f>G26</f>
        <v>3593.12</v>
      </c>
    </row>
    <row r="34">
      <c r="A34" s="296" t="s">
        <v>272</v>
      </c>
      <c r="B34" s="296"/>
      <c r="C34" s="297">
        <f>IF(C27&lt;10160,0,-10160*25%)</f>
        <v>0</v>
      </c>
      <c r="D34" s="292"/>
      <c r="E34" s="298" t="s">
        <v>272</v>
      </c>
      <c r="F34" s="298"/>
      <c r="G34" s="297">
        <f>IF(G27&lt;10160,0,-10160*25%)</f>
        <v>0</v>
      </c>
    </row>
    <row r="35">
      <c r="A35" s="291" t="s">
        <v>264</v>
      </c>
      <c r="B35" s="288"/>
      <c r="C35" s="295">
        <f>SUM(C29:C34)</f>
        <v>3593.12</v>
      </c>
      <c r="D35" s="292"/>
      <c r="E35" s="293" t="s">
        <v>264</v>
      </c>
      <c r="F35" s="292"/>
      <c r="G35" s="295">
        <f>SUM(G29:G34)</f>
        <v>3593.12</v>
      </c>
    </row>
    <row r="36">
      <c r="A36" s="299" t="s">
        <v>265</v>
      </c>
      <c r="B36" s="299"/>
      <c r="C36" s="286" t="str">
        <f>IFERROR(C35/C25,"")</f>
        <v/>
      </c>
      <c r="D36" s="300"/>
      <c r="E36" s="300" t="s">
        <v>265</v>
      </c>
      <c r="F36" s="300"/>
      <c r="G36" s="286" t="str">
        <f>IFERROR(G35/G25,"")</f>
        <v/>
      </c>
    </row>
  </sheetData>
  <dataValidations>
    <dataValidation type="list" allowBlank="1" showErrorMessage="1" sqref="C4 G4">
      <formula1>"Ja,Nee"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5.33"/>
    <col customWidth="1" min="2" max="2" width="13.67"/>
    <col customWidth="1" min="3" max="3" width="14.22"/>
    <col customWidth="1" min="4" max="4" width="22.0"/>
    <col customWidth="1" hidden="1" min="5" max="9" width="15.11"/>
    <col customWidth="1" hidden="1" min="10" max="11" width="15.44"/>
    <col customWidth="1" min="12" max="12" width="15.44"/>
    <col customWidth="1" min="13" max="13" width="20.56"/>
    <col customWidth="1" min="14" max="14" width="16.78"/>
    <col customWidth="1" min="15" max="15" width="14.78"/>
    <col customWidth="1" min="16" max="16" width="18.56"/>
    <col customWidth="1" min="17" max="17" width="14.78"/>
    <col customWidth="1" min="18" max="18" width="13.78"/>
    <col customWidth="1" min="19" max="19" width="18.56"/>
    <col customWidth="1" min="20" max="21" width="13.78"/>
    <col customWidth="1" min="22" max="22" width="19.44"/>
    <col customWidth="1" min="23" max="24" width="13.78"/>
    <col customWidth="1" min="25" max="25" width="19.11"/>
    <col customWidth="1" min="26" max="27" width="13.78"/>
    <col customWidth="1" min="28" max="28" width="17.67"/>
    <col customWidth="1" min="29" max="29" width="13.78"/>
    <col customWidth="1" min="30" max="30" width="18.0"/>
    <col customWidth="1" hidden="1" min="31" max="31" width="16.33"/>
    <col customWidth="1" min="32" max="32" width="19.22"/>
    <col customWidth="1" hidden="1" min="33" max="33" width="16.89"/>
    <col customWidth="1" min="34" max="35" width="17.0"/>
  </cols>
  <sheetData>
    <row r="1" ht="22.5" customHeight="1">
      <c r="A1" s="1" t="s">
        <v>94</v>
      </c>
      <c r="B1" s="301" t="s">
        <v>95</v>
      </c>
      <c r="C1" s="301" t="s">
        <v>273</v>
      </c>
      <c r="D1" s="1" t="s">
        <v>98</v>
      </c>
      <c r="E1" s="302" t="s">
        <v>274</v>
      </c>
      <c r="F1" s="302" t="s">
        <v>99</v>
      </c>
      <c r="G1" s="303" t="s">
        <v>100</v>
      </c>
      <c r="H1" s="303" t="s">
        <v>275</v>
      </c>
      <c r="I1" s="304" t="s">
        <v>102</v>
      </c>
      <c r="J1" s="304" t="s">
        <v>103</v>
      </c>
      <c r="K1" s="304" t="s">
        <v>104</v>
      </c>
      <c r="L1" s="305" t="s">
        <v>276</v>
      </c>
      <c r="M1" s="305" t="s">
        <v>277</v>
      </c>
      <c r="N1" s="306" t="s">
        <v>278</v>
      </c>
      <c r="O1" s="307" t="s">
        <v>279</v>
      </c>
      <c r="P1" s="307" t="s">
        <v>280</v>
      </c>
      <c r="Q1" s="308" t="s">
        <v>281</v>
      </c>
      <c r="R1" s="309" t="s">
        <v>282</v>
      </c>
      <c r="S1" s="309" t="s">
        <v>283</v>
      </c>
      <c r="T1" s="310" t="s">
        <v>284</v>
      </c>
      <c r="U1" s="311" t="s">
        <v>285</v>
      </c>
      <c r="V1" s="311" t="s">
        <v>286</v>
      </c>
      <c r="W1" s="311" t="s">
        <v>287</v>
      </c>
      <c r="X1" s="312" t="s">
        <v>288</v>
      </c>
      <c r="Y1" s="312" t="s">
        <v>289</v>
      </c>
      <c r="Z1" s="312" t="s">
        <v>290</v>
      </c>
      <c r="AA1" s="313" t="s">
        <v>291</v>
      </c>
      <c r="AB1" s="313" t="s">
        <v>292</v>
      </c>
      <c r="AC1" s="313" t="s">
        <v>293</v>
      </c>
      <c r="AD1" s="314" t="s">
        <v>294</v>
      </c>
      <c r="AE1" s="314" t="s">
        <v>295</v>
      </c>
      <c r="AF1" s="1" t="s">
        <v>296</v>
      </c>
      <c r="AG1" s="1" t="s">
        <v>297</v>
      </c>
    </row>
    <row r="2" ht="22.5" customHeight="1">
      <c r="A2" s="17" t="str">
        <f>Rooster!A3</f>
        <v/>
      </c>
      <c r="B2" s="315" t="str">
        <f>Rooster!B3</f>
        <v/>
      </c>
      <c r="C2" s="316" t="str">
        <f>Rooster!C3</f>
        <v/>
      </c>
      <c r="D2" s="317" t="str">
        <f>Rooster!D3</f>
        <v/>
      </c>
      <c r="E2" s="318"/>
      <c r="F2" s="70"/>
      <c r="G2" s="319"/>
      <c r="H2" s="320"/>
      <c r="I2" s="70"/>
      <c r="J2" s="321"/>
      <c r="K2" s="42"/>
      <c r="L2" s="322"/>
      <c r="M2" s="70"/>
      <c r="N2" s="321" t="str">
        <f>IFERROR(VLOOKUP(M2, Tarieven[#ALL], 10, FALSE), "0")</f>
        <v>0</v>
      </c>
      <c r="O2" s="323"/>
      <c r="P2" s="324"/>
      <c r="Q2" s="325" t="str">
        <f>IFERROR(VLOOKUP(P2, Tarieven[#ALL], 10, FALSE), "0")</f>
        <v>0</v>
      </c>
      <c r="R2" s="318"/>
      <c r="S2" s="70"/>
      <c r="T2" s="325" t="str">
        <f>IFERROR(VLOOKUP(S2, Tarieven[#ALL], 10, FALSE), "0")</f>
        <v>0</v>
      </c>
      <c r="U2" s="326"/>
      <c r="V2" s="327"/>
      <c r="W2" s="328" t="str">
        <f>IFERROR(VLOOKUP(V2, Tarieven!$A$1:$J$150, 10, FALSE), "0")</f>
        <v>0</v>
      </c>
      <c r="X2" s="326"/>
      <c r="Y2" s="70"/>
      <c r="Z2" s="328" t="str">
        <f>IFERROR(VLOOKUP(Y2, Tarieven[#ALL], 10, FALSE), "0")</f>
        <v>0</v>
      </c>
      <c r="AA2" s="326"/>
      <c r="AB2" s="70"/>
      <c r="AC2" s="328" t="str">
        <f>IFERROR(VLOOKUP(AB2, Tarieven[#ALL], 10, FALSE), "0")</f>
        <v>0</v>
      </c>
      <c r="AD2" s="329">
        <f t="shared" ref="AD2:AD101" si="1">SUM(L2+O2+R2+U2+X2+AA2)</f>
        <v>0</v>
      </c>
      <c r="AE2" s="32">
        <f t="shared" ref="AE2:AE4" si="2">SUM(H2+K2)*E2</f>
        <v>0</v>
      </c>
      <c r="AF2" s="32">
        <f t="shared" ref="AF2:AF101" si="3">SUM((L2*N2)+(O2*Q2)+(R2*T2)+(U2*W2)+(X2*Z2)+(AA2*AC2))</f>
        <v>0</v>
      </c>
      <c r="AG2" s="32">
        <f t="shared" ref="AG2:AG4" si="4">SUM(AF2-AE2)</f>
        <v>0</v>
      </c>
      <c r="AH2" s="330"/>
    </row>
    <row r="3" ht="22.5" customHeight="1">
      <c r="A3" s="331" t="str">
        <f>Rooster!A4</f>
        <v/>
      </c>
      <c r="B3" s="315" t="str">
        <f>Rooster!B4</f>
        <v/>
      </c>
      <c r="C3" s="316" t="str">
        <f>Rooster!C4</f>
        <v/>
      </c>
      <c r="D3" s="317" t="str">
        <f>Rooster!D4</f>
        <v/>
      </c>
      <c r="E3" s="318"/>
      <c r="F3" s="327"/>
      <c r="G3" s="319"/>
      <c r="H3" s="320"/>
      <c r="I3" s="327"/>
      <c r="J3" s="321"/>
      <c r="K3" s="42"/>
      <c r="L3" s="322"/>
      <c r="M3" s="70"/>
      <c r="N3" s="321" t="str">
        <f>IFERROR(VLOOKUP(M3, Tarieven[#ALL], 10, FALSE), "0")</f>
        <v>0</v>
      </c>
      <c r="O3" s="322"/>
      <c r="P3" s="332"/>
      <c r="Q3" s="325" t="str">
        <f>IFERROR(VLOOKUP(P3, Tarieven[#ALL], 10, FALSE), "0")</f>
        <v>0</v>
      </c>
      <c r="R3" s="318"/>
      <c r="S3" s="85"/>
      <c r="T3" s="325" t="str">
        <f>IFERROR(VLOOKUP(S3, Tarieven[#ALL], 10, FALSE), "0")</f>
        <v>0</v>
      </c>
      <c r="U3" s="326"/>
      <c r="V3" s="85"/>
      <c r="W3" s="328" t="str">
        <f>IFERROR(VLOOKUP(V3, Tarieven!$A$1:$J$150, 10, FALSE), "0")</f>
        <v>0</v>
      </c>
      <c r="X3" s="326"/>
      <c r="Y3" s="85"/>
      <c r="Z3" s="328" t="str">
        <f>IFERROR(VLOOKUP(Y3, Tarieven[#ALL], 10, FALSE), "0")</f>
        <v>0</v>
      </c>
      <c r="AA3" s="326"/>
      <c r="AB3" s="85"/>
      <c r="AC3" s="328" t="str">
        <f>IFERROR(VLOOKUP(AB3, Tarieven[#ALL], 10, FALSE), "0")</f>
        <v>0</v>
      </c>
      <c r="AD3" s="329">
        <f t="shared" si="1"/>
        <v>0</v>
      </c>
      <c r="AE3" s="32">
        <f t="shared" si="2"/>
        <v>0</v>
      </c>
      <c r="AF3" s="32">
        <f t="shared" si="3"/>
        <v>0</v>
      </c>
      <c r="AG3" s="32">
        <f t="shared" si="4"/>
        <v>0</v>
      </c>
      <c r="AH3" s="330"/>
      <c r="AI3" s="333">
        <f>SUM(Tabel2[Inkomsten voor komend seizoen])</f>
        <v>57241.19</v>
      </c>
    </row>
    <row r="4" ht="22.5" customHeight="1">
      <c r="A4" s="331" t="str">
        <f>Rooster!A5</f>
        <v>Maandag</v>
      </c>
      <c r="B4" s="315">
        <f>Rooster!B5</f>
        <v>0.625</v>
      </c>
      <c r="C4" s="316">
        <f>Rooster!C5</f>
        <v>60</v>
      </c>
      <c r="D4" s="317" t="str">
        <f>Rooster!D5</f>
        <v>Kleuterdans</v>
      </c>
      <c r="E4" s="318"/>
      <c r="F4" s="327"/>
      <c r="G4" s="319"/>
      <c r="H4" s="320"/>
      <c r="I4" s="327"/>
      <c r="J4" s="321"/>
      <c r="K4" s="42"/>
      <c r="L4" s="322"/>
      <c r="M4" s="70"/>
      <c r="N4" s="321" t="str">
        <f>IFERROR(VLOOKUP(M4, Tarieven[#ALL], 10, FALSE), "0")</f>
        <v>0</v>
      </c>
      <c r="O4" s="322"/>
      <c r="P4" s="334"/>
      <c r="Q4" s="325" t="str">
        <f>IFERROR(VLOOKUP(P4, Tarieven[#ALL], 10, FALSE), "0")</f>
        <v>0</v>
      </c>
      <c r="R4" s="318"/>
      <c r="S4" s="85"/>
      <c r="T4" s="325" t="str">
        <f>IFERROR(VLOOKUP(S4, Tarieven[#ALL], 10, FALSE), "0")</f>
        <v>0</v>
      </c>
      <c r="U4" s="326"/>
      <c r="V4" s="85"/>
      <c r="W4" s="328" t="str">
        <f>IFERROR(VLOOKUP(V4, Tarieven!$A$1:$J$150, 10, FALSE), "0")</f>
        <v>0</v>
      </c>
      <c r="X4" s="326"/>
      <c r="Y4" s="85"/>
      <c r="Z4" s="328" t="str">
        <f>IFERROR(VLOOKUP(Y4, Tarieven[#ALL], 10, FALSE), "0")</f>
        <v>0</v>
      </c>
      <c r="AA4" s="326"/>
      <c r="AB4" s="85"/>
      <c r="AC4" s="328" t="str">
        <f>IFERROR(VLOOKUP(AB4, Tarieven[#ALL], 10, FALSE), "0")</f>
        <v>0</v>
      </c>
      <c r="AD4" s="329">
        <f t="shared" si="1"/>
        <v>0</v>
      </c>
      <c r="AE4" s="32">
        <f t="shared" si="2"/>
        <v>0</v>
      </c>
      <c r="AF4" s="32">
        <f t="shared" si="3"/>
        <v>0</v>
      </c>
      <c r="AG4" s="32">
        <f t="shared" si="4"/>
        <v>0</v>
      </c>
      <c r="AH4" s="330"/>
    </row>
    <row r="5" ht="22.5" customHeight="1">
      <c r="A5" s="335" t="str">
        <f>Rooster!A6</f>
        <v>Maandag</v>
      </c>
      <c r="B5" s="315">
        <f>Rooster!B6</f>
        <v>0.625</v>
      </c>
      <c r="C5" s="316">
        <f>Rooster!C6</f>
        <v>60</v>
      </c>
      <c r="D5" s="317" t="str">
        <f>Rooster!D6</f>
        <v>Streetdance 6+</v>
      </c>
      <c r="E5" s="336"/>
      <c r="F5" s="113"/>
      <c r="G5" s="337"/>
      <c r="H5" s="338"/>
      <c r="I5" s="113"/>
      <c r="J5" s="339"/>
      <c r="K5" s="340"/>
      <c r="L5" s="341"/>
      <c r="M5" s="106"/>
      <c r="N5" s="342" t="str">
        <f>IFERROR(VLOOKUP(M5, Tarieven!$A$1:$J$150, 10, FALSE), "0")</f>
        <v>0</v>
      </c>
      <c r="O5" s="343"/>
      <c r="P5" s="344"/>
      <c r="Q5" s="345" t="str">
        <f>IFERROR(VLOOKUP(P5, Tarieven!$A$1:$J$150, 10, FALSE), "0")</f>
        <v>0</v>
      </c>
      <c r="R5" s="346"/>
      <c r="S5" s="344"/>
      <c r="T5" s="345" t="str">
        <f>IFERROR(VLOOKUP(S5, Tarieven!$A$1:$J$150, 10, FALSE), "0")</f>
        <v>0</v>
      </c>
      <c r="U5" s="347"/>
      <c r="V5" s="344"/>
      <c r="W5" s="328" t="str">
        <f>IFERROR(VLOOKUP(V5, Tarieven!$A$1:$J$150, 10, FALSE), "0")</f>
        <v>0</v>
      </c>
      <c r="X5" s="347"/>
      <c r="Y5" s="344"/>
      <c r="Z5" s="348" t="str">
        <f>IFERROR(VLOOKUP(Y5, Tarieven[#ALL], 10, FALSE), "0")</f>
        <v>0</v>
      </c>
      <c r="AA5" s="347"/>
      <c r="AB5" s="344"/>
      <c r="AC5" s="348" t="str">
        <f>IFERROR(VLOOKUP(AB5, Tarieven[#ALL], 10, FALSE), "0")</f>
        <v>0</v>
      </c>
      <c r="AD5" s="329">
        <f t="shared" si="1"/>
        <v>0</v>
      </c>
      <c r="AE5" s="349"/>
      <c r="AF5" s="32">
        <f t="shared" si="3"/>
        <v>0</v>
      </c>
      <c r="AG5" s="350">
        <f t="shared" ref="AG5:AG64" si="5">SUM(L5+O5+R5+AD5)</f>
        <v>0</v>
      </c>
      <c r="AH5" s="330"/>
    </row>
    <row r="6" ht="22.5" customHeight="1">
      <c r="A6" s="335" t="str">
        <f>Rooster!A7</f>
        <v>Maandag</v>
      </c>
      <c r="B6" s="315">
        <f>Rooster!B7</f>
        <v>0.6666666667</v>
      </c>
      <c r="C6" s="316">
        <f>Rooster!C7</f>
        <v>60</v>
      </c>
      <c r="D6" s="317" t="str">
        <f>Rooster!D7</f>
        <v>Urban-Pop-Show 10+</v>
      </c>
      <c r="E6" s="351"/>
      <c r="F6" s="125"/>
      <c r="G6" s="337"/>
      <c r="H6" s="338"/>
      <c r="I6" s="125"/>
      <c r="J6" s="339"/>
      <c r="K6" s="340"/>
      <c r="L6" s="352">
        <v>3.0</v>
      </c>
      <c r="M6" s="96" t="s">
        <v>48</v>
      </c>
      <c r="N6" s="342">
        <f>IFERROR(VLOOKUP(M6, Tarieven!$A$1:$J$150, 10, FALSE), "0")</f>
        <v>279</v>
      </c>
      <c r="O6" s="352">
        <v>1.0</v>
      </c>
      <c r="P6" s="353" t="s">
        <v>84</v>
      </c>
      <c r="Q6" s="345">
        <f>IFERROR(VLOOKUP(P6, Tarieven!$A$1:$J$150, 10, FALSE), "0")</f>
        <v>289.5</v>
      </c>
      <c r="R6" s="354"/>
      <c r="S6" s="125"/>
      <c r="T6" s="345" t="str">
        <f>IFERROR(VLOOKUP(S6, Tarieven!$A$1:$J$150, 10, FALSE), "0")</f>
        <v>0</v>
      </c>
      <c r="U6" s="326"/>
      <c r="V6" s="125"/>
      <c r="W6" s="328" t="str">
        <f>IFERROR(VLOOKUP(V6, Tarieven!$A$1:$J$150, 10, FALSE), "0")</f>
        <v>0</v>
      </c>
      <c r="X6" s="347"/>
      <c r="Y6" s="125"/>
      <c r="Z6" s="348" t="str">
        <f>IFERROR(VLOOKUP(Y6, Tarieven[#ALL], 10, FALSE), "0")</f>
        <v>0</v>
      </c>
      <c r="AA6" s="355"/>
      <c r="AB6" s="96"/>
      <c r="AC6" s="348" t="str">
        <f>IFERROR(VLOOKUP(AB6, Tarieven[#ALL], 10, FALSE), "0")</f>
        <v>0</v>
      </c>
      <c r="AD6" s="329">
        <f t="shared" si="1"/>
        <v>4</v>
      </c>
      <c r="AE6" s="356" t="s">
        <v>48</v>
      </c>
      <c r="AF6" s="32">
        <f t="shared" si="3"/>
        <v>1126.5</v>
      </c>
      <c r="AG6" s="350">
        <f t="shared" si="5"/>
        <v>8</v>
      </c>
      <c r="AH6" s="330"/>
    </row>
    <row r="7" ht="22.5" customHeight="1">
      <c r="A7" s="335" t="str">
        <f>Rooster!A8</f>
        <v>Maandag</v>
      </c>
      <c r="B7" s="315">
        <f>Rooster!B8</f>
        <v>0.7083333333</v>
      </c>
      <c r="C7" s="316">
        <f>Rooster!C8</f>
        <v>60</v>
      </c>
      <c r="D7" s="317" t="str">
        <f>Rooster!D8</f>
        <v>Urban-Pop-Show 12+</v>
      </c>
      <c r="E7" s="336"/>
      <c r="F7" s="113"/>
      <c r="G7" s="337"/>
      <c r="H7" s="338"/>
      <c r="I7" s="113"/>
      <c r="J7" s="339"/>
      <c r="K7" s="340"/>
      <c r="L7" s="341">
        <v>4.0</v>
      </c>
      <c r="M7" s="106" t="s">
        <v>48</v>
      </c>
      <c r="N7" s="342">
        <f>IFERROR(VLOOKUP(M7, Tarieven!$A$1:$J$150, 10, FALSE), "0")</f>
        <v>279</v>
      </c>
      <c r="O7" s="341">
        <v>2.0</v>
      </c>
      <c r="P7" s="357" t="s">
        <v>57</v>
      </c>
      <c r="Q7" s="345">
        <f>IFERROR(VLOOKUP(P7, Tarieven!$A$1:$J$150, 10, FALSE), "0")</f>
        <v>279</v>
      </c>
      <c r="R7" s="358">
        <v>1.0</v>
      </c>
      <c r="S7" s="106" t="s">
        <v>84</v>
      </c>
      <c r="T7" s="345">
        <f>IFERROR(VLOOKUP(S7, Tarieven!$A$1:$J$150, 10, FALSE), "0")</f>
        <v>289.5</v>
      </c>
      <c r="U7" s="359">
        <v>4.0</v>
      </c>
      <c r="V7" s="106" t="s">
        <v>96</v>
      </c>
      <c r="W7" s="328">
        <f>IFERROR(VLOOKUP(V7, Tarieven!$A$1:$J$150, 10, FALSE), "0")</f>
        <v>235</v>
      </c>
      <c r="X7" s="355"/>
      <c r="Y7" s="106"/>
      <c r="Z7" s="348" t="str">
        <f>IFERROR(VLOOKUP(Y7, Tarieven[#ALL], 10, FALSE), "0")</f>
        <v>0</v>
      </c>
      <c r="AA7" s="347"/>
      <c r="AB7" s="106"/>
      <c r="AC7" s="348" t="str">
        <f>IFERROR(VLOOKUP(AB7, Tarieven[#ALL], 10, FALSE), "0")</f>
        <v>0</v>
      </c>
      <c r="AD7" s="329">
        <f t="shared" si="1"/>
        <v>11</v>
      </c>
      <c r="AE7" s="349"/>
      <c r="AF7" s="32">
        <f t="shared" si="3"/>
        <v>2903.5</v>
      </c>
      <c r="AG7" s="350">
        <f t="shared" si="5"/>
        <v>18</v>
      </c>
      <c r="AH7" s="330"/>
    </row>
    <row r="8" ht="22.5" customHeight="1">
      <c r="A8" s="335" t="str">
        <f>Rooster!A9</f>
        <v>Maandag</v>
      </c>
      <c r="B8" s="315">
        <f>Rooster!B9</f>
        <v>0.75</v>
      </c>
      <c r="C8" s="316">
        <f>Rooster!C9</f>
        <v>60</v>
      </c>
      <c r="D8" s="317" t="str">
        <f>Rooster!D9</f>
        <v>Selectie Show</v>
      </c>
      <c r="E8" s="351"/>
      <c r="F8" s="125"/>
      <c r="G8" s="337"/>
      <c r="H8" s="338"/>
      <c r="I8" s="125"/>
      <c r="J8" s="339"/>
      <c r="K8" s="340"/>
      <c r="L8" s="360"/>
      <c r="M8" s="361"/>
      <c r="N8" s="342" t="str">
        <f>IFERROR(VLOOKUP(M8, Tarieven!$A$1:$J$150, 10, FALSE), "0")</f>
        <v>0</v>
      </c>
      <c r="O8" s="360">
        <v>3.0</v>
      </c>
      <c r="P8" s="361" t="s">
        <v>74</v>
      </c>
      <c r="Q8" s="345">
        <f>IFERROR(VLOOKUP(P8, Tarieven!$A$1:$J$150, 10, FALSE), "0")</f>
        <v>263.625</v>
      </c>
      <c r="R8" s="362">
        <v>1.0</v>
      </c>
      <c r="S8" s="363" t="s">
        <v>38</v>
      </c>
      <c r="T8" s="364">
        <f>IFERROR(VLOOKUP(S8, Tarieven!$A$1:$J$150, 10, FALSE), "0")</f>
        <v>0</v>
      </c>
      <c r="U8" s="326"/>
      <c r="V8" s="365"/>
      <c r="W8" s="328" t="str">
        <f>IFERROR(VLOOKUP(V8, Tarieven!$A$1:$J$150, 10, FALSE), "0")</f>
        <v>0</v>
      </c>
      <c r="X8" s="366"/>
      <c r="Y8" s="363"/>
      <c r="Z8" s="348" t="str">
        <f>IFERROR(VLOOKUP(Y8, Tarieven[#ALL], 10, FALSE), "0")</f>
        <v>0</v>
      </c>
      <c r="AA8" s="366"/>
      <c r="AB8" s="363"/>
      <c r="AC8" s="348" t="str">
        <f>IFERROR(VLOOKUP(AB8, Tarieven[#ALL], 10, FALSE), "0")</f>
        <v>0</v>
      </c>
      <c r="AD8" s="329">
        <f t="shared" si="1"/>
        <v>4</v>
      </c>
      <c r="AE8" s="367"/>
      <c r="AF8" s="32">
        <f t="shared" si="3"/>
        <v>790.875</v>
      </c>
      <c r="AG8" s="350">
        <f t="shared" si="5"/>
        <v>8</v>
      </c>
      <c r="AH8" s="330"/>
    </row>
    <row r="9" ht="22.5" customHeight="1">
      <c r="A9" s="335" t="str">
        <f>Rooster!A10</f>
        <v>Maandag</v>
      </c>
      <c r="B9" s="315">
        <f>Rooster!B10</f>
        <v>0.7916666667</v>
      </c>
      <c r="C9" s="316">
        <f>Rooster!C10</f>
        <v>60</v>
      </c>
      <c r="D9" s="317" t="str">
        <f>Rooster!D10</f>
        <v>Commercial 16+</v>
      </c>
      <c r="E9" s="336"/>
      <c r="F9" s="113"/>
      <c r="G9" s="337"/>
      <c r="H9" s="338"/>
      <c r="I9" s="113"/>
      <c r="J9" s="339"/>
      <c r="K9" s="340"/>
      <c r="L9" s="368">
        <v>1.0</v>
      </c>
      <c r="M9" s="357" t="s">
        <v>48</v>
      </c>
      <c r="N9" s="342">
        <f>IFERROR(VLOOKUP(M9, Tarieven!$A$1:$J$150, 10, FALSE), "0")</f>
        <v>279</v>
      </c>
      <c r="O9" s="369">
        <v>2.0</v>
      </c>
      <c r="P9" s="370" t="s">
        <v>74</v>
      </c>
      <c r="Q9" s="364">
        <f>IFERROR(VLOOKUP(P9, Tarieven!$A$1:$J$150, 10, FALSE), "0")</f>
        <v>263.625</v>
      </c>
      <c r="R9" s="371">
        <v>1.0</v>
      </c>
      <c r="S9" s="324" t="s">
        <v>68</v>
      </c>
      <c r="T9" s="364">
        <f>IFERROR(VLOOKUP(S9, Tarieven!$A$1:$J$150, 10, FALSE), "0")</f>
        <v>279</v>
      </c>
      <c r="U9" s="355">
        <v>1.0</v>
      </c>
      <c r="V9" s="324" t="s">
        <v>38</v>
      </c>
      <c r="W9" s="328">
        <f>IFERROR(VLOOKUP(V9, Tarieven!$A$1:$J$150, 10, FALSE), "0")</f>
        <v>0</v>
      </c>
      <c r="X9" s="366"/>
      <c r="Y9" s="332"/>
      <c r="Z9" s="348" t="str">
        <f>IFERROR(VLOOKUP(Y9, Tarieven[#ALL], 10, FALSE), "0")</f>
        <v>0</v>
      </c>
      <c r="AA9" s="366"/>
      <c r="AB9" s="332"/>
      <c r="AC9" s="348" t="str">
        <f>IFERROR(VLOOKUP(AB9, Tarieven[#ALL], 10, FALSE), "0")</f>
        <v>0</v>
      </c>
      <c r="AD9" s="329">
        <f t="shared" si="1"/>
        <v>5</v>
      </c>
      <c r="AE9" s="349"/>
      <c r="AF9" s="32">
        <f t="shared" si="3"/>
        <v>1085.25</v>
      </c>
      <c r="AG9" s="350">
        <f t="shared" si="5"/>
        <v>9</v>
      </c>
      <c r="AH9" s="330"/>
    </row>
    <row r="10" ht="22.5" customHeight="1">
      <c r="A10" s="335" t="str">
        <f>Rooster!A11</f>
        <v>Maandag</v>
      </c>
      <c r="B10" s="315">
        <f>Rooster!B11</f>
        <v>0.8333333333</v>
      </c>
      <c r="C10" s="316">
        <f>Rooster!C11</f>
        <v>60</v>
      </c>
      <c r="D10" s="317" t="str">
        <f>Rooster!D11</f>
        <v>Commercial 20+</v>
      </c>
      <c r="E10" s="351"/>
      <c r="F10" s="125"/>
      <c r="G10" s="337"/>
      <c r="H10" s="338"/>
      <c r="I10" s="125"/>
      <c r="J10" s="339"/>
      <c r="K10" s="340"/>
      <c r="L10" s="352">
        <v>1.0</v>
      </c>
      <c r="M10" s="96" t="s">
        <v>111</v>
      </c>
      <c r="N10" s="342">
        <f>IFERROR(VLOOKUP(M10, Tarieven!$A$1:$J$150, 10, FALSE), "0")</f>
        <v>266.625</v>
      </c>
      <c r="O10" s="352">
        <v>3.0</v>
      </c>
      <c r="P10" s="353" t="s">
        <v>107</v>
      </c>
      <c r="Q10" s="345">
        <f>IFERROR(VLOOKUP(P10, Tarieven!$A$1:$J$150, 10, FALSE), "0")</f>
        <v>266.23</v>
      </c>
      <c r="R10" s="362">
        <v>4.0</v>
      </c>
      <c r="S10" s="363" t="s">
        <v>38</v>
      </c>
      <c r="T10" s="364">
        <f>IFERROR(VLOOKUP(S10, Tarieven!$A$1:$J$150, 10, FALSE), "0")</f>
        <v>0</v>
      </c>
      <c r="U10" s="326"/>
      <c r="V10" s="372"/>
      <c r="W10" s="328" t="str">
        <f>IFERROR(VLOOKUP(V10, Tarieven!$A$1:$J$150, 10, FALSE), "0")</f>
        <v>0</v>
      </c>
      <c r="X10" s="366"/>
      <c r="Y10" s="372"/>
      <c r="Z10" s="348" t="str">
        <f>IFERROR(VLOOKUP(Y10, Tarieven[#ALL], 10, FALSE), "0")</f>
        <v>0</v>
      </c>
      <c r="AA10" s="366"/>
      <c r="AB10" s="372"/>
      <c r="AC10" s="348" t="str">
        <f>IFERROR(VLOOKUP(AB10, Tarieven[#ALL], 10, FALSE), "0")</f>
        <v>0</v>
      </c>
      <c r="AD10" s="329">
        <f t="shared" si="1"/>
        <v>8</v>
      </c>
      <c r="AE10" s="367"/>
      <c r="AF10" s="32">
        <f t="shared" si="3"/>
        <v>1065.315</v>
      </c>
      <c r="AG10" s="350">
        <f t="shared" si="5"/>
        <v>16</v>
      </c>
    </row>
    <row r="11" ht="22.5" customHeight="1">
      <c r="A11" s="335" t="str">
        <f>Rooster!A12</f>
        <v>Maandag</v>
      </c>
      <c r="B11" s="315">
        <f>Rooster!B12</f>
        <v>0.875</v>
      </c>
      <c r="C11" s="316">
        <f>Rooster!C12</f>
        <v>60</v>
      </c>
      <c r="D11" s="317" t="str">
        <f>Rooster!D12</f>
        <v>Jazz 20+</v>
      </c>
      <c r="E11" s="336"/>
      <c r="F11" s="113"/>
      <c r="G11" s="337"/>
      <c r="H11" s="338"/>
      <c r="I11" s="113"/>
      <c r="J11" s="339"/>
      <c r="K11" s="340"/>
      <c r="L11" s="341">
        <v>1.0</v>
      </c>
      <c r="M11" s="106" t="s">
        <v>111</v>
      </c>
      <c r="N11" s="342">
        <f>IFERROR(VLOOKUP(M11, Tarieven!$A$1:$J$150, 10, FALSE), "0")</f>
        <v>266.625</v>
      </c>
      <c r="O11" s="373"/>
      <c r="P11" s="374"/>
      <c r="Q11" s="345" t="str">
        <f>IFERROR(VLOOKUP(P11, Tarieven!$A$1:$J$150, 10, FALSE), "0")</f>
        <v>0</v>
      </c>
      <c r="R11" s="346">
        <v>3.0</v>
      </c>
      <c r="S11" s="357" t="s">
        <v>38</v>
      </c>
      <c r="T11" s="345">
        <f>IFERROR(VLOOKUP(S11, Tarieven!$A$1:$J$150, 10, FALSE), "0")</f>
        <v>0</v>
      </c>
      <c r="U11" s="326"/>
      <c r="V11" s="344"/>
      <c r="W11" s="328" t="str">
        <f>IFERROR(VLOOKUP(V11, Tarieven!$A$1:$J$150, 10, FALSE), "0")</f>
        <v>0</v>
      </c>
      <c r="X11" s="347"/>
      <c r="Y11" s="344"/>
      <c r="Z11" s="348" t="str">
        <f>IFERROR(VLOOKUP(Y11, Tarieven[#ALL], 10, FALSE), "0")</f>
        <v>0</v>
      </c>
      <c r="AA11" s="347"/>
      <c r="AB11" s="344"/>
      <c r="AC11" s="348" t="str">
        <f>IFERROR(VLOOKUP(AB11, Tarieven[#ALL], 10, FALSE), "0")</f>
        <v>0</v>
      </c>
      <c r="AD11" s="329">
        <f t="shared" si="1"/>
        <v>4</v>
      </c>
      <c r="AE11" s="375" t="s">
        <v>48</v>
      </c>
      <c r="AF11" s="32">
        <f t="shared" si="3"/>
        <v>266.625</v>
      </c>
      <c r="AG11" s="350">
        <f t="shared" si="5"/>
        <v>8</v>
      </c>
    </row>
    <row r="12" ht="22.5" customHeight="1">
      <c r="A12" s="335" t="str">
        <f>Rooster!A13</f>
        <v>Maandag</v>
      </c>
      <c r="B12" s="315">
        <f>Rooster!B13</f>
        <v>0.6666666667</v>
      </c>
      <c r="C12" s="316">
        <f>Rooster!C13</f>
        <v>60</v>
      </c>
      <c r="D12" s="317" t="str">
        <f>Rooster!D13</f>
        <v>Streetdance 6+</v>
      </c>
      <c r="E12" s="351"/>
      <c r="F12" s="125"/>
      <c r="G12" s="337"/>
      <c r="H12" s="338"/>
      <c r="I12" s="125"/>
      <c r="J12" s="339"/>
      <c r="K12" s="340"/>
      <c r="L12" s="352">
        <v>2.0</v>
      </c>
      <c r="M12" s="96" t="s">
        <v>48</v>
      </c>
      <c r="N12" s="342">
        <f>IFERROR(VLOOKUP(M12, Tarieven!$A$1:$J$150, 10, FALSE), "0")</f>
        <v>279</v>
      </c>
      <c r="O12" s="352"/>
      <c r="P12" s="353"/>
      <c r="Q12" s="345" t="str">
        <f>IFERROR(VLOOKUP(P12, Tarieven!$A$1:$J$150, 10, FALSE), "0")</f>
        <v>0</v>
      </c>
      <c r="R12" s="376"/>
      <c r="S12" s="125"/>
      <c r="T12" s="345" t="str">
        <f>IFERROR(VLOOKUP(S12, Tarieven!$A$1:$J$150, 10, FALSE), "0")</f>
        <v>0</v>
      </c>
      <c r="U12" s="326"/>
      <c r="V12" s="125"/>
      <c r="W12" s="328" t="str">
        <f>IFERROR(VLOOKUP(V12, Tarieven!$A$1:$J$150, 10, FALSE), "0")</f>
        <v>0</v>
      </c>
      <c r="X12" s="347"/>
      <c r="Y12" s="125"/>
      <c r="Z12" s="348" t="str">
        <f>IFERROR(VLOOKUP(Y12, Tarieven[#ALL], 10, FALSE), "0")</f>
        <v>0</v>
      </c>
      <c r="AA12" s="347"/>
      <c r="AB12" s="125"/>
      <c r="AC12" s="348" t="str">
        <f>IFERROR(VLOOKUP(AB12, Tarieven[#ALL], 10, FALSE), "0")</f>
        <v>0</v>
      </c>
      <c r="AD12" s="329">
        <f t="shared" si="1"/>
        <v>2</v>
      </c>
      <c r="AE12" s="367"/>
      <c r="AF12" s="32">
        <f t="shared" si="3"/>
        <v>558</v>
      </c>
      <c r="AG12" s="350">
        <f t="shared" si="5"/>
        <v>4</v>
      </c>
    </row>
    <row r="13" ht="22.5" customHeight="1">
      <c r="A13" s="335" t="str">
        <f>Rooster!A14</f>
        <v>Maandag</v>
      </c>
      <c r="B13" s="315">
        <f>Rooster!B14</f>
        <v>0.7083333333</v>
      </c>
      <c r="C13" s="316">
        <f>Rooster!C14</f>
        <v>60</v>
      </c>
      <c r="D13" s="317" t="str">
        <f>Rooster!D14</f>
        <v>Streetdance 8+</v>
      </c>
      <c r="E13" s="336"/>
      <c r="F13" s="113"/>
      <c r="G13" s="337"/>
      <c r="H13" s="338"/>
      <c r="I13" s="113"/>
      <c r="J13" s="339"/>
      <c r="K13" s="340"/>
      <c r="L13" s="341">
        <v>10.0</v>
      </c>
      <c r="M13" s="106" t="s">
        <v>48</v>
      </c>
      <c r="N13" s="342">
        <f>IFERROR(VLOOKUP(M13, Tarieven!$A$1:$J$150, 10, FALSE), "0")</f>
        <v>279</v>
      </c>
      <c r="O13" s="368">
        <v>3.0</v>
      </c>
      <c r="P13" s="377" t="s">
        <v>57</v>
      </c>
      <c r="Q13" s="345">
        <f>IFERROR(VLOOKUP(P13, Tarieven!$A$1:$J$150, 10, FALSE), "0")</f>
        <v>279</v>
      </c>
      <c r="R13" s="346"/>
      <c r="S13" s="357"/>
      <c r="T13" s="345" t="str">
        <f>IFERROR(VLOOKUP(S13, Tarieven!$A$1:$J$150, 10, FALSE), "0")</f>
        <v>0</v>
      </c>
      <c r="U13" s="347"/>
      <c r="V13" s="378"/>
      <c r="W13" s="328" t="str">
        <f>IFERROR(VLOOKUP(V13, Tarieven!$A$1:$J$150, 10, FALSE), "0")</f>
        <v>0</v>
      </c>
      <c r="X13" s="347"/>
      <c r="Y13" s="357"/>
      <c r="Z13" s="348" t="str">
        <f>IFERROR(VLOOKUP(Y13, Tarieven[#ALL], 10, FALSE), "0")</f>
        <v>0</v>
      </c>
      <c r="AA13" s="347"/>
      <c r="AB13" s="357"/>
      <c r="AC13" s="348" t="str">
        <f>IFERROR(VLOOKUP(AB13, Tarieven[#ALL], 10, FALSE), "0")</f>
        <v>0</v>
      </c>
      <c r="AD13" s="329">
        <f t="shared" si="1"/>
        <v>13</v>
      </c>
      <c r="AE13" s="375" t="s">
        <v>48</v>
      </c>
      <c r="AF13" s="32">
        <f t="shared" si="3"/>
        <v>3627</v>
      </c>
      <c r="AG13" s="350">
        <f t="shared" si="5"/>
        <v>26</v>
      </c>
    </row>
    <row r="14" ht="22.5" customHeight="1">
      <c r="A14" s="335" t="str">
        <f>Rooster!A15</f>
        <v>Dinsdag</v>
      </c>
      <c r="B14" s="315">
        <f>Rooster!B15</f>
        <v>0.6666666667</v>
      </c>
      <c r="C14" s="316">
        <f>Rooster!C15</f>
        <v>60</v>
      </c>
      <c r="D14" s="317" t="str">
        <f>Rooster!D15</f>
        <v>Modern 8+</v>
      </c>
      <c r="E14" s="351"/>
      <c r="F14" s="125"/>
      <c r="G14" s="337"/>
      <c r="H14" s="338"/>
      <c r="I14" s="125"/>
      <c r="J14" s="339"/>
      <c r="K14" s="340"/>
      <c r="L14" s="352">
        <v>4.0</v>
      </c>
      <c r="M14" s="96" t="s">
        <v>57</v>
      </c>
      <c r="N14" s="342">
        <f>IFERROR(VLOOKUP(M14, Tarieven!$A$1:$J$150, 10, FALSE), "0")</f>
        <v>279</v>
      </c>
      <c r="O14" s="379">
        <v>2.0</v>
      </c>
      <c r="P14" s="380" t="s">
        <v>139</v>
      </c>
      <c r="Q14" s="364">
        <f>IFERROR(VLOOKUP(P14, Tarieven!$A$1:$J$150, 10, FALSE), "0")</f>
        <v>270.1666667</v>
      </c>
      <c r="R14" s="362">
        <v>2.0</v>
      </c>
      <c r="S14" s="363" t="s">
        <v>48</v>
      </c>
      <c r="T14" s="364">
        <f>IFERROR(VLOOKUP(S14, Tarieven!$A$1:$J$150, 10, FALSE), "0")</f>
        <v>279</v>
      </c>
      <c r="U14" s="326"/>
      <c r="V14" s="372"/>
      <c r="W14" s="328" t="str">
        <f>IFERROR(VLOOKUP(V14, Tarieven!$A$1:$J$150, 10, FALSE), "0")</f>
        <v>0</v>
      </c>
      <c r="X14" s="366"/>
      <c r="Y14" s="372"/>
      <c r="Z14" s="348" t="str">
        <f>IFERROR(VLOOKUP(Y14, Tarieven[#ALL], 10, FALSE), "0")</f>
        <v>0</v>
      </c>
      <c r="AA14" s="366"/>
      <c r="AB14" s="372"/>
      <c r="AC14" s="348" t="str">
        <f>IFERROR(VLOOKUP(AB14, Tarieven[#ALL], 10, FALSE), "0")</f>
        <v>0</v>
      </c>
      <c r="AD14" s="329">
        <f t="shared" si="1"/>
        <v>8</v>
      </c>
      <c r="AE14" s="367"/>
      <c r="AF14" s="32">
        <f t="shared" si="3"/>
        <v>2214.333333</v>
      </c>
      <c r="AG14" s="350">
        <f t="shared" si="5"/>
        <v>16</v>
      </c>
    </row>
    <row r="15" ht="22.5" customHeight="1">
      <c r="A15" s="335" t="str">
        <f>Rooster!A16</f>
        <v>Dinsdag</v>
      </c>
      <c r="B15" s="315">
        <f>Rooster!B16</f>
        <v>0.7083333333</v>
      </c>
      <c r="C15" s="316">
        <f>Rooster!C16</f>
        <v>60</v>
      </c>
      <c r="D15" s="317" t="str">
        <f>Rooster!D16</f>
        <v>Selectie show 8+</v>
      </c>
      <c r="E15" s="336"/>
      <c r="F15" s="113" t="str">
        <f>Rooster!E16</f>
        <v>Eigenaar</v>
      </c>
      <c r="G15" s="337">
        <f>IFERROR(VLOOKUP(F15, Docenten!$A$2:$G$30, 7, FALSE), "0")</f>
        <v>0</v>
      </c>
      <c r="H15" s="338">
        <f t="shared" ref="H15:H101" si="6">SUM(G15/60)*C15</f>
        <v>0</v>
      </c>
      <c r="I15" s="113" t="str">
        <f>Rooster!H16</f>
        <v>Santpoort Zuid</v>
      </c>
      <c r="J15" s="339">
        <f>IFERROR(VLOOKUP(I15, Locaties!$A$2:$G$15, 7, FALSE), "0")</f>
        <v>18.9</v>
      </c>
      <c r="K15" s="340">
        <f t="shared" ref="K15:K101" si="7">SUM(J15/60)*C15</f>
        <v>18.9</v>
      </c>
      <c r="L15" s="341">
        <v>4.0</v>
      </c>
      <c r="M15" s="106" t="s">
        <v>139</v>
      </c>
      <c r="N15" s="342">
        <f>IFERROR(VLOOKUP(M15, Tarieven!$A$1:$J$150, 10, FALSE), "0")</f>
        <v>270.1666667</v>
      </c>
      <c r="O15" s="368">
        <v>2.0</v>
      </c>
      <c r="P15" s="377" t="s">
        <v>84</v>
      </c>
      <c r="Q15" s="345">
        <f>IFERROR(VLOOKUP(P15, Tarieven!$A$1:$J$150, 10, FALSE), "0")</f>
        <v>289.5</v>
      </c>
      <c r="R15" s="371">
        <v>1.0</v>
      </c>
      <c r="S15" s="324" t="s">
        <v>57</v>
      </c>
      <c r="T15" s="364">
        <f>IFERROR(VLOOKUP(S15, Tarieven!$A$1:$J$150, 10, FALSE), "0")</f>
        <v>279</v>
      </c>
      <c r="U15" s="326"/>
      <c r="V15" s="381"/>
      <c r="W15" s="328" t="str">
        <f>IFERROR(VLOOKUP(V15, Tarieven!$A$1:$J$150, 10, FALSE), "0")</f>
        <v>0</v>
      </c>
      <c r="X15" s="366"/>
      <c r="Y15" s="324"/>
      <c r="Z15" s="348" t="str">
        <f>IFERROR(VLOOKUP(Y15, Tarieven[#ALL], 10, FALSE), "0")</f>
        <v>0</v>
      </c>
      <c r="AA15" s="366"/>
      <c r="AB15" s="324"/>
      <c r="AC15" s="348" t="str">
        <f>IFERROR(VLOOKUP(AB15, Tarieven[#ALL], 10, FALSE), "0")</f>
        <v>0</v>
      </c>
      <c r="AD15" s="329">
        <f t="shared" si="1"/>
        <v>7</v>
      </c>
      <c r="AE15" s="349"/>
      <c r="AF15" s="32">
        <f t="shared" si="3"/>
        <v>1938.666667</v>
      </c>
      <c r="AG15" s="350">
        <f t="shared" si="5"/>
        <v>14</v>
      </c>
    </row>
    <row r="16" ht="22.5" customHeight="1">
      <c r="A16" s="335" t="str">
        <f>Rooster!A17</f>
        <v>Dinsdag</v>
      </c>
      <c r="B16" s="315">
        <f>Rooster!B17</f>
        <v>0.75</v>
      </c>
      <c r="C16" s="316">
        <f>Rooster!C17</f>
        <v>90</v>
      </c>
      <c r="D16" s="317" t="str">
        <f>Rooster!D17</f>
        <v>Selectie Cheer</v>
      </c>
      <c r="E16" s="351"/>
      <c r="F16" s="125" t="str">
        <f>Rooster!E17</f>
        <v>Eigenaar</v>
      </c>
      <c r="G16" s="337">
        <f>IFERROR(VLOOKUP(F16, Docenten!$A$2:$G$30, 7, FALSE), "0")</f>
        <v>0</v>
      </c>
      <c r="H16" s="338">
        <f t="shared" si="6"/>
        <v>0</v>
      </c>
      <c r="I16" s="125" t="str">
        <f>Rooster!H17</f>
        <v>Santpoort Zuid</v>
      </c>
      <c r="J16" s="339">
        <f>IFERROR(VLOOKUP(I16, Locaties!$A$2:$G$15, 7, FALSE), "0")</f>
        <v>18.9</v>
      </c>
      <c r="K16" s="340">
        <f t="shared" si="7"/>
        <v>28.35</v>
      </c>
      <c r="L16" s="352">
        <v>1.0</v>
      </c>
      <c r="M16" s="96" t="s">
        <v>88</v>
      </c>
      <c r="N16" s="342">
        <f>IFERROR(VLOOKUP(M16, Tarieven!$A$1:$J$150, 10, FALSE), "0")</f>
        <v>308.5</v>
      </c>
      <c r="O16" s="352">
        <v>2.0</v>
      </c>
      <c r="P16" s="353" t="s">
        <v>91</v>
      </c>
      <c r="Q16" s="345">
        <f>IFERROR(VLOOKUP(P16, Tarieven!$A$1:$J$150, 10, FALSE), "0")</f>
        <v>298.6666667</v>
      </c>
      <c r="R16" s="382"/>
      <c r="S16" s="361"/>
      <c r="T16" s="345" t="str">
        <f>IFERROR(VLOOKUP(S16, Tarieven!$A$1:$J$150, 10, FALSE), "0")</f>
        <v>0</v>
      </c>
      <c r="U16" s="359">
        <v>5.0</v>
      </c>
      <c r="V16" s="361" t="s">
        <v>96</v>
      </c>
      <c r="W16" s="328">
        <f>IFERROR(VLOOKUP(V16, Tarieven!$A$1:$J$150, 10, FALSE), "0")</f>
        <v>235</v>
      </c>
      <c r="X16" s="347"/>
      <c r="Y16" s="361"/>
      <c r="Z16" s="348" t="str">
        <f>IFERROR(VLOOKUP(Y16, Tarieven[#ALL], 10, FALSE), "0")</f>
        <v>0</v>
      </c>
      <c r="AA16" s="347"/>
      <c r="AB16" s="361"/>
      <c r="AC16" s="348" t="str">
        <f>IFERROR(VLOOKUP(AB16, Tarieven[#ALL], 10, FALSE), "0")</f>
        <v>0</v>
      </c>
      <c r="AD16" s="329">
        <f t="shared" si="1"/>
        <v>8</v>
      </c>
      <c r="AE16" s="383" t="s">
        <v>57</v>
      </c>
      <c r="AF16" s="32">
        <f t="shared" si="3"/>
        <v>2080.833333</v>
      </c>
      <c r="AG16" s="350">
        <f t="shared" si="5"/>
        <v>11</v>
      </c>
    </row>
    <row r="17" ht="22.5" customHeight="1">
      <c r="A17" s="335" t="str">
        <f>Rooster!A18</f>
        <v>Dinsdag</v>
      </c>
      <c r="B17" s="315">
        <f>Rooster!B18</f>
        <v>0.8125</v>
      </c>
      <c r="C17" s="316">
        <f>Rooster!C18</f>
        <v>60</v>
      </c>
      <c r="D17" s="317" t="str">
        <f>Rooster!D18</f>
        <v>Hiphop 15+</v>
      </c>
      <c r="E17" s="336"/>
      <c r="F17" s="113" t="str">
        <f>Rooster!E18</f>
        <v>Eigenaar</v>
      </c>
      <c r="G17" s="337">
        <f>IFERROR(VLOOKUP(F17, Docenten!$A$2:$G$30, 7, FALSE), "0")</f>
        <v>0</v>
      </c>
      <c r="H17" s="338">
        <f t="shared" si="6"/>
        <v>0</v>
      </c>
      <c r="I17" s="113" t="str">
        <f>Rooster!H18</f>
        <v>Santpoort Zuid</v>
      </c>
      <c r="J17" s="339">
        <f>IFERROR(VLOOKUP(I17, Locaties!$A$2:$G$15, 7, FALSE), "0")</f>
        <v>18.9</v>
      </c>
      <c r="K17" s="340">
        <f t="shared" si="7"/>
        <v>18.9</v>
      </c>
      <c r="L17" s="368">
        <v>1.0</v>
      </c>
      <c r="M17" s="357" t="s">
        <v>96</v>
      </c>
      <c r="N17" s="342">
        <f>IFERROR(VLOOKUP(M17, Tarieven!$A$1:$J$150, 10, FALSE), "0")</f>
        <v>235</v>
      </c>
      <c r="O17" s="341">
        <v>3.0</v>
      </c>
      <c r="P17" s="377" t="s">
        <v>57</v>
      </c>
      <c r="Q17" s="345">
        <f>IFERROR(VLOOKUP(P17, Tarieven!$A$1:$J$150, 10, FALSE), "0")</f>
        <v>279</v>
      </c>
      <c r="R17" s="346">
        <v>2.0</v>
      </c>
      <c r="S17" s="357" t="s">
        <v>68</v>
      </c>
      <c r="T17" s="345">
        <f>IFERROR(VLOOKUP(S17, Tarieven!$A$1:$J$150, 10, FALSE), "0")</f>
        <v>279</v>
      </c>
      <c r="U17" s="355">
        <v>1.0</v>
      </c>
      <c r="V17" s="357" t="s">
        <v>48</v>
      </c>
      <c r="W17" s="328">
        <f>IFERROR(VLOOKUP(V17, Tarieven!$A$1:$J$150, 10, FALSE), "0")</f>
        <v>279</v>
      </c>
      <c r="X17" s="355">
        <v>2.0</v>
      </c>
      <c r="Y17" s="357" t="s">
        <v>74</v>
      </c>
      <c r="Z17" s="348">
        <f>IFERROR(VLOOKUP(Y17, Tarieven[#ALL], 10, FALSE), "0")</f>
        <v>263.625</v>
      </c>
      <c r="AA17" s="347"/>
      <c r="AB17" s="357"/>
      <c r="AC17" s="348" t="str">
        <f>IFERROR(VLOOKUP(AB17, Tarieven[#ALL], 10, FALSE), "0")</f>
        <v>0</v>
      </c>
      <c r="AD17" s="329">
        <f t="shared" si="1"/>
        <v>9</v>
      </c>
      <c r="AE17" s="375" t="s">
        <v>84</v>
      </c>
      <c r="AF17" s="32">
        <f t="shared" si="3"/>
        <v>2436.25</v>
      </c>
      <c r="AG17" s="350">
        <f t="shared" si="5"/>
        <v>15</v>
      </c>
    </row>
    <row r="18" ht="22.5" customHeight="1">
      <c r="A18" s="335" t="str">
        <f>Rooster!A19</f>
        <v>Woensdag</v>
      </c>
      <c r="B18" s="315">
        <f>Rooster!B19</f>
        <v>0.6041666667</v>
      </c>
      <c r="C18" s="316">
        <f>Rooster!C19</f>
        <v>60</v>
      </c>
      <c r="D18" s="317" t="str">
        <f>Rooster!D19</f>
        <v>Streetdance 6+</v>
      </c>
      <c r="E18" s="351"/>
      <c r="F18" s="125" t="str">
        <f>Rooster!E19</f>
        <v>Julia</v>
      </c>
      <c r="G18" s="337">
        <f>IFERROR(VLOOKUP(F18, Docenten!$A$2:$G$30, 7, FALSE), "0")</f>
        <v>15</v>
      </c>
      <c r="H18" s="338">
        <f t="shared" si="6"/>
        <v>15</v>
      </c>
      <c r="I18" s="125" t="str">
        <f>Rooster!H19</f>
        <v>Santpoort Noord</v>
      </c>
      <c r="J18" s="339">
        <f>IFERROR(VLOOKUP(I18, Locaties!$A$2:$G$15, 7, FALSE), "0")</f>
        <v>14.2</v>
      </c>
      <c r="K18" s="340">
        <f t="shared" si="7"/>
        <v>14.2</v>
      </c>
      <c r="L18" s="352">
        <v>9.0</v>
      </c>
      <c r="M18" s="96" t="s">
        <v>48</v>
      </c>
      <c r="N18" s="342">
        <f>IFERROR(VLOOKUP(M18, Tarieven!$A$1:$J$150, 10, FALSE), "0")</f>
        <v>279</v>
      </c>
      <c r="O18" s="352"/>
      <c r="P18" s="384"/>
      <c r="Q18" s="345" t="str">
        <f>IFERROR(VLOOKUP(P18, Tarieven!$A$1:$J$150, 10, FALSE), "0")</f>
        <v>0</v>
      </c>
      <c r="R18" s="376"/>
      <c r="S18" s="125"/>
      <c r="T18" s="345" t="str">
        <f>IFERROR(VLOOKUP(S18, Tarieven!$A$1:$J$150, 10, FALSE), "0")</f>
        <v>0</v>
      </c>
      <c r="U18" s="326"/>
      <c r="V18" s="125"/>
      <c r="W18" s="328" t="str">
        <f>IFERROR(VLOOKUP(V18, Tarieven!$A$1:$J$150, 10, FALSE), "0")</f>
        <v>0</v>
      </c>
      <c r="X18" s="347"/>
      <c r="Y18" s="125"/>
      <c r="Z18" s="348" t="str">
        <f>IFERROR(VLOOKUP(Y18, Tarieven[#ALL], 10, FALSE), "0")</f>
        <v>0</v>
      </c>
      <c r="AA18" s="347"/>
      <c r="AB18" s="125"/>
      <c r="AC18" s="348" t="str">
        <f>IFERROR(VLOOKUP(AB18, Tarieven[#ALL], 10, FALSE), "0")</f>
        <v>0</v>
      </c>
      <c r="AD18" s="329">
        <f t="shared" si="1"/>
        <v>9</v>
      </c>
      <c r="AE18" s="367"/>
      <c r="AF18" s="32">
        <f t="shared" si="3"/>
        <v>2511</v>
      </c>
      <c r="AG18" s="350">
        <f t="shared" si="5"/>
        <v>18</v>
      </c>
    </row>
    <row r="19" ht="22.5" customHeight="1">
      <c r="A19" s="335" t="str">
        <f>Rooster!A20</f>
        <v>Woensdag</v>
      </c>
      <c r="B19" s="315">
        <f>Rooster!B20</f>
        <v>0.6458333333</v>
      </c>
      <c r="C19" s="316">
        <f>Rooster!C20</f>
        <v>60</v>
      </c>
      <c r="D19" s="317" t="str">
        <f>Rooster!D20</f>
        <v>Streetdance 8+</v>
      </c>
      <c r="E19" s="336"/>
      <c r="F19" s="113" t="str">
        <f>Rooster!E20</f>
        <v>Julia</v>
      </c>
      <c r="G19" s="337">
        <f>IFERROR(VLOOKUP(F19, Docenten!$A$2:$G$30, 7, FALSE), "0")</f>
        <v>15</v>
      </c>
      <c r="H19" s="338">
        <f t="shared" si="6"/>
        <v>15</v>
      </c>
      <c r="I19" s="113" t="str">
        <f>Rooster!H20</f>
        <v>Santpoort Noord</v>
      </c>
      <c r="J19" s="339">
        <f>IFERROR(VLOOKUP(I19, Locaties!$A$2:$G$15, 7, FALSE), "0")</f>
        <v>14.2</v>
      </c>
      <c r="K19" s="340">
        <f t="shared" si="7"/>
        <v>14.2</v>
      </c>
      <c r="L19" s="341">
        <v>9.0</v>
      </c>
      <c r="M19" s="106" t="s">
        <v>48</v>
      </c>
      <c r="N19" s="342">
        <f>IFERROR(VLOOKUP(M19, Tarieven!$A$1:$J$150, 10, FALSE), "0")</f>
        <v>279</v>
      </c>
      <c r="O19" s="341">
        <v>1.0</v>
      </c>
      <c r="P19" s="377" t="s">
        <v>57</v>
      </c>
      <c r="Q19" s="345">
        <f>IFERROR(VLOOKUP(P19, Tarieven!$A$1:$J$150, 10, FALSE), "0")</f>
        <v>279</v>
      </c>
      <c r="R19" s="371">
        <v>1.0</v>
      </c>
      <c r="S19" s="324" t="s">
        <v>139</v>
      </c>
      <c r="T19" s="364">
        <f>IFERROR(VLOOKUP(S19, Tarieven!$A$1:$J$150, 10, FALSE), "0")</f>
        <v>270.1666667</v>
      </c>
      <c r="U19" s="326"/>
      <c r="V19" s="332"/>
      <c r="W19" s="328" t="str">
        <f>IFERROR(VLOOKUP(V19, Tarieven!$A$1:$J$150, 10, FALSE), "0")</f>
        <v>0</v>
      </c>
      <c r="X19" s="366"/>
      <c r="Y19" s="332"/>
      <c r="Z19" s="348" t="str">
        <f>IFERROR(VLOOKUP(Y19, Tarieven[#ALL], 10, FALSE), "0")</f>
        <v>0</v>
      </c>
      <c r="AA19" s="366"/>
      <c r="AB19" s="332"/>
      <c r="AC19" s="348" t="str">
        <f>IFERROR(VLOOKUP(AB19, Tarieven[#ALL], 10, FALSE), "0")</f>
        <v>0</v>
      </c>
      <c r="AD19" s="329">
        <f t="shared" si="1"/>
        <v>11</v>
      </c>
      <c r="AE19" s="349"/>
      <c r="AF19" s="32">
        <f t="shared" si="3"/>
        <v>3060.166667</v>
      </c>
      <c r="AG19" s="350">
        <f t="shared" si="5"/>
        <v>22</v>
      </c>
    </row>
    <row r="20" ht="22.5" customHeight="1">
      <c r="A20" s="335" t="str">
        <f>Rooster!A21</f>
        <v>Woensdag</v>
      </c>
      <c r="B20" s="315">
        <f>Rooster!B21</f>
        <v>0.6875</v>
      </c>
      <c r="C20" s="316">
        <f>Rooster!C21</f>
        <v>60</v>
      </c>
      <c r="D20" s="317" t="str">
        <f>Rooster!D21</f>
        <v>Modern 11+</v>
      </c>
      <c r="E20" s="351"/>
      <c r="F20" s="125" t="str">
        <f>Rooster!E21</f>
        <v>Julia</v>
      </c>
      <c r="G20" s="337">
        <f>IFERROR(VLOOKUP(F20, Docenten!$A$2:$G$30, 7, FALSE), "0")</f>
        <v>15</v>
      </c>
      <c r="H20" s="338">
        <f t="shared" si="6"/>
        <v>15</v>
      </c>
      <c r="I20" s="125" t="str">
        <f>Rooster!H21</f>
        <v>Santpoort Noord</v>
      </c>
      <c r="J20" s="339">
        <f>IFERROR(VLOOKUP(I20, Locaties!$A$2:$G$15, 7, FALSE), "0")</f>
        <v>14.2</v>
      </c>
      <c r="K20" s="340">
        <f t="shared" si="7"/>
        <v>14.2</v>
      </c>
      <c r="L20" s="352">
        <v>4.0</v>
      </c>
      <c r="M20" s="96" t="s">
        <v>57</v>
      </c>
      <c r="N20" s="342">
        <f>IFERROR(VLOOKUP(M20, Tarieven!$A$1:$J$150, 10, FALSE), "0")</f>
        <v>279</v>
      </c>
      <c r="O20" s="379">
        <v>1.0</v>
      </c>
      <c r="P20" s="380" t="s">
        <v>84</v>
      </c>
      <c r="Q20" s="364">
        <f>IFERROR(VLOOKUP(P20, Tarieven!$A$1:$J$150, 10, FALSE), "0")</f>
        <v>289.5</v>
      </c>
      <c r="R20" s="362">
        <v>4.0</v>
      </c>
      <c r="S20" s="363" t="s">
        <v>96</v>
      </c>
      <c r="T20" s="364">
        <f>IFERROR(VLOOKUP(S20, Tarieven!$A$1:$J$150, 10, FALSE), "0")</f>
        <v>235</v>
      </c>
      <c r="U20" s="359"/>
      <c r="V20" s="363"/>
      <c r="W20" s="328" t="str">
        <f>IFERROR(VLOOKUP(V20, Tarieven!$A$1:$J$150, 10, FALSE), "0")</f>
        <v>0</v>
      </c>
      <c r="X20" s="385"/>
      <c r="Y20" s="363"/>
      <c r="Z20" s="348" t="str">
        <f>IFERROR(VLOOKUP(Y20, Tarieven[#ALL], 10, FALSE), "0")</f>
        <v>0</v>
      </c>
      <c r="AA20" s="366"/>
      <c r="AB20" s="363"/>
      <c r="AC20" s="348" t="str">
        <f>IFERROR(VLOOKUP(AB20, Tarieven[#ALL], 10, FALSE), "0")</f>
        <v>0</v>
      </c>
      <c r="AD20" s="329">
        <f t="shared" si="1"/>
        <v>9</v>
      </c>
      <c r="AE20" s="367"/>
      <c r="AF20" s="32">
        <f t="shared" si="3"/>
        <v>2345.5</v>
      </c>
      <c r="AG20" s="350">
        <f t="shared" si="5"/>
        <v>18</v>
      </c>
    </row>
    <row r="21" ht="22.5" customHeight="1">
      <c r="A21" s="335" t="str">
        <f>Rooster!A22</f>
        <v>Woensdag</v>
      </c>
      <c r="B21" s="315">
        <f>Rooster!B22</f>
        <v>0.7291666667</v>
      </c>
      <c r="C21" s="316">
        <f>Rooster!C22</f>
        <v>60</v>
      </c>
      <c r="D21" s="317" t="str">
        <f>Rooster!D22</f>
        <v>Selectie Hiphop 11+</v>
      </c>
      <c r="E21" s="336"/>
      <c r="F21" s="113" t="str">
        <f>Rooster!E22</f>
        <v>Eigenaar</v>
      </c>
      <c r="G21" s="337">
        <f>IFERROR(VLOOKUP(F21, Docenten!$A$2:$G$30, 7, FALSE), "0")</f>
        <v>0</v>
      </c>
      <c r="H21" s="338">
        <f t="shared" si="6"/>
        <v>0</v>
      </c>
      <c r="I21" s="113" t="str">
        <f>Rooster!H22</f>
        <v>Santpoort Noord</v>
      </c>
      <c r="J21" s="339">
        <f>IFERROR(VLOOKUP(I21, Locaties!$A$2:$G$15, 7, FALSE), "0")</f>
        <v>14.2</v>
      </c>
      <c r="K21" s="340">
        <f t="shared" si="7"/>
        <v>14.2</v>
      </c>
      <c r="L21" s="341">
        <v>5.0</v>
      </c>
      <c r="M21" s="106" t="s">
        <v>57</v>
      </c>
      <c r="N21" s="342">
        <f>IFERROR(VLOOKUP(M21, Tarieven!$A$1:$J$150, 10, FALSE), "0")</f>
        <v>279</v>
      </c>
      <c r="O21" s="368">
        <v>2.0</v>
      </c>
      <c r="P21" s="377" t="s">
        <v>88</v>
      </c>
      <c r="Q21" s="345">
        <f>IFERROR(VLOOKUP(P21, Tarieven!$A$1:$J$150, 10, FALSE), "0")</f>
        <v>308.5</v>
      </c>
      <c r="R21" s="346">
        <v>1.0</v>
      </c>
      <c r="S21" s="357" t="s">
        <v>91</v>
      </c>
      <c r="T21" s="345">
        <f>IFERROR(VLOOKUP(S21, Tarieven!$A$1:$J$150, 10, FALSE), "0")</f>
        <v>298.6666667</v>
      </c>
      <c r="U21" s="355">
        <v>3.0</v>
      </c>
      <c r="V21" s="357" t="s">
        <v>96</v>
      </c>
      <c r="W21" s="328">
        <f>IFERROR(VLOOKUP(V21, Tarieven!$A$1:$J$150, 10, FALSE), "0")</f>
        <v>235</v>
      </c>
      <c r="X21" s="347"/>
      <c r="Y21" s="357"/>
      <c r="Z21" s="348" t="str">
        <f>IFERROR(VLOOKUP(Y21, Tarieven[#ALL], 10, FALSE), "0")</f>
        <v>0</v>
      </c>
      <c r="AA21" s="347"/>
      <c r="AB21" s="357"/>
      <c r="AC21" s="348" t="str">
        <f>IFERROR(VLOOKUP(AB21, Tarieven[#ALL], 10, FALSE), "0")</f>
        <v>0</v>
      </c>
      <c r="AD21" s="329">
        <f t="shared" si="1"/>
        <v>11</v>
      </c>
      <c r="AE21" s="375" t="s">
        <v>88</v>
      </c>
      <c r="AF21" s="32">
        <f t="shared" si="3"/>
        <v>3015.666667</v>
      </c>
      <c r="AG21" s="350">
        <f t="shared" si="5"/>
        <v>19</v>
      </c>
    </row>
    <row r="22" ht="22.5" customHeight="1">
      <c r="A22" s="335" t="str">
        <f>Rooster!A23</f>
        <v>Woensdag</v>
      </c>
      <c r="B22" s="315">
        <f>Rooster!B23</f>
        <v>0.7708333333</v>
      </c>
      <c r="C22" s="316">
        <f>Rooster!C23</f>
        <v>60</v>
      </c>
      <c r="D22" s="317" t="str">
        <f>Rooster!D23</f>
        <v>Show 12+</v>
      </c>
      <c r="E22" s="351"/>
      <c r="F22" s="125" t="str">
        <f>Rooster!E23</f>
        <v>Eigenaar</v>
      </c>
      <c r="G22" s="337">
        <f>IFERROR(VLOOKUP(F22, Docenten!$A$2:$G$30, 7, FALSE), "0")</f>
        <v>0</v>
      </c>
      <c r="H22" s="338">
        <f t="shared" si="6"/>
        <v>0</v>
      </c>
      <c r="I22" s="125" t="str">
        <f>Rooster!H23</f>
        <v>Santpoort Noord</v>
      </c>
      <c r="J22" s="339">
        <f>IFERROR(VLOOKUP(I22, Locaties!$A$2:$G$15, 7, FALSE), "0")</f>
        <v>14.2</v>
      </c>
      <c r="K22" s="340">
        <f t="shared" si="7"/>
        <v>14.2</v>
      </c>
      <c r="L22" s="352">
        <v>1.0</v>
      </c>
      <c r="M22" s="96" t="s">
        <v>88</v>
      </c>
      <c r="N22" s="342">
        <f>IFERROR(VLOOKUP(M22, Tarieven!$A$1:$J$150, 10, FALSE), "0")</f>
        <v>308.5</v>
      </c>
      <c r="O22" s="360">
        <v>3.0</v>
      </c>
      <c r="P22" s="353" t="s">
        <v>48</v>
      </c>
      <c r="Q22" s="345">
        <f>IFERROR(VLOOKUP(P22, Tarieven!$A$1:$J$150, 10, FALSE), "0")</f>
        <v>279</v>
      </c>
      <c r="R22" s="382">
        <v>1.0</v>
      </c>
      <c r="S22" s="361" t="s">
        <v>68</v>
      </c>
      <c r="T22" s="345">
        <f>IFERROR(VLOOKUP(S22, Tarieven!$A$1:$J$150, 10, FALSE), "0")</f>
        <v>279</v>
      </c>
      <c r="U22" s="359">
        <v>3.0</v>
      </c>
      <c r="V22" s="361" t="s">
        <v>96</v>
      </c>
      <c r="W22" s="328">
        <f>IFERROR(VLOOKUP(V22, Tarieven!$A$1:$J$150, 10, FALSE), "0")</f>
        <v>235</v>
      </c>
      <c r="X22" s="355">
        <v>1.0</v>
      </c>
      <c r="Y22" s="361" t="s">
        <v>153</v>
      </c>
      <c r="Z22" s="348">
        <f>IFERROR(VLOOKUP(Y22, Tarieven[#ALL], 10, FALSE), "0")</f>
        <v>286.75</v>
      </c>
      <c r="AA22" s="347"/>
      <c r="AB22" s="361"/>
      <c r="AC22" s="348" t="str">
        <f>IFERROR(VLOOKUP(AB22, Tarieven[#ALL], 10, FALSE), "0")</f>
        <v>0</v>
      </c>
      <c r="AD22" s="329">
        <f t="shared" si="1"/>
        <v>9</v>
      </c>
      <c r="AE22" s="383" t="s">
        <v>57</v>
      </c>
      <c r="AF22" s="32">
        <f t="shared" si="3"/>
        <v>2416.25</v>
      </c>
      <c r="AG22" s="350">
        <f t="shared" si="5"/>
        <v>14</v>
      </c>
    </row>
    <row r="23" ht="22.5" customHeight="1">
      <c r="A23" s="335" t="str">
        <f>Rooster!A24</f>
        <v/>
      </c>
      <c r="B23" s="315" t="str">
        <f>Rooster!B24</f>
        <v/>
      </c>
      <c r="C23" s="316" t="str">
        <f>Rooster!C24</f>
        <v/>
      </c>
      <c r="D23" s="317" t="str">
        <f>Rooster!D24</f>
        <v/>
      </c>
      <c r="E23" s="336"/>
      <c r="F23" s="113" t="str">
        <f>Rooster!E24</f>
        <v/>
      </c>
      <c r="G23" s="337" t="str">
        <f>IFERROR(VLOOKUP(F23, Docenten!$A$2:$G$30, 7, FALSE), "0")</f>
        <v>0</v>
      </c>
      <c r="H23" s="338">
        <f t="shared" si="6"/>
        <v>0</v>
      </c>
      <c r="I23" s="113" t="str">
        <f>Rooster!H24</f>
        <v/>
      </c>
      <c r="J23" s="339" t="str">
        <f>IFERROR(VLOOKUP(I23, Locaties!$A$2:$G$15, 7, FALSE), "0")</f>
        <v>0</v>
      </c>
      <c r="K23" s="340">
        <f t="shared" si="7"/>
        <v>0</v>
      </c>
      <c r="L23" s="341"/>
      <c r="M23" s="106"/>
      <c r="N23" s="342" t="str">
        <f>IFERROR(VLOOKUP(M23, Tarieven!$A$1:$J$150, 10, FALSE), "0")</f>
        <v>0</v>
      </c>
      <c r="O23" s="386"/>
      <c r="P23" s="387"/>
      <c r="Q23" s="364" t="str">
        <f>IFERROR(VLOOKUP(P23, Tarieven!$A$1:$J$150, 10, FALSE), "0")</f>
        <v>0</v>
      </c>
      <c r="R23" s="388"/>
      <c r="S23" s="332"/>
      <c r="T23" s="364" t="str">
        <f>IFERROR(VLOOKUP(S23, Tarieven!$A$1:$J$150, 10, FALSE), "0")</f>
        <v>0</v>
      </c>
      <c r="U23" s="326"/>
      <c r="V23" s="332"/>
      <c r="W23" s="328" t="str">
        <f>IFERROR(VLOOKUP(V23, Tarieven!$A$1:$J$150, 10, FALSE), "0")</f>
        <v>0</v>
      </c>
      <c r="X23" s="366"/>
      <c r="Y23" s="332"/>
      <c r="Z23" s="348" t="str">
        <f>IFERROR(VLOOKUP(Y23, Tarieven[#ALL], 10, FALSE), "0")</f>
        <v>0</v>
      </c>
      <c r="AA23" s="366"/>
      <c r="AB23" s="332"/>
      <c r="AC23" s="348" t="str">
        <f>IFERROR(VLOOKUP(AB23, Tarieven[#ALL], 10, FALSE), "0")</f>
        <v>0</v>
      </c>
      <c r="AD23" s="329">
        <f t="shared" si="1"/>
        <v>0</v>
      </c>
      <c r="AE23" s="349"/>
      <c r="AF23" s="32">
        <f t="shared" si="3"/>
        <v>0</v>
      </c>
      <c r="AG23" s="350">
        <f t="shared" si="5"/>
        <v>0</v>
      </c>
    </row>
    <row r="24" ht="22.5" customHeight="1">
      <c r="A24" s="335" t="str">
        <f>Rooster!A25</f>
        <v>Donderdag</v>
      </c>
      <c r="B24" s="315">
        <f>Rooster!B25</f>
        <v>0.6458333333</v>
      </c>
      <c r="C24" s="316">
        <f>Rooster!C25</f>
        <v>60</v>
      </c>
      <c r="D24" s="317" t="str">
        <f>Rooster!D25</f>
        <v>Showdance 6+</v>
      </c>
      <c r="E24" s="351"/>
      <c r="F24" s="125" t="str">
        <f>Rooster!E25</f>
        <v>Eigenaar</v>
      </c>
      <c r="G24" s="337">
        <f>IFERROR(VLOOKUP(F24, Docenten!$A$2:$G$30, 7, FALSE), "0")</f>
        <v>0</v>
      </c>
      <c r="H24" s="338">
        <f t="shared" si="6"/>
        <v>0</v>
      </c>
      <c r="I24" s="125" t="str">
        <f>Rooster!H25</f>
        <v>Santpoort Zuid</v>
      </c>
      <c r="J24" s="339">
        <f>IFERROR(VLOOKUP(I24, Locaties!$A$2:$G$15, 7, FALSE), "0")</f>
        <v>18.9</v>
      </c>
      <c r="K24" s="340">
        <f t="shared" si="7"/>
        <v>18.9</v>
      </c>
      <c r="L24" s="352">
        <v>4.0</v>
      </c>
      <c r="M24" s="96" t="s">
        <v>48</v>
      </c>
      <c r="N24" s="342">
        <f>IFERROR(VLOOKUP(M24, Tarieven!$A$1:$J$150, 10, FALSE), "0")</f>
        <v>279</v>
      </c>
      <c r="O24" s="389"/>
      <c r="P24" s="390"/>
      <c r="Q24" s="364" t="str">
        <f>IFERROR(VLOOKUP(P24, Tarieven!$A$1:$J$150, 10, FALSE), "0")</f>
        <v>0</v>
      </c>
      <c r="R24" s="391"/>
      <c r="S24" s="372"/>
      <c r="T24" s="364" t="str">
        <f>IFERROR(VLOOKUP(S24, Tarieven!$A$1:$J$150, 10, FALSE), "0")</f>
        <v>0</v>
      </c>
      <c r="U24" s="326"/>
      <c r="V24" s="372"/>
      <c r="W24" s="328" t="str">
        <f>IFERROR(VLOOKUP(V24, Tarieven!$A$1:$J$150, 10, FALSE), "0")</f>
        <v>0</v>
      </c>
      <c r="X24" s="366"/>
      <c r="Y24" s="372"/>
      <c r="Z24" s="348" t="str">
        <f>IFERROR(VLOOKUP(Y24, Tarieven[#ALL], 10, FALSE), "0")</f>
        <v>0</v>
      </c>
      <c r="AA24" s="366"/>
      <c r="AB24" s="372"/>
      <c r="AC24" s="348" t="str">
        <f>IFERROR(VLOOKUP(AB24, Tarieven[#ALL], 10, FALSE), "0")</f>
        <v>0</v>
      </c>
      <c r="AD24" s="329">
        <f t="shared" si="1"/>
        <v>4</v>
      </c>
      <c r="AE24" s="367"/>
      <c r="AF24" s="32">
        <f t="shared" si="3"/>
        <v>1116</v>
      </c>
      <c r="AG24" s="350">
        <f t="shared" si="5"/>
        <v>8</v>
      </c>
    </row>
    <row r="25" ht="22.5" customHeight="1">
      <c r="A25" s="335" t="str">
        <f>Rooster!A26</f>
        <v>Donderdag</v>
      </c>
      <c r="B25" s="315">
        <f>Rooster!B26</f>
        <v>0.6875</v>
      </c>
      <c r="C25" s="316">
        <f>Rooster!C26</f>
        <v>60</v>
      </c>
      <c r="D25" s="317" t="str">
        <f>Rooster!D26</f>
        <v>Showdance 8+</v>
      </c>
      <c r="E25" s="336"/>
      <c r="F25" s="113" t="str">
        <f>Rooster!E26</f>
        <v>Eigenaar</v>
      </c>
      <c r="G25" s="337">
        <f>IFERROR(VLOOKUP(F25, Docenten!$A$2:$G$30, 7, FALSE), "0")</f>
        <v>0</v>
      </c>
      <c r="H25" s="338">
        <f t="shared" si="6"/>
        <v>0</v>
      </c>
      <c r="I25" s="113" t="str">
        <f>Rooster!H26</f>
        <v>Santpoort Zuid</v>
      </c>
      <c r="J25" s="339">
        <f>IFERROR(VLOOKUP(I25, Locaties!$A$2:$G$15, 7, FALSE), "0")</f>
        <v>18.9</v>
      </c>
      <c r="K25" s="340">
        <f t="shared" si="7"/>
        <v>18.9</v>
      </c>
      <c r="L25" s="341"/>
      <c r="M25" s="106" t="s">
        <v>48</v>
      </c>
      <c r="N25" s="342">
        <f>IFERROR(VLOOKUP(M25, Tarieven!$A$1:$J$150, 10, FALSE), "0")</f>
        <v>279</v>
      </c>
      <c r="O25" s="369">
        <v>3.0</v>
      </c>
      <c r="P25" s="370" t="s">
        <v>57</v>
      </c>
      <c r="Q25" s="364">
        <f>IFERROR(VLOOKUP(P25, Tarieven!$A$1:$J$150, 10, FALSE), "0")</f>
        <v>279</v>
      </c>
      <c r="R25" s="371">
        <v>1.0</v>
      </c>
      <c r="S25" s="324" t="s">
        <v>139</v>
      </c>
      <c r="T25" s="364">
        <f>IFERROR(VLOOKUP(S25, Tarieven!$A$1:$J$150, 10, FALSE), "0")</f>
        <v>270.1666667</v>
      </c>
      <c r="U25" s="347"/>
      <c r="V25" s="332"/>
      <c r="W25" s="328" t="str">
        <f>IFERROR(VLOOKUP(V25, Tarieven!$A$1:$J$150, 10, FALSE), "0")</f>
        <v>0</v>
      </c>
      <c r="X25" s="366"/>
      <c r="Y25" s="332"/>
      <c r="Z25" s="348" t="str">
        <f>IFERROR(VLOOKUP(Y25, Tarieven[#ALL], 10, FALSE), "0")</f>
        <v>0</v>
      </c>
      <c r="AA25" s="366"/>
      <c r="AB25" s="332"/>
      <c r="AC25" s="348" t="str">
        <f>IFERROR(VLOOKUP(AB25, Tarieven[#ALL], 10, FALSE), "0")</f>
        <v>0</v>
      </c>
      <c r="AD25" s="329">
        <f t="shared" si="1"/>
        <v>4</v>
      </c>
      <c r="AE25" s="349"/>
      <c r="AF25" s="32">
        <f t="shared" si="3"/>
        <v>1107.166667</v>
      </c>
      <c r="AG25" s="350">
        <f t="shared" si="5"/>
        <v>8</v>
      </c>
    </row>
    <row r="26" ht="22.5" customHeight="1">
      <c r="A26" s="335" t="str">
        <f>Rooster!A27</f>
        <v>Donderdag</v>
      </c>
      <c r="B26" s="315">
        <f>Rooster!B27</f>
        <v>0.7291666667</v>
      </c>
      <c r="C26" s="316">
        <f>Rooster!C27</f>
        <v>60</v>
      </c>
      <c r="D26" s="317" t="str">
        <f>Rooster!D27</f>
        <v>Modern 14+</v>
      </c>
      <c r="E26" s="351"/>
      <c r="F26" s="125" t="str">
        <f>Rooster!E27</f>
        <v>Eigenaar</v>
      </c>
      <c r="G26" s="337">
        <f>IFERROR(VLOOKUP(F26, Docenten!$A$2:$G$30, 7, FALSE), "0")</f>
        <v>0</v>
      </c>
      <c r="H26" s="338">
        <f t="shared" si="6"/>
        <v>0</v>
      </c>
      <c r="I26" s="125" t="str">
        <f>Rooster!H27</f>
        <v>Santpoort Zuid</v>
      </c>
      <c r="J26" s="339">
        <f>IFERROR(VLOOKUP(I26, Locaties!$A$2:$G$15, 7, FALSE), "0")</f>
        <v>18.9</v>
      </c>
      <c r="K26" s="340">
        <f t="shared" si="7"/>
        <v>18.9</v>
      </c>
      <c r="L26" s="352">
        <v>2.0</v>
      </c>
      <c r="M26" s="96" t="s">
        <v>68</v>
      </c>
      <c r="N26" s="342">
        <f>IFERROR(VLOOKUP(M26, Tarieven!$A$1:$J$150, 10, FALSE), "0")</f>
        <v>279</v>
      </c>
      <c r="O26" s="360"/>
      <c r="P26" s="353"/>
      <c r="Q26" s="345" t="str">
        <f>IFERROR(VLOOKUP(P26, Tarieven!$A$1:$J$150, 10, FALSE), "0")</f>
        <v>0</v>
      </c>
      <c r="R26" s="362">
        <v>2.0</v>
      </c>
      <c r="S26" s="363" t="s">
        <v>74</v>
      </c>
      <c r="T26" s="364">
        <f>IFERROR(VLOOKUP(S26, Tarieven!$A$1:$J$150, 10, FALSE), "0")</f>
        <v>263.625</v>
      </c>
      <c r="U26" s="359">
        <v>2.0</v>
      </c>
      <c r="V26" s="363" t="s">
        <v>48</v>
      </c>
      <c r="W26" s="328">
        <f>IFERROR(VLOOKUP(V26, Tarieven!$A$1:$J$150, 10, FALSE), "0")</f>
        <v>279</v>
      </c>
      <c r="X26" s="385">
        <v>1.0</v>
      </c>
      <c r="Y26" s="363" t="s">
        <v>96</v>
      </c>
      <c r="Z26" s="348">
        <f>IFERROR(VLOOKUP(Y26, Tarieven[#ALL], 10, FALSE), "0")</f>
        <v>235</v>
      </c>
      <c r="AA26" s="366"/>
      <c r="AB26" s="363"/>
      <c r="AC26" s="348" t="str">
        <f>IFERROR(VLOOKUP(AB26, Tarieven[#ALL], 10, FALSE), "0")</f>
        <v>0</v>
      </c>
      <c r="AD26" s="329">
        <f t="shared" si="1"/>
        <v>7</v>
      </c>
      <c r="AE26" s="367"/>
      <c r="AF26" s="32">
        <f t="shared" si="3"/>
        <v>1878.25</v>
      </c>
      <c r="AG26" s="350">
        <f t="shared" si="5"/>
        <v>11</v>
      </c>
    </row>
    <row r="27" ht="22.5" customHeight="1">
      <c r="A27" s="335" t="str">
        <f>Rooster!A28</f>
        <v>Donderdag</v>
      </c>
      <c r="B27" s="315">
        <f>Rooster!B28</f>
        <v>0.7708333333</v>
      </c>
      <c r="C27" s="316">
        <f>Rooster!C28</f>
        <v>60</v>
      </c>
      <c r="D27" s="317" t="str">
        <f>Rooster!D28</f>
        <v>Commercial 14+</v>
      </c>
      <c r="E27" s="336"/>
      <c r="F27" s="113" t="str">
        <f>Rooster!E28</f>
        <v>Nova</v>
      </c>
      <c r="G27" s="337">
        <f>IFERROR(VLOOKUP(F27, Docenten!$A$2:$G$30, 7, FALSE), "0")</f>
        <v>22.5</v>
      </c>
      <c r="H27" s="338">
        <f t="shared" si="6"/>
        <v>22.5</v>
      </c>
      <c r="I27" s="113" t="str">
        <f>Rooster!H28</f>
        <v>Santpoort Zuid</v>
      </c>
      <c r="J27" s="339">
        <f>IFERROR(VLOOKUP(I27, Locaties!$A$2:$G$15, 7, FALSE), "0")</f>
        <v>18.9</v>
      </c>
      <c r="K27" s="340">
        <f t="shared" si="7"/>
        <v>18.9</v>
      </c>
      <c r="L27" s="341">
        <v>1.0</v>
      </c>
      <c r="M27" s="106" t="s">
        <v>48</v>
      </c>
      <c r="N27" s="342">
        <f>IFERROR(VLOOKUP(M27, Tarieven!$A$1:$J$150, 10, FALSE), "0")</f>
        <v>279</v>
      </c>
      <c r="O27" s="368">
        <v>3.0</v>
      </c>
      <c r="P27" s="399" t="s">
        <v>74</v>
      </c>
      <c r="Q27" s="345">
        <f>IFERROR(VLOOKUP(P27, Tarieven!$A$1:$J$150, 10, FALSE), "0")</f>
        <v>263.625</v>
      </c>
      <c r="R27" s="371">
        <v>4.0</v>
      </c>
      <c r="S27" s="324" t="s">
        <v>68</v>
      </c>
      <c r="T27" s="364">
        <f>IFERROR(VLOOKUP(S27, Tarieven!$A$1:$J$150, 10, FALSE), "0")</f>
        <v>279</v>
      </c>
      <c r="U27" s="359">
        <v>1.0</v>
      </c>
      <c r="V27" s="324" t="s">
        <v>57</v>
      </c>
      <c r="W27" s="328">
        <f>IFERROR(VLOOKUP(V27, Tarieven!$A$1:$J$150, 10, FALSE), "0")</f>
        <v>279</v>
      </c>
      <c r="X27" s="385">
        <v>1.0</v>
      </c>
      <c r="Y27" s="324" t="s">
        <v>48</v>
      </c>
      <c r="Z27" s="348">
        <f>IFERROR(VLOOKUP(Y27, Tarieven[#ALL], 10, FALSE), "0")</f>
        <v>279</v>
      </c>
      <c r="AA27" s="366"/>
      <c r="AB27" s="324"/>
      <c r="AC27" s="348" t="str">
        <f>IFERROR(VLOOKUP(AB27, Tarieven[#ALL], 10, FALSE), "0")</f>
        <v>0</v>
      </c>
      <c r="AD27" s="329">
        <f t="shared" si="1"/>
        <v>10</v>
      </c>
      <c r="AE27" s="349"/>
      <c r="AF27" s="32">
        <f t="shared" si="3"/>
        <v>2743.875</v>
      </c>
      <c r="AG27" s="350">
        <f t="shared" si="5"/>
        <v>18</v>
      </c>
    </row>
    <row r="28" ht="22.5" customHeight="1">
      <c r="A28" s="335" t="str">
        <f>Rooster!A29</f>
        <v>Donderdag</v>
      </c>
      <c r="B28" s="315">
        <f>Rooster!B29</f>
        <v>0.8125</v>
      </c>
      <c r="C28" s="316">
        <f>Rooster!C29</f>
        <v>60</v>
      </c>
      <c r="D28" s="317" t="str">
        <f>Rooster!D29</f>
        <v>Selectie Hiphop 16+</v>
      </c>
      <c r="E28" s="351"/>
      <c r="F28" s="125" t="str">
        <f>Rooster!E29</f>
        <v>Nova</v>
      </c>
      <c r="G28" s="337">
        <f>IFERROR(VLOOKUP(F28, Docenten!$A$2:$G$30, 7, FALSE), "0")</f>
        <v>22.5</v>
      </c>
      <c r="H28" s="338">
        <f t="shared" si="6"/>
        <v>22.5</v>
      </c>
      <c r="I28" s="125" t="str">
        <f>Rooster!H29</f>
        <v>Santpoort Zuid</v>
      </c>
      <c r="J28" s="339">
        <f>IFERROR(VLOOKUP(I28, Locaties!$A$2:$G$15, 7, FALSE), "0")</f>
        <v>18.9</v>
      </c>
      <c r="K28" s="340">
        <f t="shared" si="7"/>
        <v>18.9</v>
      </c>
      <c r="L28" s="352">
        <v>2.0</v>
      </c>
      <c r="M28" s="96" t="s">
        <v>74</v>
      </c>
      <c r="N28" s="342">
        <f>IFERROR(VLOOKUP(M28, Tarieven!$A$1:$J$150, 10, FALSE), "0")</f>
        <v>263.625</v>
      </c>
      <c r="O28" s="352">
        <v>4.0</v>
      </c>
      <c r="P28" s="361" t="s">
        <v>68</v>
      </c>
      <c r="Q28" s="345">
        <f>IFERROR(VLOOKUP(P28, Tarieven!$A$1:$J$150, 10, FALSE), "0")</f>
        <v>279</v>
      </c>
      <c r="R28" s="362">
        <v>2.0</v>
      </c>
      <c r="S28" s="363" t="s">
        <v>57</v>
      </c>
      <c r="T28" s="364">
        <f>IFERROR(VLOOKUP(S28, Tarieven!$A$1:$J$150, 10, FALSE), "0")</f>
        <v>279</v>
      </c>
      <c r="U28" s="359"/>
      <c r="V28" s="363"/>
      <c r="W28" s="328" t="str">
        <f>IFERROR(VLOOKUP(V28, Tarieven!$A$1:$J$150, 10, FALSE), "0")</f>
        <v>0</v>
      </c>
      <c r="X28" s="366"/>
      <c r="Y28" s="363"/>
      <c r="Z28" s="348" t="str">
        <f>IFERROR(VLOOKUP(Y28, Tarieven[#ALL], 10, FALSE), "0")</f>
        <v>0</v>
      </c>
      <c r="AA28" s="366"/>
      <c r="AB28" s="363"/>
      <c r="AC28" s="348" t="str">
        <f>IFERROR(VLOOKUP(AB28, Tarieven[#ALL], 10, FALSE), "0")</f>
        <v>0</v>
      </c>
      <c r="AD28" s="329">
        <f t="shared" si="1"/>
        <v>8</v>
      </c>
      <c r="AE28" s="367"/>
      <c r="AF28" s="32">
        <f t="shared" si="3"/>
        <v>2201.25</v>
      </c>
      <c r="AG28" s="350">
        <f t="shared" si="5"/>
        <v>16</v>
      </c>
    </row>
    <row r="29" ht="22.5" customHeight="1">
      <c r="A29" s="400" t="str">
        <f>Rooster!A30</f>
        <v>Donderdag</v>
      </c>
      <c r="B29" s="401">
        <f>Rooster!B30</f>
        <v>0.8541666667</v>
      </c>
      <c r="C29" s="402">
        <f>Rooster!C30</f>
        <v>60</v>
      </c>
      <c r="D29" s="403" t="str">
        <f>Rooster!D30</f>
        <v>Modern 16+</v>
      </c>
      <c r="E29" s="336"/>
      <c r="F29" s="332" t="str">
        <f>Rooster!E30</f>
        <v>Nova</v>
      </c>
      <c r="G29" s="405">
        <f>IFERROR(VLOOKUP(F29, Docenten!$A$2:$G$30, 7, FALSE), "0")</f>
        <v>22.5</v>
      </c>
      <c r="H29" s="338">
        <f t="shared" si="6"/>
        <v>22.5</v>
      </c>
      <c r="I29" s="332" t="str">
        <f>Rooster!H30</f>
        <v>Santpoort Zuid</v>
      </c>
      <c r="J29" s="406">
        <f>IFERROR(VLOOKUP(I29, Locaties!$A$2:$G$15, 7, FALSE), "0")</f>
        <v>18.9</v>
      </c>
      <c r="K29" s="340">
        <f t="shared" si="7"/>
        <v>18.9</v>
      </c>
      <c r="L29" s="369">
        <v>4.0</v>
      </c>
      <c r="M29" s="324" t="s">
        <v>74</v>
      </c>
      <c r="N29" s="407">
        <f>IFERROR(VLOOKUP(M29, Tarieven!$A$1:$J$150, 10, FALSE), "0")</f>
        <v>263.625</v>
      </c>
      <c r="O29" s="369">
        <v>1.0</v>
      </c>
      <c r="P29" s="324" t="s">
        <v>57</v>
      </c>
      <c r="Q29" s="364">
        <f>IFERROR(VLOOKUP(P29, Tarieven!$A$1:$J$150, 10, FALSE), "0")</f>
        <v>279</v>
      </c>
      <c r="R29" s="371"/>
      <c r="S29" s="324"/>
      <c r="T29" s="364" t="str">
        <f>IFERROR(VLOOKUP(S29, Tarieven!$A$1:$J$150, 10, FALSE), "0")</f>
        <v>0</v>
      </c>
      <c r="U29" s="347"/>
      <c r="V29" s="381"/>
      <c r="W29" s="328" t="str">
        <f>IFERROR(VLOOKUP(V29, Tarieven!$A$1:$J$150, 10, FALSE), "0")</f>
        <v>0</v>
      </c>
      <c r="X29" s="366"/>
      <c r="Y29" s="324"/>
      <c r="Z29" s="348" t="str">
        <f>IFERROR(VLOOKUP(Y29, Tarieven[#ALL], 10, FALSE), "0")</f>
        <v>0</v>
      </c>
      <c r="AA29" s="366"/>
      <c r="AB29" s="324"/>
      <c r="AC29" s="348" t="str">
        <f>IFERROR(VLOOKUP(AB29, Tarieven[#ALL], 10, FALSE), "0")</f>
        <v>0</v>
      </c>
      <c r="AD29" s="329">
        <f t="shared" si="1"/>
        <v>5</v>
      </c>
      <c r="AE29" s="349"/>
      <c r="AF29" s="32">
        <f t="shared" si="3"/>
        <v>1333.5</v>
      </c>
      <c r="AG29" s="350">
        <f t="shared" si="5"/>
        <v>10</v>
      </c>
    </row>
    <row r="30" ht="22.5" customHeight="1">
      <c r="A30" s="400" t="str">
        <f>Rooster!A31</f>
        <v>Vrijdag</v>
      </c>
      <c r="B30" s="401">
        <f>Rooster!B31</f>
        <v>0.625</v>
      </c>
      <c r="C30" s="402">
        <f>Rooster!C31</f>
        <v>60</v>
      </c>
      <c r="D30" s="403" t="str">
        <f>Rooster!D31</f>
        <v>Selectie Hiphop 8+</v>
      </c>
      <c r="E30" s="351"/>
      <c r="F30" s="372" t="str">
        <f>Rooster!E31</f>
        <v>Eigenaar</v>
      </c>
      <c r="G30" s="405">
        <f>IFERROR(VLOOKUP(F30, Docenten!$A$2:$G$30, 7, FALSE), "0")</f>
        <v>0</v>
      </c>
      <c r="H30" s="338">
        <f t="shared" si="6"/>
        <v>0</v>
      </c>
      <c r="I30" s="372" t="str">
        <f>Rooster!H31</f>
        <v>Santpoort Zuid</v>
      </c>
      <c r="J30" s="406">
        <f>IFERROR(VLOOKUP(I30, Locaties!$A$2:$G$15, 7, FALSE), "0")</f>
        <v>18.9</v>
      </c>
      <c r="K30" s="340">
        <f t="shared" si="7"/>
        <v>18.9</v>
      </c>
      <c r="L30" s="379"/>
      <c r="M30" s="363"/>
      <c r="N30" s="407" t="str">
        <f>IFERROR(VLOOKUP(M30, Tarieven!$A$1:$J$150, 10, FALSE), "0")</f>
        <v>0</v>
      </c>
      <c r="O30" s="379">
        <v>3.0</v>
      </c>
      <c r="P30" s="363" t="s">
        <v>139</v>
      </c>
      <c r="Q30" s="364">
        <f>IFERROR(VLOOKUP(P30, Tarieven!$A$1:$J$150, 10, FALSE), "0")</f>
        <v>270.1666667</v>
      </c>
      <c r="R30" s="362">
        <v>1.0</v>
      </c>
      <c r="S30" s="363" t="s">
        <v>57</v>
      </c>
      <c r="T30" s="364">
        <f>IFERROR(VLOOKUP(S30, Tarieven!$A$1:$J$150, 10, FALSE), "0")</f>
        <v>279</v>
      </c>
      <c r="U30" s="326"/>
      <c r="V30" s="365"/>
      <c r="W30" s="328" t="str">
        <f>IFERROR(VLOOKUP(V30, Tarieven!$A$1:$J$150, 10, FALSE), "0")</f>
        <v>0</v>
      </c>
      <c r="X30" s="366"/>
      <c r="Y30" s="363"/>
      <c r="Z30" s="348" t="str">
        <f>IFERROR(VLOOKUP(Y30, Tarieven[#ALL], 10, FALSE), "0")</f>
        <v>0</v>
      </c>
      <c r="AA30" s="366"/>
      <c r="AB30" s="363"/>
      <c r="AC30" s="348" t="str">
        <f>IFERROR(VLOOKUP(AB30, Tarieven[#ALL], 10, FALSE), "0")</f>
        <v>0</v>
      </c>
      <c r="AD30" s="329">
        <f t="shared" si="1"/>
        <v>4</v>
      </c>
      <c r="AE30" s="367"/>
      <c r="AF30" s="32">
        <f t="shared" si="3"/>
        <v>1089.5</v>
      </c>
      <c r="AG30" s="350">
        <f t="shared" si="5"/>
        <v>8</v>
      </c>
    </row>
    <row r="31" ht="22.5" customHeight="1">
      <c r="A31" s="400" t="str">
        <f>Rooster!A32</f>
        <v>Vrijdag</v>
      </c>
      <c r="B31" s="401">
        <f>Rooster!B32</f>
        <v>0.6666666667</v>
      </c>
      <c r="C31" s="402">
        <f>Rooster!C32</f>
        <v>60</v>
      </c>
      <c r="D31" s="403" t="str">
        <f>Rooster!D32</f>
        <v>Cheer 8+</v>
      </c>
      <c r="E31" s="336"/>
      <c r="F31" s="332" t="str">
        <f>Rooster!E32</f>
        <v>Eigenaar</v>
      </c>
      <c r="G31" s="405">
        <f>IFERROR(VLOOKUP(F31, Docenten!$A$2:$G$30, 7, FALSE), "0")</f>
        <v>0</v>
      </c>
      <c r="H31" s="338">
        <f t="shared" si="6"/>
        <v>0</v>
      </c>
      <c r="I31" s="332" t="str">
        <f>Rooster!H32</f>
        <v>Santpoort Zuid</v>
      </c>
      <c r="J31" s="406">
        <f>IFERROR(VLOOKUP(I31, Locaties!$A$2:$G$15, 7, FALSE), "0")</f>
        <v>18.9</v>
      </c>
      <c r="K31" s="340">
        <f t="shared" si="7"/>
        <v>18.9</v>
      </c>
      <c r="L31" s="369">
        <v>2.0</v>
      </c>
      <c r="M31" s="324" t="s">
        <v>84</v>
      </c>
      <c r="N31" s="407">
        <f>IFERROR(VLOOKUP(M31, Tarieven!$A$1:$J$150, 10, FALSE), "0")</f>
        <v>289.5</v>
      </c>
      <c r="O31" s="369">
        <v>6.0</v>
      </c>
      <c r="P31" s="324" t="s">
        <v>139</v>
      </c>
      <c r="Q31" s="364">
        <f>IFERROR(VLOOKUP(P31, Tarieven!$A$1:$J$150, 10, FALSE), "0")</f>
        <v>270.1666667</v>
      </c>
      <c r="R31" s="371">
        <v>3.0</v>
      </c>
      <c r="S31" s="324" t="s">
        <v>81</v>
      </c>
      <c r="T31" s="364">
        <f>IFERROR(VLOOKUP(S31, Tarieven!$A$1:$J$150, 10, FALSE), "0")</f>
        <v>300</v>
      </c>
      <c r="U31" s="326"/>
      <c r="V31" s="381"/>
      <c r="W31" s="328" t="str">
        <f>IFERROR(VLOOKUP(V31, Tarieven!$A$1:$J$150, 10, FALSE), "0")</f>
        <v>0</v>
      </c>
      <c r="X31" s="366"/>
      <c r="Y31" s="324"/>
      <c r="Z31" s="348" t="str">
        <f>IFERROR(VLOOKUP(Y31, Tarieven[#ALL], 10, FALSE), "0")</f>
        <v>0</v>
      </c>
      <c r="AA31" s="366"/>
      <c r="AB31" s="324"/>
      <c r="AC31" s="348" t="str">
        <f>IFERROR(VLOOKUP(AB31, Tarieven[#ALL], 10, FALSE), "0")</f>
        <v>0</v>
      </c>
      <c r="AD31" s="329">
        <f t="shared" si="1"/>
        <v>11</v>
      </c>
      <c r="AE31" s="349"/>
      <c r="AF31" s="32">
        <f t="shared" si="3"/>
        <v>3100</v>
      </c>
      <c r="AG31" s="350">
        <f t="shared" si="5"/>
        <v>22</v>
      </c>
    </row>
    <row r="32" ht="22.5" customHeight="1">
      <c r="A32" s="335" t="str">
        <f>Rooster!A33</f>
        <v>Vrijdag</v>
      </c>
      <c r="B32" s="315">
        <f>Rooster!B33</f>
        <v>0.7083333333</v>
      </c>
      <c r="C32" s="316">
        <f>Rooster!C33</f>
        <v>60</v>
      </c>
      <c r="D32" s="317" t="str">
        <f>Rooster!D33</f>
        <v>Cheer 12+</v>
      </c>
      <c r="E32" s="351"/>
      <c r="F32" s="125" t="str">
        <f>Rooster!E33</f>
        <v>Eigenaar</v>
      </c>
      <c r="G32" s="337">
        <f>IFERROR(VLOOKUP(F32, Docenten!$A$2:$G$30, 7, FALSE), "0")</f>
        <v>0</v>
      </c>
      <c r="H32" s="338">
        <f t="shared" si="6"/>
        <v>0</v>
      </c>
      <c r="I32" s="125" t="str">
        <f>Rooster!H33</f>
        <v>Santpoort Zuid</v>
      </c>
      <c r="J32" s="339">
        <f>IFERROR(VLOOKUP(I32, Locaties!$A$2:$G$15, 7, FALSE), "0")</f>
        <v>18.9</v>
      </c>
      <c r="K32" s="340">
        <f t="shared" si="7"/>
        <v>18.9</v>
      </c>
      <c r="L32" s="379">
        <v>2.0</v>
      </c>
      <c r="M32" s="363" t="s">
        <v>84</v>
      </c>
      <c r="N32" s="407">
        <f>IFERROR(VLOOKUP(M32, Tarieven!$A$1:$J$150, 10, FALSE), "0")</f>
        <v>289.5</v>
      </c>
      <c r="O32" s="379">
        <v>1.0</v>
      </c>
      <c r="P32" s="363" t="s">
        <v>153</v>
      </c>
      <c r="Q32" s="364">
        <f>IFERROR(VLOOKUP(P32, Tarieven!$A$1:$J$150, 10, FALSE), "0")</f>
        <v>286.75</v>
      </c>
      <c r="R32" s="362">
        <v>1.0</v>
      </c>
      <c r="S32" s="363" t="s">
        <v>96</v>
      </c>
      <c r="T32" s="364"/>
      <c r="U32" s="359">
        <v>1.0</v>
      </c>
      <c r="V32" s="363" t="s">
        <v>38</v>
      </c>
      <c r="W32" s="328">
        <f>IFERROR(VLOOKUP(V32, Tarieven!$A$1:$J$150, 10, FALSE), "0")</f>
        <v>0</v>
      </c>
      <c r="X32" s="366"/>
      <c r="Y32" s="372"/>
      <c r="Z32" s="348" t="str">
        <f>IFERROR(VLOOKUP(Y32, Tarieven[#ALL], 10, FALSE), "0")</f>
        <v>0</v>
      </c>
      <c r="AA32" s="366"/>
      <c r="AB32" s="372"/>
      <c r="AC32" s="348" t="str">
        <f>IFERROR(VLOOKUP(AB32, Tarieven[#ALL], 10, FALSE), "0")</f>
        <v>0</v>
      </c>
      <c r="AD32" s="329">
        <f t="shared" si="1"/>
        <v>5</v>
      </c>
      <c r="AE32" s="367"/>
      <c r="AF32" s="32">
        <f t="shared" si="3"/>
        <v>865.75</v>
      </c>
      <c r="AG32" s="350">
        <f t="shared" si="5"/>
        <v>9</v>
      </c>
    </row>
    <row r="33" ht="22.5" customHeight="1">
      <c r="A33" s="335" t="str">
        <f>Rooster!A34</f>
        <v>Vrijdag</v>
      </c>
      <c r="B33" s="315">
        <f>Rooster!B34</f>
        <v>0.75</v>
      </c>
      <c r="C33" s="316">
        <f>Rooster!C34</f>
        <v>60</v>
      </c>
      <c r="D33" s="317" t="str">
        <f>Rooster!D34</f>
        <v>Urban-pop-Show 11+</v>
      </c>
      <c r="E33" s="336"/>
      <c r="F33" s="113" t="str">
        <f>Rooster!E34</f>
        <v>Eigenaar</v>
      </c>
      <c r="G33" s="337">
        <f>IFERROR(VLOOKUP(F33, Docenten!$A$2:$G$30, 7, FALSE), "0")</f>
        <v>0</v>
      </c>
      <c r="H33" s="338">
        <f t="shared" si="6"/>
        <v>0</v>
      </c>
      <c r="I33" s="113" t="str">
        <f>Rooster!H34</f>
        <v>Santpoort Noord</v>
      </c>
      <c r="J33" s="339">
        <f>IFERROR(VLOOKUP(I33, Locaties!$A$2:$G$15, 7, FALSE), "0")</f>
        <v>14.2</v>
      </c>
      <c r="K33" s="340">
        <f t="shared" si="7"/>
        <v>14.2</v>
      </c>
      <c r="L33" s="369">
        <v>4.0</v>
      </c>
      <c r="M33" s="324" t="s">
        <v>48</v>
      </c>
      <c r="N33" s="407">
        <f>IFERROR(VLOOKUP(M33, Tarieven!$A$1:$J$150, 10, FALSE), "0")</f>
        <v>279</v>
      </c>
      <c r="O33" s="369">
        <v>1.0</v>
      </c>
      <c r="P33" s="324" t="s">
        <v>91</v>
      </c>
      <c r="Q33" s="364">
        <f>IFERROR(VLOOKUP(P33, Tarieven!$A$1:$J$150, 10, FALSE), "0")</f>
        <v>298.6666667</v>
      </c>
      <c r="R33" s="371">
        <v>1.0</v>
      </c>
      <c r="S33" s="324" t="s">
        <v>57</v>
      </c>
      <c r="T33" s="364">
        <f>IFERROR(VLOOKUP(S33, Tarieven!$A$1:$J$150, 10, FALSE), "0")</f>
        <v>279</v>
      </c>
      <c r="U33" s="355">
        <v>1.0</v>
      </c>
      <c r="V33" s="324" t="s">
        <v>84</v>
      </c>
      <c r="W33" s="328">
        <f>IFERROR(VLOOKUP(V33, Tarieven!$A$1:$J$150, 10, FALSE), "0")</f>
        <v>289.5</v>
      </c>
      <c r="X33" s="385">
        <v>1.0</v>
      </c>
      <c r="Y33" s="324" t="s">
        <v>48</v>
      </c>
      <c r="Z33" s="348">
        <f>IFERROR(VLOOKUP(Y33, Tarieven[#ALL], 10, FALSE), "0")</f>
        <v>279</v>
      </c>
      <c r="AA33" s="366"/>
      <c r="AB33" s="332"/>
      <c r="AC33" s="348" t="str">
        <f>IFERROR(VLOOKUP(AB33, Tarieven[#ALL], 10, FALSE), "0")</f>
        <v>0</v>
      </c>
      <c r="AD33" s="329">
        <f t="shared" si="1"/>
        <v>8</v>
      </c>
      <c r="AE33" s="349"/>
      <c r="AF33" s="32">
        <f t="shared" si="3"/>
        <v>2262.166667</v>
      </c>
      <c r="AG33" s="350">
        <f t="shared" si="5"/>
        <v>14</v>
      </c>
    </row>
    <row r="34" ht="22.5" customHeight="1">
      <c r="A34" s="335" t="str">
        <f>Rooster!A35</f>
        <v>Zaterdag</v>
      </c>
      <c r="B34" s="315">
        <f>Rooster!B35</f>
        <v>0.375</v>
      </c>
      <c r="C34" s="316">
        <f>Rooster!C35</f>
        <v>60</v>
      </c>
      <c r="D34" s="317" t="str">
        <f>Rooster!D35</f>
        <v>Peuters</v>
      </c>
      <c r="E34" s="351"/>
      <c r="F34" s="125" t="str">
        <f>Rooster!E35</f>
        <v>Frederique</v>
      </c>
      <c r="G34" s="337">
        <f>IFERROR(VLOOKUP(F34, Docenten!$A$2:$G$30, 7, FALSE), "0")</f>
        <v>12.5</v>
      </c>
      <c r="H34" s="338">
        <f t="shared" si="6"/>
        <v>12.5</v>
      </c>
      <c r="I34" s="125" t="str">
        <f>Rooster!H35</f>
        <v>Santpoort Noord</v>
      </c>
      <c r="J34" s="339">
        <f>IFERROR(VLOOKUP(I34, Locaties!$A$2:$G$15, 7, FALSE), "0")</f>
        <v>14.2</v>
      </c>
      <c r="K34" s="340">
        <f t="shared" si="7"/>
        <v>14.2</v>
      </c>
      <c r="L34" s="379">
        <v>4.0</v>
      </c>
      <c r="M34" s="363" t="s">
        <v>48</v>
      </c>
      <c r="N34" s="407">
        <f>IFERROR(VLOOKUP(M34, Tarieven!$A$1:$J$150, 10, FALSE), "0")</f>
        <v>279</v>
      </c>
      <c r="O34" s="389"/>
      <c r="P34" s="372"/>
      <c r="Q34" s="364" t="str">
        <f>IFERROR(VLOOKUP(P34, Tarieven!$A$1:$J$150, 10, FALSE), "0")</f>
        <v>0</v>
      </c>
      <c r="R34" s="391"/>
      <c r="S34" s="372"/>
      <c r="T34" s="364" t="str">
        <f>IFERROR(VLOOKUP(S34, Tarieven!$A$1:$J$150, 10, FALSE), "0")</f>
        <v>0</v>
      </c>
      <c r="U34" s="326"/>
      <c r="V34" s="372"/>
      <c r="W34" s="328" t="str">
        <f>IFERROR(VLOOKUP(V34, Tarieven!$A$1:$J$150, 10, FALSE), "0")</f>
        <v>0</v>
      </c>
      <c r="X34" s="366"/>
      <c r="Y34" s="372"/>
      <c r="Z34" s="348" t="str">
        <f>IFERROR(VLOOKUP(Y34, Tarieven[#ALL], 10, FALSE), "0")</f>
        <v>0</v>
      </c>
      <c r="AA34" s="366"/>
      <c r="AB34" s="372"/>
      <c r="AC34" s="348" t="str">
        <f>IFERROR(VLOOKUP(AB34, Tarieven[#ALL], 10, FALSE), "0")</f>
        <v>0</v>
      </c>
      <c r="AD34" s="329">
        <f t="shared" si="1"/>
        <v>4</v>
      </c>
      <c r="AE34" s="367"/>
      <c r="AF34" s="32">
        <f t="shared" si="3"/>
        <v>1116</v>
      </c>
      <c r="AG34" s="350">
        <f t="shared" si="5"/>
        <v>8</v>
      </c>
    </row>
    <row r="35" ht="22.5" customHeight="1">
      <c r="A35" s="400" t="str">
        <f>Rooster!A36</f>
        <v>Zaterdag</v>
      </c>
      <c r="B35" s="401">
        <f>Rooster!B36</f>
        <v>0.40625</v>
      </c>
      <c r="C35" s="402">
        <f>Rooster!C36</f>
        <v>60</v>
      </c>
      <c r="D35" s="403" t="str">
        <f>Rooster!D36</f>
        <v>Kleuters</v>
      </c>
      <c r="E35" s="336"/>
      <c r="F35" s="332" t="str">
        <f>Rooster!E36</f>
        <v>Frederique</v>
      </c>
      <c r="G35" s="405">
        <f>IFERROR(VLOOKUP(F35, Docenten!$A$2:$G$30, 7, FALSE), "0")</f>
        <v>12.5</v>
      </c>
      <c r="H35" s="338">
        <f t="shared" si="6"/>
        <v>12.5</v>
      </c>
      <c r="I35" s="113" t="str">
        <f>Rooster!H36</f>
        <v>Santpoort Noord</v>
      </c>
      <c r="J35" s="339">
        <f>IFERROR(VLOOKUP(I35, Locaties!$A$2:$G$15, 7, FALSE), "0")</f>
        <v>14.2</v>
      </c>
      <c r="K35" s="340">
        <f t="shared" si="7"/>
        <v>14.2</v>
      </c>
      <c r="L35" s="369">
        <v>5.0</v>
      </c>
      <c r="M35" s="324" t="s">
        <v>48</v>
      </c>
      <c r="N35" s="407">
        <f>IFERROR(VLOOKUP(M35, Tarieven!$A$1:$J$150, 10, FALSE), "0")</f>
        <v>279</v>
      </c>
      <c r="O35" s="386"/>
      <c r="P35" s="332"/>
      <c r="Q35" s="364" t="str">
        <f>IFERROR(VLOOKUP(P35, Tarieven!$A$1:$J$150, 10, FALSE), "0")</f>
        <v>0</v>
      </c>
      <c r="R35" s="388"/>
      <c r="S35" s="332"/>
      <c r="T35" s="364" t="str">
        <f>IFERROR(VLOOKUP(S35, Tarieven!$A$1:$J$150, 10, FALSE), "0")</f>
        <v>0</v>
      </c>
      <c r="U35" s="326"/>
      <c r="V35" s="332"/>
      <c r="W35" s="328" t="str">
        <f>IFERROR(VLOOKUP(V35, Tarieven!$A$1:$J$150, 10, FALSE), "0")</f>
        <v>0</v>
      </c>
      <c r="X35" s="366"/>
      <c r="Y35" s="332"/>
      <c r="Z35" s="348" t="str">
        <f>IFERROR(VLOOKUP(Y35, Tarieven[#ALL], 10, FALSE), "0")</f>
        <v>0</v>
      </c>
      <c r="AA35" s="366"/>
      <c r="AB35" s="332"/>
      <c r="AC35" s="348" t="str">
        <f>IFERROR(VLOOKUP(AB35, Tarieven[#ALL], 10, FALSE), "0")</f>
        <v>0</v>
      </c>
      <c r="AD35" s="329">
        <f t="shared" si="1"/>
        <v>5</v>
      </c>
      <c r="AE35" s="349"/>
      <c r="AF35" s="32">
        <f t="shared" si="3"/>
        <v>1395</v>
      </c>
      <c r="AG35" s="350">
        <f t="shared" si="5"/>
        <v>10</v>
      </c>
    </row>
    <row r="36" ht="22.5" customHeight="1">
      <c r="A36" s="400" t="str">
        <f>Rooster!A37</f>
        <v>Zaterdag</v>
      </c>
      <c r="B36" s="401">
        <f>Rooster!B37</f>
        <v>0.4375</v>
      </c>
      <c r="C36" s="402">
        <f>Rooster!C37</f>
        <v>60</v>
      </c>
      <c r="D36" s="403" t="str">
        <f>Rooster!D37</f>
        <v>Showdance 5-6</v>
      </c>
      <c r="E36" s="351"/>
      <c r="F36" s="372" t="str">
        <f>Rooster!E37</f>
        <v>Frederique</v>
      </c>
      <c r="G36" s="405">
        <f>IFERROR(VLOOKUP(F36, Docenten!$A$2:$G$30, 7, FALSE), "0")</f>
        <v>12.5</v>
      </c>
      <c r="H36" s="338">
        <f t="shared" si="6"/>
        <v>12.5</v>
      </c>
      <c r="I36" s="372" t="str">
        <f>Rooster!H37</f>
        <v>Santpoort Noord</v>
      </c>
      <c r="J36" s="406">
        <f>IFERROR(VLOOKUP(I36, Locaties!$A$2:$G$15, 7, FALSE), "0")</f>
        <v>14.2</v>
      </c>
      <c r="K36" s="340">
        <f t="shared" si="7"/>
        <v>14.2</v>
      </c>
      <c r="L36" s="379">
        <v>7.0</v>
      </c>
      <c r="M36" s="363" t="s">
        <v>48</v>
      </c>
      <c r="N36" s="407">
        <f>IFERROR(VLOOKUP(M36, Tarieven!$A$1:$J$150, 10, FALSE), "0")</f>
        <v>279</v>
      </c>
      <c r="O36" s="379">
        <v>2.0</v>
      </c>
      <c r="P36" s="363" t="s">
        <v>151</v>
      </c>
      <c r="Q36" s="364">
        <f>IFERROR(VLOOKUP(P36, Tarieven!$A$1:$J$150, 10, FALSE), "0")</f>
        <v>261</v>
      </c>
      <c r="R36" s="391"/>
      <c r="S36" s="372"/>
      <c r="T36" s="364" t="str">
        <f>IFERROR(VLOOKUP(S36, Tarieven!$A$1:$J$150, 10, FALSE), "0")</f>
        <v>0</v>
      </c>
      <c r="U36" s="326"/>
      <c r="V36" s="372"/>
      <c r="W36" s="328" t="str">
        <f>IFERROR(VLOOKUP(V36, Tarieven!$A$1:$J$150, 10, FALSE), "0")</f>
        <v>0</v>
      </c>
      <c r="X36" s="366"/>
      <c r="Y36" s="372"/>
      <c r="Z36" s="348" t="str">
        <f>IFERROR(VLOOKUP(Y36, Tarieven[#ALL], 10, FALSE), "0")</f>
        <v>0</v>
      </c>
      <c r="AA36" s="366"/>
      <c r="AB36" s="372"/>
      <c r="AC36" s="348" t="str">
        <f>IFERROR(VLOOKUP(AB36, Tarieven[#ALL], 10, FALSE), "0")</f>
        <v>0</v>
      </c>
      <c r="AD36" s="329">
        <f t="shared" si="1"/>
        <v>9</v>
      </c>
      <c r="AE36" s="367"/>
      <c r="AF36" s="32">
        <f t="shared" si="3"/>
        <v>2475</v>
      </c>
      <c r="AG36" s="350">
        <f t="shared" si="5"/>
        <v>18</v>
      </c>
    </row>
    <row r="37" ht="22.5" customHeight="1">
      <c r="A37" s="400" t="str">
        <f>Rooster!A38</f>
        <v>Zaterdag</v>
      </c>
      <c r="B37" s="401">
        <f>Rooster!B38</f>
        <v>0.4791666667</v>
      </c>
      <c r="C37" s="402">
        <f>Rooster!C38</f>
        <v>60</v>
      </c>
      <c r="D37" s="403" t="str">
        <f>Rooster!D38</f>
        <v>Showdance 7+</v>
      </c>
      <c r="E37" s="336"/>
      <c r="F37" s="332" t="str">
        <f>Rooster!E38</f>
        <v>Frederique</v>
      </c>
      <c r="G37" s="405">
        <f>IFERROR(VLOOKUP(F37, Docenten!$A$2:$G$30, 7, FALSE), "0")</f>
        <v>12.5</v>
      </c>
      <c r="H37" s="338">
        <f t="shared" si="6"/>
        <v>12.5</v>
      </c>
      <c r="I37" s="332" t="str">
        <f>Rooster!H38</f>
        <v>Santpoort Noord</v>
      </c>
      <c r="J37" s="406">
        <f>IFERROR(VLOOKUP(I37, Locaties!$A$2:$G$15, 7, FALSE), "0")</f>
        <v>14.2</v>
      </c>
      <c r="K37" s="340">
        <f t="shared" si="7"/>
        <v>14.2</v>
      </c>
      <c r="L37" s="369">
        <v>3.0</v>
      </c>
      <c r="M37" s="324" t="s">
        <v>48</v>
      </c>
      <c r="N37" s="407">
        <f>IFERROR(VLOOKUP(M37, Tarieven!$A$1:$J$150, 10, FALSE), "0")</f>
        <v>279</v>
      </c>
      <c r="O37" s="369">
        <v>1.0</v>
      </c>
      <c r="P37" s="324" t="s">
        <v>57</v>
      </c>
      <c r="Q37" s="364">
        <f>IFERROR(VLOOKUP(P37, Tarieven!$A$1:$J$150, 10, FALSE), "0")</f>
        <v>279</v>
      </c>
      <c r="R37" s="388"/>
      <c r="S37" s="332"/>
      <c r="T37" s="364" t="str">
        <f>IFERROR(VLOOKUP(S37, Tarieven!$A$1:$J$150, 10, FALSE), "0")</f>
        <v>0</v>
      </c>
      <c r="U37" s="347"/>
      <c r="V37" s="332"/>
      <c r="W37" s="328" t="str">
        <f>IFERROR(VLOOKUP(V37, Tarieven!$A$1:$J$150, 10, FALSE), "0")</f>
        <v>0</v>
      </c>
      <c r="X37" s="366"/>
      <c r="Y37" s="332"/>
      <c r="Z37" s="348" t="str">
        <f>IFERROR(VLOOKUP(Y37, Tarieven[#ALL], 10, FALSE), "0")</f>
        <v>0</v>
      </c>
      <c r="AA37" s="366"/>
      <c r="AB37" s="332"/>
      <c r="AC37" s="348" t="str">
        <f>IFERROR(VLOOKUP(AB37, Tarieven[#ALL], 10, FALSE), "0")</f>
        <v>0</v>
      </c>
      <c r="AD37" s="329">
        <f t="shared" si="1"/>
        <v>4</v>
      </c>
      <c r="AE37" s="349"/>
      <c r="AF37" s="32">
        <f t="shared" si="3"/>
        <v>1116</v>
      </c>
      <c r="AG37" s="350">
        <f t="shared" si="5"/>
        <v>8</v>
      </c>
    </row>
    <row r="38" ht="22.5" customHeight="1">
      <c r="A38" s="400" t="str">
        <f>Rooster!A39</f>
        <v>Zaterdag</v>
      </c>
      <c r="B38" s="401">
        <f>Rooster!B39</f>
        <v>0.4166666667</v>
      </c>
      <c r="C38" s="402">
        <f>Rooster!C39</f>
        <v>60</v>
      </c>
      <c r="D38" s="403" t="str">
        <f>Rooster!D39</f>
        <v>Peuters</v>
      </c>
      <c r="E38" s="351"/>
      <c r="F38" s="372" t="str">
        <f>Rooster!E39</f>
        <v>Tess</v>
      </c>
      <c r="G38" s="405">
        <f>IFERROR(VLOOKUP(F38, Docenten!$A$2:$G$30, 7, FALSE), "0")</f>
        <v>17.5</v>
      </c>
      <c r="H38" s="338">
        <f t="shared" si="6"/>
        <v>17.5</v>
      </c>
      <c r="I38" s="372" t="str">
        <f>Rooster!H39</f>
        <v>Santpoort Zuid</v>
      </c>
      <c r="J38" s="406">
        <f>IFERROR(VLOOKUP(I38, Locaties!$A$2:$G$15, 7, FALSE), "0")</f>
        <v>18.9</v>
      </c>
      <c r="K38" s="340">
        <f t="shared" si="7"/>
        <v>18.9</v>
      </c>
      <c r="L38" s="379"/>
      <c r="M38" s="363"/>
      <c r="N38" s="407" t="str">
        <f>IFERROR(VLOOKUP(M38, Tarieven!$A$1:$J$150, 10, FALSE), "0")</f>
        <v>0</v>
      </c>
      <c r="O38" s="379"/>
      <c r="P38" s="363"/>
      <c r="Q38" s="364" t="str">
        <f>IFERROR(VLOOKUP(P38, Tarieven!$A$1:$J$150, 10, FALSE), "0")</f>
        <v>0</v>
      </c>
      <c r="R38" s="391"/>
      <c r="S38" s="372"/>
      <c r="T38" s="364" t="str">
        <f>IFERROR(VLOOKUP(S38, Tarieven!$A$1:$J$150, 10, FALSE), "0")</f>
        <v>0</v>
      </c>
      <c r="U38" s="326"/>
      <c r="V38" s="372"/>
      <c r="W38" s="328" t="str">
        <f>IFERROR(VLOOKUP(V38, Tarieven!$A$1:$J$150, 10, FALSE), "0")</f>
        <v>0</v>
      </c>
      <c r="X38" s="366"/>
      <c r="Y38" s="372"/>
      <c r="Z38" s="348" t="str">
        <f>IFERROR(VLOOKUP(Y38, Tarieven[#ALL], 10, FALSE), "0")</f>
        <v>0</v>
      </c>
      <c r="AA38" s="366"/>
      <c r="AB38" s="372"/>
      <c r="AC38" s="348" t="str">
        <f>IFERROR(VLOOKUP(AB38, Tarieven[#ALL], 10, FALSE), "0")</f>
        <v>0</v>
      </c>
      <c r="AD38" s="329">
        <f t="shared" si="1"/>
        <v>0</v>
      </c>
      <c r="AE38" s="367"/>
      <c r="AF38" s="32">
        <f t="shared" si="3"/>
        <v>0</v>
      </c>
      <c r="AG38" s="350">
        <f t="shared" si="5"/>
        <v>0</v>
      </c>
    </row>
    <row r="39" ht="22.5" customHeight="1">
      <c r="A39" s="400" t="str">
        <f>Rooster!A40</f>
        <v>Zaterdag</v>
      </c>
      <c r="B39" s="401">
        <f>Rooster!B40</f>
        <v>0.4479166667</v>
      </c>
      <c r="C39" s="402">
        <f>Rooster!C40</f>
        <v>60</v>
      </c>
      <c r="D39" s="403" t="str">
        <f>Rooster!D40</f>
        <v>Kleuters</v>
      </c>
      <c r="E39" s="336"/>
      <c r="F39" s="332" t="str">
        <f>Rooster!E40</f>
        <v>Tess</v>
      </c>
      <c r="G39" s="405">
        <f>IFERROR(VLOOKUP(F39, Docenten!$A$2:$G$30, 7, FALSE), "0")</f>
        <v>17.5</v>
      </c>
      <c r="H39" s="338">
        <f t="shared" si="6"/>
        <v>17.5</v>
      </c>
      <c r="I39" s="332" t="str">
        <f>Rooster!H40</f>
        <v>Santpoort Zuid</v>
      </c>
      <c r="J39" s="406">
        <f>IFERROR(VLOOKUP(I39, Locaties!$A$2:$G$15, 7, FALSE), "0")</f>
        <v>18.9</v>
      </c>
      <c r="K39" s="340">
        <f t="shared" si="7"/>
        <v>18.9</v>
      </c>
      <c r="L39" s="386"/>
      <c r="M39" s="332"/>
      <c r="N39" s="407" t="str">
        <f>IFERROR(VLOOKUP(M39, Tarieven!$A$1:$J$150, 10, FALSE), "0")</f>
        <v>0</v>
      </c>
      <c r="O39" s="386"/>
      <c r="P39" s="332"/>
      <c r="Q39" s="364" t="str">
        <f>IFERROR(VLOOKUP(P39, Tarieven!$A$1:$J$150, 10, FALSE), "0")</f>
        <v>0</v>
      </c>
      <c r="R39" s="388"/>
      <c r="S39" s="332"/>
      <c r="T39" s="364" t="str">
        <f>IFERROR(VLOOKUP(S39, Tarieven!$A$1:$J$150, 10, FALSE), "0")</f>
        <v>0</v>
      </c>
      <c r="U39" s="326"/>
      <c r="V39" s="332"/>
      <c r="W39" s="328" t="str">
        <f>IFERROR(VLOOKUP(V39, Tarieven!$A$1:$J$150, 10, FALSE), "0")</f>
        <v>0</v>
      </c>
      <c r="X39" s="366"/>
      <c r="Y39" s="332"/>
      <c r="Z39" s="348" t="str">
        <f>IFERROR(VLOOKUP(Y39, Tarieven[#ALL], 10, FALSE), "0")</f>
        <v>0</v>
      </c>
      <c r="AA39" s="366"/>
      <c r="AB39" s="332"/>
      <c r="AC39" s="348" t="str">
        <f>IFERROR(VLOOKUP(AB39, Tarieven[#ALL], 10, FALSE), "0")</f>
        <v>0</v>
      </c>
      <c r="AD39" s="329">
        <f t="shared" si="1"/>
        <v>0</v>
      </c>
      <c r="AE39" s="349"/>
      <c r="AF39" s="32">
        <f t="shared" si="3"/>
        <v>0</v>
      </c>
      <c r="AG39" s="350">
        <f t="shared" si="5"/>
        <v>0</v>
      </c>
    </row>
    <row r="40" ht="22.5" customHeight="1">
      <c r="A40" s="400" t="str">
        <f>Rooster!A41</f>
        <v/>
      </c>
      <c r="B40" s="401" t="str">
        <f>Rooster!B41</f>
        <v/>
      </c>
      <c r="C40" s="402" t="str">
        <f>Rooster!C41</f>
        <v/>
      </c>
      <c r="D40" s="403" t="str">
        <f>Rooster!D41</f>
        <v/>
      </c>
      <c r="E40" s="351"/>
      <c r="F40" s="372" t="str">
        <f>Rooster!E41</f>
        <v/>
      </c>
      <c r="G40" s="405" t="str">
        <f>IFERROR(VLOOKUP(F40, Docenten!$A$2:$G$30, 7, FALSE), "0")</f>
        <v>0</v>
      </c>
      <c r="H40" s="338">
        <f t="shared" si="6"/>
        <v>0</v>
      </c>
      <c r="I40" s="372" t="str">
        <f>Rooster!H41</f>
        <v/>
      </c>
      <c r="J40" s="406" t="str">
        <f>IFERROR(VLOOKUP(I40, Locaties!$A$2:$G$15, 7, FALSE), "0")</f>
        <v>0</v>
      </c>
      <c r="K40" s="340">
        <f t="shared" si="7"/>
        <v>0</v>
      </c>
      <c r="L40" s="352"/>
      <c r="M40" s="96"/>
      <c r="N40" s="407" t="str">
        <f>IFERROR(VLOOKUP(M40, Tarieven!$A$1:$J$150, 10, FALSE), "0")</f>
        <v>0</v>
      </c>
      <c r="O40" s="389"/>
      <c r="P40" s="372"/>
      <c r="Q40" s="364" t="str">
        <f>IFERROR(VLOOKUP(P40, Tarieven!$A$1:$J$150, 10, FALSE), "0")</f>
        <v>0</v>
      </c>
      <c r="R40" s="391"/>
      <c r="S40" s="372"/>
      <c r="T40" s="364" t="str">
        <f>IFERROR(VLOOKUP(S40, Tarieven!$A$1:$J$150, 10, FALSE), "0")</f>
        <v>0</v>
      </c>
      <c r="U40" s="326"/>
      <c r="V40" s="372"/>
      <c r="W40" s="328" t="str">
        <f>IFERROR(VLOOKUP(V40, Tarieven!$A$1:$J$150, 10, FALSE), "0")</f>
        <v>0</v>
      </c>
      <c r="X40" s="366"/>
      <c r="Y40" s="372"/>
      <c r="Z40" s="348" t="str">
        <f>IFERROR(VLOOKUP(Y40, Tarieven[#ALL], 10, FALSE), "0")</f>
        <v>0</v>
      </c>
      <c r="AA40" s="366"/>
      <c r="AB40" s="372"/>
      <c r="AC40" s="348" t="str">
        <f>IFERROR(VLOOKUP(AB40, Tarieven[#ALL], 10, FALSE), "0")</f>
        <v>0</v>
      </c>
      <c r="AD40" s="329">
        <f t="shared" si="1"/>
        <v>0</v>
      </c>
      <c r="AE40" s="367"/>
      <c r="AF40" s="32">
        <f t="shared" si="3"/>
        <v>0</v>
      </c>
      <c r="AG40" s="350">
        <f t="shared" si="5"/>
        <v>0</v>
      </c>
    </row>
    <row r="41" ht="22.5" customHeight="1">
      <c r="A41" s="400" t="str">
        <f>Rooster!A42</f>
        <v/>
      </c>
      <c r="B41" s="401" t="str">
        <f>Rooster!B42</f>
        <v/>
      </c>
      <c r="C41" s="402" t="str">
        <f>Rooster!C42</f>
        <v/>
      </c>
      <c r="D41" s="403" t="str">
        <f>Rooster!D42</f>
        <v/>
      </c>
      <c r="E41" s="336"/>
      <c r="F41" s="332" t="str">
        <f>Rooster!E42</f>
        <v/>
      </c>
      <c r="G41" s="405" t="str">
        <f>IFERROR(VLOOKUP(F41, Docenten!$A$2:$G$30, 7, FALSE), "0")</f>
        <v>0</v>
      </c>
      <c r="H41" s="338">
        <f t="shared" si="6"/>
        <v>0</v>
      </c>
      <c r="I41" s="332" t="str">
        <f>Rooster!H42</f>
        <v/>
      </c>
      <c r="J41" s="406" t="str">
        <f>IFERROR(VLOOKUP(I41, Locaties!$A$2:$G$15, 7, FALSE), "0")</f>
        <v>0</v>
      </c>
      <c r="K41" s="340">
        <f t="shared" si="7"/>
        <v>0</v>
      </c>
      <c r="L41" s="386"/>
      <c r="M41" s="332"/>
      <c r="N41" s="407" t="str">
        <f>IFERROR(VLOOKUP(M41, Tarieven!$A$1:$J$150, 10, FALSE), "0")</f>
        <v>0</v>
      </c>
      <c r="O41" s="386"/>
      <c r="P41" s="332"/>
      <c r="Q41" s="364" t="str">
        <f>IFERROR(VLOOKUP(P41, Tarieven!$A$1:$J$150, 10, FALSE), "0")</f>
        <v>0</v>
      </c>
      <c r="R41" s="388"/>
      <c r="S41" s="332"/>
      <c r="T41" s="364" t="str">
        <f>IFERROR(VLOOKUP(S41, Tarieven!$A$1:$J$150, 10, FALSE), "0")</f>
        <v>0</v>
      </c>
      <c r="U41" s="347"/>
      <c r="V41" s="332"/>
      <c r="W41" s="328" t="str">
        <f>IFERROR(VLOOKUP(V41, Tarieven!$A$1:$J$150, 10, FALSE), "0")</f>
        <v>0</v>
      </c>
      <c r="X41" s="366"/>
      <c r="Y41" s="332"/>
      <c r="Z41" s="348" t="str">
        <f>IFERROR(VLOOKUP(Y41, Tarieven[#ALL], 10, FALSE), "0")</f>
        <v>0</v>
      </c>
      <c r="AA41" s="366"/>
      <c r="AB41" s="332"/>
      <c r="AC41" s="348" t="str">
        <f>IFERROR(VLOOKUP(AB41, Tarieven[#ALL], 10, FALSE), "0")</f>
        <v>0</v>
      </c>
      <c r="AD41" s="329">
        <f t="shared" si="1"/>
        <v>0</v>
      </c>
      <c r="AE41" s="349"/>
      <c r="AF41" s="32">
        <f t="shared" si="3"/>
        <v>0</v>
      </c>
      <c r="AG41" s="350">
        <f t="shared" si="5"/>
        <v>0</v>
      </c>
    </row>
    <row r="42" ht="22.5" customHeight="1">
      <c r="A42" s="400" t="str">
        <f>Rooster!A43</f>
        <v>Maandag</v>
      </c>
      <c r="B42" s="401">
        <f>Rooster!B43</f>
        <v>0.3958333333</v>
      </c>
      <c r="C42" s="402">
        <f>Rooster!C43</f>
        <v>60</v>
      </c>
      <c r="D42" s="403" t="str">
        <f>Rooster!D43</f>
        <v>Kinderopvang</v>
      </c>
      <c r="E42" s="351"/>
      <c r="F42" s="372" t="str">
        <f>Rooster!E43</f>
        <v>Opvang T</v>
      </c>
      <c r="G42" s="405">
        <f>IFERROR(VLOOKUP(F42, Docenten!$A$2:$G$30, 7, FALSE), "0")</f>
        <v>45</v>
      </c>
      <c r="H42" s="338">
        <f t="shared" si="6"/>
        <v>45</v>
      </c>
      <c r="I42" s="372" t="str">
        <f>Rooster!H43</f>
        <v/>
      </c>
      <c r="J42" s="406" t="str">
        <f>IFERROR(VLOOKUP(I42, Locaties!$A$2:$G$15, 7, FALSE), "0")</f>
        <v>0</v>
      </c>
      <c r="K42" s="340">
        <f t="shared" si="7"/>
        <v>0</v>
      </c>
      <c r="L42" s="379"/>
      <c r="M42" s="363"/>
      <c r="N42" s="407" t="str">
        <f>IFERROR(VLOOKUP(M42, Tarieven!$A$1:$J$150, 10, FALSE), "0")</f>
        <v>0</v>
      </c>
      <c r="O42" s="389"/>
      <c r="P42" s="372"/>
      <c r="Q42" s="364" t="str">
        <f>IFERROR(VLOOKUP(P42, Tarieven!$A$1:$J$150, 10, FALSE), "0")</f>
        <v>0</v>
      </c>
      <c r="R42" s="391"/>
      <c r="S42" s="372"/>
      <c r="T42" s="364" t="str">
        <f>IFERROR(VLOOKUP(S42, Tarieven!$A$1:$J$150, 10, FALSE), "0")</f>
        <v>0</v>
      </c>
      <c r="U42" s="326"/>
      <c r="V42" s="372"/>
      <c r="W42" s="328" t="str">
        <f>IFERROR(VLOOKUP(V42, Tarieven!$A$1:$J$150, 10, FALSE), "0")</f>
        <v>0</v>
      </c>
      <c r="X42" s="366"/>
      <c r="Y42" s="372"/>
      <c r="Z42" s="348" t="str">
        <f>IFERROR(VLOOKUP(Y42, Tarieven[#ALL], 10, FALSE), "0")</f>
        <v>0</v>
      </c>
      <c r="AA42" s="366"/>
      <c r="AB42" s="372"/>
      <c r="AC42" s="348" t="str">
        <f>IFERROR(VLOOKUP(AB42, Tarieven[#ALL], 10, FALSE), "0")</f>
        <v>0</v>
      </c>
      <c r="AD42" s="329">
        <f t="shared" si="1"/>
        <v>0</v>
      </c>
      <c r="AE42" s="367"/>
      <c r="AF42" s="32">
        <f t="shared" si="3"/>
        <v>0</v>
      </c>
      <c r="AG42" s="350">
        <f t="shared" si="5"/>
        <v>0</v>
      </c>
    </row>
    <row r="43" ht="22.5" customHeight="1">
      <c r="A43" s="400"/>
      <c r="B43" s="401"/>
      <c r="C43" s="402"/>
      <c r="D43" s="403"/>
      <c r="E43" s="336"/>
      <c r="F43" s="332" t="str">
        <f>Rooster!E44</f>
        <v>Eigenaar</v>
      </c>
      <c r="G43" s="405">
        <f>IFERROR(VLOOKUP(F43, Docenten!$A$2:$G$30, 7, FALSE), "0")</f>
        <v>0</v>
      </c>
      <c r="H43" s="338">
        <f t="shared" si="6"/>
        <v>0</v>
      </c>
      <c r="I43" s="332" t="str">
        <f>Rooster!H44</f>
        <v/>
      </c>
      <c r="J43" s="406" t="str">
        <f>IFERROR(VLOOKUP(I43, Locaties!$A$2:$G$15, 7, FALSE), "0")</f>
        <v>0</v>
      </c>
      <c r="K43" s="340">
        <f t="shared" si="7"/>
        <v>0</v>
      </c>
      <c r="L43" s="386"/>
      <c r="M43" s="332"/>
      <c r="N43" s="407" t="str">
        <f>IFERROR(VLOOKUP(M43, Tarieven!$A$1:$J$150, 10, FALSE), "0")</f>
        <v>0</v>
      </c>
      <c r="O43" s="386"/>
      <c r="P43" s="332"/>
      <c r="Q43" s="364" t="str">
        <f>IFERROR(VLOOKUP(P43, Tarieven!$A$1:$J$150, 10, FALSE), "0")</f>
        <v>0</v>
      </c>
      <c r="R43" s="388"/>
      <c r="S43" s="332"/>
      <c r="T43" s="364" t="str">
        <f>IFERROR(VLOOKUP(S43, Tarieven!$A$1:$J$150, 10, FALSE), "0")</f>
        <v>0</v>
      </c>
      <c r="U43" s="326"/>
      <c r="V43" s="332"/>
      <c r="W43" s="328" t="str">
        <f>IFERROR(VLOOKUP(V43, Tarieven!$A$1:$J$150, 10, FALSE), "0")</f>
        <v>0</v>
      </c>
      <c r="X43" s="366"/>
      <c r="Y43" s="332"/>
      <c r="Z43" s="348" t="str">
        <f>IFERROR(VLOOKUP(Y43, Tarieven[#ALL], 10, FALSE), "0")</f>
        <v>0</v>
      </c>
      <c r="AA43" s="366"/>
      <c r="AB43" s="332"/>
      <c r="AC43" s="348" t="str">
        <f>IFERROR(VLOOKUP(AB43, Tarieven[#ALL], 10, FALSE), "0")</f>
        <v>0</v>
      </c>
      <c r="AD43" s="329">
        <f t="shared" si="1"/>
        <v>0</v>
      </c>
      <c r="AE43" s="349"/>
      <c r="AF43" s="32">
        <f t="shared" si="3"/>
        <v>0</v>
      </c>
      <c r="AG43" s="350">
        <f t="shared" si="5"/>
        <v>0</v>
      </c>
    </row>
    <row r="44" ht="22.5" customHeight="1">
      <c r="A44" s="400"/>
      <c r="B44" s="401"/>
      <c r="C44" s="402"/>
      <c r="D44" s="403"/>
      <c r="E44" s="351"/>
      <c r="F44" s="372" t="str">
        <f>Rooster!E45</f>
        <v>Eigenaar</v>
      </c>
      <c r="G44" s="405">
        <f>IFERROR(VLOOKUP(F44, Docenten!$A$2:$G$30, 7, FALSE), "0")</f>
        <v>0</v>
      </c>
      <c r="H44" s="338">
        <f t="shared" si="6"/>
        <v>0</v>
      </c>
      <c r="I44" s="372" t="str">
        <f>Rooster!H45</f>
        <v/>
      </c>
      <c r="J44" s="406" t="str">
        <f>IFERROR(VLOOKUP(I44, Locaties!$A$2:$G$15, 7, FALSE), "0")</f>
        <v>0</v>
      </c>
      <c r="K44" s="340">
        <f t="shared" si="7"/>
        <v>0</v>
      </c>
      <c r="L44" s="389"/>
      <c r="M44" s="372"/>
      <c r="N44" s="407" t="str">
        <f>IFERROR(VLOOKUP(M44, Tarieven!$A$1:$J$150, 10, FALSE), "0")</f>
        <v>0</v>
      </c>
      <c r="O44" s="389"/>
      <c r="P44" s="372"/>
      <c r="Q44" s="364" t="str">
        <f>IFERROR(VLOOKUP(P44, Tarieven!$A$1:$J$150, 10, FALSE), "0")</f>
        <v>0</v>
      </c>
      <c r="R44" s="391"/>
      <c r="S44" s="372"/>
      <c r="T44" s="364" t="str">
        <f>IFERROR(VLOOKUP(S44, Tarieven!$A$1:$J$150, 10, FALSE), "0")</f>
        <v>0</v>
      </c>
      <c r="U44" s="326"/>
      <c r="V44" s="372"/>
      <c r="W44" s="328" t="str">
        <f>IFERROR(VLOOKUP(V44, Tarieven!$A$1:$J$150, 10, FALSE), "0")</f>
        <v>0</v>
      </c>
      <c r="X44" s="366"/>
      <c r="Y44" s="372"/>
      <c r="Z44" s="348" t="str">
        <f>IFERROR(VLOOKUP(Y44, Tarieven[#ALL], 10, FALSE), "0")</f>
        <v>0</v>
      </c>
      <c r="AA44" s="366"/>
      <c r="AB44" s="372"/>
      <c r="AC44" s="348" t="str">
        <f>IFERROR(VLOOKUP(AB44, Tarieven[#ALL], 10, FALSE), "0")</f>
        <v>0</v>
      </c>
      <c r="AD44" s="329">
        <f t="shared" si="1"/>
        <v>0</v>
      </c>
      <c r="AE44" s="367"/>
      <c r="AF44" s="32">
        <f t="shared" si="3"/>
        <v>0</v>
      </c>
      <c r="AG44" s="350">
        <f t="shared" si="5"/>
        <v>0</v>
      </c>
    </row>
    <row r="45" ht="22.5" customHeight="1">
      <c r="A45" s="400" t="str">
        <f>Rooster!A46</f>
        <v/>
      </c>
      <c r="B45" s="401" t="str">
        <f>Rooster!B46</f>
        <v/>
      </c>
      <c r="C45" s="402" t="str">
        <f>Rooster!C46</f>
        <v/>
      </c>
      <c r="D45" s="403" t="str">
        <f>Rooster!D46</f>
        <v/>
      </c>
      <c r="E45" s="336"/>
      <c r="F45" s="332" t="str">
        <f>Rooster!E46</f>
        <v/>
      </c>
      <c r="G45" s="405" t="str">
        <f>IFERROR(VLOOKUP(F45, Docenten!$A$2:$G$30, 7, FALSE), "0")</f>
        <v>0</v>
      </c>
      <c r="H45" s="338">
        <f t="shared" si="6"/>
        <v>0</v>
      </c>
      <c r="I45" s="332" t="str">
        <f>Rooster!H46</f>
        <v/>
      </c>
      <c r="J45" s="406" t="str">
        <f>IFERROR(VLOOKUP(I45, Locaties!$A$2:$G$15, 7, FALSE), "0")</f>
        <v>0</v>
      </c>
      <c r="K45" s="340">
        <f t="shared" si="7"/>
        <v>0</v>
      </c>
      <c r="L45" s="386"/>
      <c r="M45" s="332"/>
      <c r="N45" s="407" t="str">
        <f>IFERROR(VLOOKUP(M45, Tarieven!$A$1:$J$150, 10, FALSE), "0")</f>
        <v>0</v>
      </c>
      <c r="O45" s="386"/>
      <c r="P45" s="332"/>
      <c r="Q45" s="364" t="str">
        <f>IFERROR(VLOOKUP(P45, Tarieven!$A$1:$J$150, 10, FALSE), "0")</f>
        <v>0</v>
      </c>
      <c r="R45" s="388"/>
      <c r="S45" s="332"/>
      <c r="T45" s="364" t="str">
        <f>IFERROR(VLOOKUP(S45, Tarieven!$A$1:$J$150, 10, FALSE), "0")</f>
        <v>0</v>
      </c>
      <c r="U45" s="347"/>
      <c r="V45" s="332"/>
      <c r="W45" s="328" t="str">
        <f>IFERROR(VLOOKUP(V45, Tarieven!$A$1:$J$150, 10, FALSE), "0")</f>
        <v>0</v>
      </c>
      <c r="X45" s="366"/>
      <c r="Y45" s="332"/>
      <c r="Z45" s="348" t="str">
        <f>IFERROR(VLOOKUP(Y45, Tarieven[#ALL], 10, FALSE), "0")</f>
        <v>0</v>
      </c>
      <c r="AA45" s="366"/>
      <c r="AB45" s="332"/>
      <c r="AC45" s="348" t="str">
        <f>IFERROR(VLOOKUP(AB45, Tarieven[#ALL], 10, FALSE), "0")</f>
        <v>0</v>
      </c>
      <c r="AD45" s="329">
        <f t="shared" si="1"/>
        <v>0</v>
      </c>
      <c r="AE45" s="349"/>
      <c r="AF45" s="32">
        <f t="shared" si="3"/>
        <v>0</v>
      </c>
      <c r="AG45" s="350">
        <f t="shared" si="5"/>
        <v>0</v>
      </c>
    </row>
    <row r="46" ht="22.5" customHeight="1">
      <c r="A46" s="400" t="str">
        <f>Rooster!A47</f>
        <v/>
      </c>
      <c r="B46" s="401" t="str">
        <f>Rooster!B47</f>
        <v/>
      </c>
      <c r="C46" s="402" t="str">
        <f>Rooster!C47</f>
        <v/>
      </c>
      <c r="D46" s="403" t="str">
        <f>Rooster!D47</f>
        <v/>
      </c>
      <c r="E46" s="351"/>
      <c r="F46" s="372" t="str">
        <f>Rooster!E47</f>
        <v/>
      </c>
      <c r="G46" s="405" t="str">
        <f>IFERROR(VLOOKUP(F46, Docenten!$A$2:$G$30, 7, FALSE), "0")</f>
        <v>0</v>
      </c>
      <c r="H46" s="338">
        <f t="shared" si="6"/>
        <v>0</v>
      </c>
      <c r="I46" s="372" t="str">
        <f>Rooster!H47</f>
        <v/>
      </c>
      <c r="J46" s="406" t="str">
        <f>IFERROR(VLOOKUP(I46, Locaties!$A$2:$G$15, 7, FALSE), "0")</f>
        <v>0</v>
      </c>
      <c r="K46" s="340">
        <f t="shared" si="7"/>
        <v>0</v>
      </c>
      <c r="L46" s="389"/>
      <c r="M46" s="372"/>
      <c r="N46" s="407" t="str">
        <f>IFERROR(VLOOKUP(M46, Tarieven!$A$1:$J$150, 10, FALSE), "0")</f>
        <v>0</v>
      </c>
      <c r="O46" s="389"/>
      <c r="P46" s="372"/>
      <c r="Q46" s="364" t="str">
        <f>IFERROR(VLOOKUP(P46, Tarieven!$A$1:$J$150, 10, FALSE), "0")</f>
        <v>0</v>
      </c>
      <c r="R46" s="391"/>
      <c r="S46" s="372"/>
      <c r="T46" s="364" t="str">
        <f>IFERROR(VLOOKUP(S46, Tarieven!$A$1:$J$150, 10, FALSE), "0")</f>
        <v>0</v>
      </c>
      <c r="U46" s="326"/>
      <c r="V46" s="372"/>
      <c r="W46" s="328" t="str">
        <f>IFERROR(VLOOKUP(V46, Tarieven!$A$1:$J$150, 10, FALSE), "0")</f>
        <v>0</v>
      </c>
      <c r="X46" s="366"/>
      <c r="Y46" s="372"/>
      <c r="Z46" s="348" t="str">
        <f>IFERROR(VLOOKUP(Y46, Tarieven[#ALL], 10, FALSE), "0")</f>
        <v>0</v>
      </c>
      <c r="AA46" s="366"/>
      <c r="AB46" s="372"/>
      <c r="AC46" s="348" t="str">
        <f>IFERROR(VLOOKUP(AB46, Tarieven[#ALL], 10, FALSE), "0")</f>
        <v>0</v>
      </c>
      <c r="AD46" s="329">
        <f t="shared" si="1"/>
        <v>0</v>
      </c>
      <c r="AE46" s="367"/>
      <c r="AF46" s="32">
        <f t="shared" si="3"/>
        <v>0</v>
      </c>
      <c r="AG46" s="350">
        <f t="shared" si="5"/>
        <v>0</v>
      </c>
    </row>
    <row r="47" ht="22.5" customHeight="1">
      <c r="A47" s="400" t="str">
        <f>Rooster!A48</f>
        <v>Donderdag</v>
      </c>
      <c r="B47" s="401">
        <f>Rooster!B48</f>
        <v>0.75</v>
      </c>
      <c r="C47" s="402">
        <f>Rooster!C48</f>
        <v>60</v>
      </c>
      <c r="D47" s="403" t="str">
        <f>Rooster!D48</f>
        <v>Turnen 6+</v>
      </c>
      <c r="E47" s="336"/>
      <c r="F47" s="332" t="str">
        <f>Rooster!E48</f>
        <v>Dion + 3</v>
      </c>
      <c r="G47" s="405">
        <f>IFERROR(VLOOKUP(F47, Docenten!$A$2:$G$30, 7, FALSE), "0")</f>
        <v>34</v>
      </c>
      <c r="H47" s="338">
        <f t="shared" si="6"/>
        <v>34</v>
      </c>
      <c r="I47" s="332" t="str">
        <f>Rooster!H48</f>
        <v>Santpoort Noord</v>
      </c>
      <c r="J47" s="406">
        <f>IFERROR(VLOOKUP(I47, Locaties!$A$2:$G$15, 7, FALSE), "0")</f>
        <v>14.2</v>
      </c>
      <c r="K47" s="340">
        <f t="shared" si="7"/>
        <v>14.2</v>
      </c>
      <c r="L47" s="386"/>
      <c r="M47" s="332"/>
      <c r="N47" s="407" t="str">
        <f>IFERROR(VLOOKUP(M47, Tarieven!$A$1:$J$150, 10, FALSE), "0")</f>
        <v>0</v>
      </c>
      <c r="O47" s="386"/>
      <c r="P47" s="332"/>
      <c r="Q47" s="364" t="str">
        <f>IFERROR(VLOOKUP(P47, Tarieven!$A$1:$J$150, 10, FALSE), "0")</f>
        <v>0</v>
      </c>
      <c r="R47" s="388"/>
      <c r="S47" s="332"/>
      <c r="T47" s="364" t="str">
        <f>IFERROR(VLOOKUP(S47, Tarieven!$A$1:$J$150, 10, FALSE), "0")</f>
        <v>0</v>
      </c>
      <c r="U47" s="326"/>
      <c r="V47" s="332"/>
      <c r="W47" s="328" t="str">
        <f>IFERROR(VLOOKUP(V47, Tarieven!$A$1:$J$150, 10, FALSE), "0")</f>
        <v>0</v>
      </c>
      <c r="X47" s="366"/>
      <c r="Y47" s="332"/>
      <c r="Z47" s="348" t="str">
        <f>IFERROR(VLOOKUP(Y47, Tarieven[#ALL], 10, FALSE), "0")</f>
        <v>0</v>
      </c>
      <c r="AA47" s="366"/>
      <c r="AB47" s="332"/>
      <c r="AC47" s="348" t="str">
        <f>IFERROR(VLOOKUP(AB47, Tarieven[#ALL], 10, FALSE), "0")</f>
        <v>0</v>
      </c>
      <c r="AD47" s="329">
        <f t="shared" si="1"/>
        <v>0</v>
      </c>
      <c r="AE47" s="349"/>
      <c r="AF47" s="32">
        <f t="shared" si="3"/>
        <v>0</v>
      </c>
      <c r="AG47" s="350">
        <f t="shared" si="5"/>
        <v>0</v>
      </c>
    </row>
    <row r="48" ht="22.5" customHeight="1">
      <c r="A48" s="400" t="str">
        <f>Rooster!A49</f>
        <v>Donderdag</v>
      </c>
      <c r="B48" s="401">
        <f>Rooster!B49</f>
        <v>0.7916666667</v>
      </c>
      <c r="C48" s="402">
        <f>Rooster!C49</f>
        <v>60</v>
      </c>
      <c r="D48" s="403" t="str">
        <f>Rooster!D49</f>
        <v>Turnen 12+</v>
      </c>
      <c r="E48" s="351"/>
      <c r="F48" s="372" t="str">
        <f>Rooster!E49</f>
        <v>Dion + 3</v>
      </c>
      <c r="G48" s="405">
        <f>IFERROR(VLOOKUP(F48, Docenten!$A$2:$G$30, 7, FALSE), "0")</f>
        <v>34</v>
      </c>
      <c r="H48" s="338">
        <f t="shared" si="6"/>
        <v>34</v>
      </c>
      <c r="I48" s="372" t="str">
        <f>Rooster!H49</f>
        <v>Santpoort Noord</v>
      </c>
      <c r="J48" s="406">
        <f>IFERROR(VLOOKUP(I48, Locaties!$A$2:$G$15, 7, FALSE), "0")</f>
        <v>14.2</v>
      </c>
      <c r="K48" s="340">
        <f t="shared" si="7"/>
        <v>14.2</v>
      </c>
      <c r="L48" s="389"/>
      <c r="M48" s="372"/>
      <c r="N48" s="407" t="str">
        <f>IFERROR(VLOOKUP(M48, Tarieven!$A$1:$J$150, 10, FALSE), "0")</f>
        <v>0</v>
      </c>
      <c r="O48" s="389"/>
      <c r="P48" s="372"/>
      <c r="Q48" s="364" t="str">
        <f>IFERROR(VLOOKUP(P48, Tarieven!$A$1:$J$150, 10, FALSE), "0")</f>
        <v>0</v>
      </c>
      <c r="R48" s="391"/>
      <c r="S48" s="372"/>
      <c r="T48" s="364" t="str">
        <f>IFERROR(VLOOKUP(S48, Tarieven!$A$1:$J$150, 10, FALSE), "0")</f>
        <v>0</v>
      </c>
      <c r="U48" s="326"/>
      <c r="V48" s="372"/>
      <c r="W48" s="328" t="str">
        <f>IFERROR(VLOOKUP(V48, Tarieven!$A$1:$J$150, 10, FALSE), "0")</f>
        <v>0</v>
      </c>
      <c r="X48" s="366"/>
      <c r="Y48" s="372"/>
      <c r="Z48" s="348" t="str">
        <f>IFERROR(VLOOKUP(Y48, Tarieven[#ALL], 10, FALSE), "0")</f>
        <v>0</v>
      </c>
      <c r="AA48" s="366"/>
      <c r="AB48" s="372"/>
      <c r="AC48" s="348" t="str">
        <f>IFERROR(VLOOKUP(AB48, Tarieven[#ALL], 10, FALSE), "0")</f>
        <v>0</v>
      </c>
      <c r="AD48" s="329">
        <f t="shared" si="1"/>
        <v>0</v>
      </c>
      <c r="AE48" s="367"/>
      <c r="AF48" s="32">
        <f t="shared" si="3"/>
        <v>0</v>
      </c>
      <c r="AG48" s="350">
        <f t="shared" si="5"/>
        <v>0</v>
      </c>
    </row>
    <row r="49" ht="22.5" customHeight="1">
      <c r="A49" s="400" t="str">
        <f>Rooster!A50</f>
        <v/>
      </c>
      <c r="B49" s="401" t="str">
        <f>Rooster!B50</f>
        <v/>
      </c>
      <c r="C49" s="402" t="str">
        <f>Rooster!C50</f>
        <v/>
      </c>
      <c r="D49" s="403" t="str">
        <f>Rooster!D50</f>
        <v/>
      </c>
      <c r="E49" s="336"/>
      <c r="F49" s="332" t="str">
        <f>Rooster!E50</f>
        <v/>
      </c>
      <c r="G49" s="405" t="str">
        <f>IFERROR(VLOOKUP(F49, Docenten!$A$2:$G$30, 7, FALSE), "0")</f>
        <v>0</v>
      </c>
      <c r="H49" s="338">
        <f t="shared" si="6"/>
        <v>0</v>
      </c>
      <c r="I49" s="332" t="str">
        <f>Rooster!H50</f>
        <v/>
      </c>
      <c r="J49" s="406" t="str">
        <f>IFERROR(VLOOKUP(I49, Locaties!$A$2:$G$15, 7, FALSE), "0")</f>
        <v>0</v>
      </c>
      <c r="K49" s="340">
        <f t="shared" si="7"/>
        <v>0</v>
      </c>
      <c r="L49" s="386"/>
      <c r="M49" s="332"/>
      <c r="N49" s="407" t="str">
        <f>IFERROR(VLOOKUP(M49, Tarieven!$A$1:$J$150, 10, FALSE), "0")</f>
        <v>0</v>
      </c>
      <c r="O49" s="386"/>
      <c r="P49" s="332"/>
      <c r="Q49" s="364" t="str">
        <f>IFERROR(VLOOKUP(P49, Tarieven!$A$1:$J$150, 10, FALSE), "0")</f>
        <v>0</v>
      </c>
      <c r="R49" s="388"/>
      <c r="S49" s="332"/>
      <c r="T49" s="364" t="str">
        <f>IFERROR(VLOOKUP(S49, Tarieven!$A$1:$J$150, 10, FALSE), "0")</f>
        <v>0</v>
      </c>
      <c r="U49" s="347"/>
      <c r="V49" s="332"/>
      <c r="W49" s="328" t="str">
        <f>IFERROR(VLOOKUP(V49, Tarieven!$A$1:$J$150, 10, FALSE), "0")</f>
        <v>0</v>
      </c>
      <c r="X49" s="366"/>
      <c r="Y49" s="332"/>
      <c r="Z49" s="348" t="str">
        <f>IFERROR(VLOOKUP(Y49, Tarieven[#ALL], 10, FALSE), "0")</f>
        <v>0</v>
      </c>
      <c r="AA49" s="366"/>
      <c r="AB49" s="332"/>
      <c r="AC49" s="348" t="str">
        <f>IFERROR(VLOOKUP(AB49, Tarieven[#ALL], 10, FALSE), "0")</f>
        <v>0</v>
      </c>
      <c r="AD49" s="329">
        <f t="shared" si="1"/>
        <v>0</v>
      </c>
      <c r="AE49" s="349"/>
      <c r="AF49" s="32">
        <f t="shared" si="3"/>
        <v>0</v>
      </c>
      <c r="AG49" s="350">
        <f t="shared" si="5"/>
        <v>0</v>
      </c>
    </row>
    <row r="50" ht="22.5" customHeight="1">
      <c r="A50" s="400" t="str">
        <f>Rooster!A51</f>
        <v/>
      </c>
      <c r="B50" s="401" t="str">
        <f>Rooster!B51</f>
        <v/>
      </c>
      <c r="C50" s="402" t="str">
        <f>Rooster!C51</f>
        <v/>
      </c>
      <c r="D50" s="403" t="str">
        <f>Rooster!D51</f>
        <v/>
      </c>
      <c r="E50" s="351"/>
      <c r="F50" s="372" t="str">
        <f>Rooster!E51</f>
        <v/>
      </c>
      <c r="G50" s="405" t="str">
        <f>IFERROR(VLOOKUP(F50, Docenten!$A$2:$G$30, 7, FALSE), "0")</f>
        <v>0</v>
      </c>
      <c r="H50" s="338">
        <f t="shared" si="6"/>
        <v>0</v>
      </c>
      <c r="I50" s="372" t="str">
        <f>Rooster!H51</f>
        <v/>
      </c>
      <c r="J50" s="406" t="str">
        <f>IFERROR(VLOOKUP(I50, Locaties!$A$2:$G$15, 7, FALSE), "0")</f>
        <v>0</v>
      </c>
      <c r="K50" s="340">
        <f t="shared" si="7"/>
        <v>0</v>
      </c>
      <c r="L50" s="389"/>
      <c r="M50" s="372"/>
      <c r="N50" s="407" t="str">
        <f>IFERROR(VLOOKUP(M50, Tarieven!$A$1:$J$150, 10, FALSE), "0")</f>
        <v>0</v>
      </c>
      <c r="O50" s="389"/>
      <c r="P50" s="372"/>
      <c r="Q50" s="364" t="str">
        <f>IFERROR(VLOOKUP(P50, Tarieven!$A$1:$J$150, 10, FALSE), "0")</f>
        <v>0</v>
      </c>
      <c r="R50" s="391"/>
      <c r="S50" s="372"/>
      <c r="T50" s="364" t="str">
        <f>IFERROR(VLOOKUP(S50, Tarieven!$A$1:$J$150, 10, FALSE), "0")</f>
        <v>0</v>
      </c>
      <c r="U50" s="326"/>
      <c r="V50" s="372"/>
      <c r="W50" s="328" t="str">
        <f>IFERROR(VLOOKUP(V50, Tarieven!$A$1:$J$150, 10, FALSE), "0")</f>
        <v>0</v>
      </c>
      <c r="X50" s="366"/>
      <c r="Y50" s="372"/>
      <c r="Z50" s="348" t="str">
        <f>IFERROR(VLOOKUP(Y50, Tarieven[#ALL], 10, FALSE), "0")</f>
        <v>0</v>
      </c>
      <c r="AA50" s="366"/>
      <c r="AB50" s="372"/>
      <c r="AC50" s="348" t="str">
        <f>IFERROR(VLOOKUP(AB50, Tarieven[#ALL], 10, FALSE), "0")</f>
        <v>0</v>
      </c>
      <c r="AD50" s="329">
        <f t="shared" si="1"/>
        <v>0</v>
      </c>
      <c r="AE50" s="367"/>
      <c r="AF50" s="32">
        <f t="shared" si="3"/>
        <v>0</v>
      </c>
      <c r="AG50" s="350">
        <f t="shared" si="5"/>
        <v>0</v>
      </c>
    </row>
    <row r="51" ht="22.5" customHeight="1">
      <c r="A51" s="400" t="str">
        <f>Rooster!A52</f>
        <v/>
      </c>
      <c r="B51" s="401" t="str">
        <f>Rooster!B52</f>
        <v/>
      </c>
      <c r="C51" s="402" t="str">
        <f>Rooster!C52</f>
        <v/>
      </c>
      <c r="D51" s="403" t="str">
        <f>Rooster!D52</f>
        <v/>
      </c>
      <c r="E51" s="336"/>
      <c r="F51" s="332" t="str">
        <f>Rooster!E52</f>
        <v/>
      </c>
      <c r="G51" s="405" t="str">
        <f>IFERROR(VLOOKUP(F51, Docenten!$A$2:$G$30, 7, FALSE), "0")</f>
        <v>0</v>
      </c>
      <c r="H51" s="338">
        <f t="shared" si="6"/>
        <v>0</v>
      </c>
      <c r="I51" s="332" t="str">
        <f>Rooster!H52</f>
        <v/>
      </c>
      <c r="J51" s="406" t="str">
        <f>IFERROR(VLOOKUP(I51, Locaties!$A$2:$G$15, 7, FALSE), "0")</f>
        <v>0</v>
      </c>
      <c r="K51" s="340">
        <f t="shared" si="7"/>
        <v>0</v>
      </c>
      <c r="L51" s="386"/>
      <c r="M51" s="332"/>
      <c r="N51" s="407" t="str">
        <f>IFERROR(VLOOKUP(M51, Tarieven!$A$1:$J$150, 10, FALSE), "0")</f>
        <v>0</v>
      </c>
      <c r="O51" s="386"/>
      <c r="P51" s="332"/>
      <c r="Q51" s="364" t="str">
        <f>IFERROR(VLOOKUP(P51, Tarieven!$A$1:$J$150, 10, FALSE), "0")</f>
        <v>0</v>
      </c>
      <c r="R51" s="388"/>
      <c r="S51" s="332"/>
      <c r="T51" s="364" t="str">
        <f>IFERROR(VLOOKUP(S51, Tarieven!$A$1:$J$150, 10, FALSE), "0")</f>
        <v>0</v>
      </c>
      <c r="U51" s="326"/>
      <c r="V51" s="332"/>
      <c r="W51" s="328" t="str">
        <f>IFERROR(VLOOKUP(V51, Tarieven!$A$1:$J$150, 10, FALSE), "0")</f>
        <v>0</v>
      </c>
      <c r="X51" s="366"/>
      <c r="Y51" s="332"/>
      <c r="Z51" s="348" t="str">
        <f>IFERROR(VLOOKUP(Y51, Tarieven[#ALL], 10, FALSE), "0")</f>
        <v>0</v>
      </c>
      <c r="AA51" s="366"/>
      <c r="AB51" s="332"/>
      <c r="AC51" s="348" t="str">
        <f>IFERROR(VLOOKUP(AB51, Tarieven[#ALL], 10, FALSE), "0")</f>
        <v>0</v>
      </c>
      <c r="AD51" s="329">
        <f t="shared" si="1"/>
        <v>0</v>
      </c>
      <c r="AE51" s="349"/>
      <c r="AF51" s="32">
        <f t="shared" si="3"/>
        <v>0</v>
      </c>
      <c r="AG51" s="350">
        <f t="shared" si="5"/>
        <v>0</v>
      </c>
    </row>
    <row r="52" ht="22.5" customHeight="1">
      <c r="A52" s="400" t="str">
        <f>Rooster!A53</f>
        <v/>
      </c>
      <c r="B52" s="401" t="str">
        <f>Rooster!B53</f>
        <v/>
      </c>
      <c r="C52" s="402" t="str">
        <f>Rooster!C53</f>
        <v/>
      </c>
      <c r="D52" s="403" t="str">
        <f>Rooster!D53</f>
        <v/>
      </c>
      <c r="E52" s="351"/>
      <c r="F52" s="372" t="str">
        <f>Rooster!E53</f>
        <v/>
      </c>
      <c r="G52" s="405" t="str">
        <f>IFERROR(VLOOKUP(F52, Docenten!$A$2:$G$30, 7, FALSE), "0")</f>
        <v>0</v>
      </c>
      <c r="H52" s="338">
        <f t="shared" si="6"/>
        <v>0</v>
      </c>
      <c r="I52" s="372" t="str">
        <f>Rooster!H53</f>
        <v/>
      </c>
      <c r="J52" s="406" t="str">
        <f>IFERROR(VLOOKUP(I52, Locaties!$A$2:$G$15, 7, FALSE), "0")</f>
        <v>0</v>
      </c>
      <c r="K52" s="340">
        <f t="shared" si="7"/>
        <v>0</v>
      </c>
      <c r="L52" s="389"/>
      <c r="M52" s="372"/>
      <c r="N52" s="407" t="str">
        <f>IFERROR(VLOOKUP(M52, Tarieven!$A$1:$J$150, 10, FALSE), "0")</f>
        <v>0</v>
      </c>
      <c r="O52" s="389"/>
      <c r="P52" s="372"/>
      <c r="Q52" s="364" t="str">
        <f>IFERROR(VLOOKUP(P52, Tarieven!$A$1:$J$150, 10, FALSE), "0")</f>
        <v>0</v>
      </c>
      <c r="R52" s="391"/>
      <c r="S52" s="372"/>
      <c r="T52" s="364" t="str">
        <f>IFERROR(VLOOKUP(S52, Tarieven!$A$1:$J$150, 10, FALSE), "0")</f>
        <v>0</v>
      </c>
      <c r="U52" s="326"/>
      <c r="V52" s="372"/>
      <c r="W52" s="328" t="str">
        <f>IFERROR(VLOOKUP(V52, Tarieven!$A$1:$J$150, 10, FALSE), "0")</f>
        <v>0</v>
      </c>
      <c r="X52" s="366"/>
      <c r="Y52" s="372"/>
      <c r="Z52" s="348" t="str">
        <f>IFERROR(VLOOKUP(Y52, Tarieven[#ALL], 10, FALSE), "0")</f>
        <v>0</v>
      </c>
      <c r="AA52" s="366"/>
      <c r="AB52" s="372"/>
      <c r="AC52" s="348" t="str">
        <f>IFERROR(VLOOKUP(AB52, Tarieven[#ALL], 10, FALSE), "0")</f>
        <v>0</v>
      </c>
      <c r="AD52" s="329">
        <f t="shared" si="1"/>
        <v>0</v>
      </c>
      <c r="AE52" s="367"/>
      <c r="AF52" s="32">
        <f t="shared" si="3"/>
        <v>0</v>
      </c>
      <c r="AG52" s="350">
        <f t="shared" si="5"/>
        <v>0</v>
      </c>
    </row>
    <row r="53" ht="22.5" customHeight="1">
      <c r="A53" s="400" t="str">
        <f>Rooster!A54</f>
        <v/>
      </c>
      <c r="B53" s="401" t="str">
        <f>Rooster!B54</f>
        <v/>
      </c>
      <c r="C53" s="402" t="str">
        <f>Rooster!C54</f>
        <v/>
      </c>
      <c r="D53" s="403" t="str">
        <f>Rooster!D54</f>
        <v/>
      </c>
      <c r="E53" s="336"/>
      <c r="F53" s="332" t="str">
        <f>Rooster!E54</f>
        <v/>
      </c>
      <c r="G53" s="405" t="str">
        <f>IFERROR(VLOOKUP(F53, Docenten!$A$2:$G$30, 7, FALSE), "0")</f>
        <v>0</v>
      </c>
      <c r="H53" s="338">
        <f t="shared" si="6"/>
        <v>0</v>
      </c>
      <c r="I53" s="332" t="str">
        <f>Rooster!H54</f>
        <v/>
      </c>
      <c r="J53" s="406" t="str">
        <f>IFERROR(VLOOKUP(I53, Locaties!$A$2:$G$15, 7, FALSE), "0")</f>
        <v>0</v>
      </c>
      <c r="K53" s="340">
        <f t="shared" si="7"/>
        <v>0</v>
      </c>
      <c r="L53" s="386"/>
      <c r="M53" s="332"/>
      <c r="N53" s="407" t="str">
        <f>IFERROR(VLOOKUP(M53, Tarieven!$A$1:$J$150, 10, FALSE), "0")</f>
        <v>0</v>
      </c>
      <c r="O53" s="386"/>
      <c r="P53" s="332"/>
      <c r="Q53" s="364" t="str">
        <f>IFERROR(VLOOKUP(P53, Tarieven!$A$1:$J$150, 10, FALSE), "0")</f>
        <v>0</v>
      </c>
      <c r="R53" s="388"/>
      <c r="S53" s="332"/>
      <c r="T53" s="364" t="str">
        <f>IFERROR(VLOOKUP(S53, Tarieven!$A$1:$J$150, 10, FALSE), "0")</f>
        <v>0</v>
      </c>
      <c r="U53" s="347"/>
      <c r="V53" s="332"/>
      <c r="W53" s="328" t="str">
        <f>IFERROR(VLOOKUP(V53, Tarieven!$A$1:$J$150, 10, FALSE), "0")</f>
        <v>0</v>
      </c>
      <c r="X53" s="366"/>
      <c r="Y53" s="332"/>
      <c r="Z53" s="348" t="str">
        <f>IFERROR(VLOOKUP(Y53, Tarieven[#ALL], 10, FALSE), "0")</f>
        <v>0</v>
      </c>
      <c r="AA53" s="366"/>
      <c r="AB53" s="332"/>
      <c r="AC53" s="348" t="str">
        <f>IFERROR(VLOOKUP(AB53, Tarieven[#ALL], 10, FALSE), "0")</f>
        <v>0</v>
      </c>
      <c r="AD53" s="329">
        <f t="shared" si="1"/>
        <v>0</v>
      </c>
      <c r="AE53" s="349"/>
      <c r="AF53" s="32">
        <f t="shared" si="3"/>
        <v>0</v>
      </c>
      <c r="AG53" s="350">
        <f t="shared" si="5"/>
        <v>0</v>
      </c>
    </row>
    <row r="54" ht="22.5" customHeight="1">
      <c r="A54" s="400" t="str">
        <f>Rooster!A55</f>
        <v/>
      </c>
      <c r="B54" s="401" t="str">
        <f>Rooster!B55</f>
        <v/>
      </c>
      <c r="C54" s="402" t="str">
        <f>Rooster!C55</f>
        <v/>
      </c>
      <c r="D54" s="403" t="str">
        <f>Rooster!D55</f>
        <v/>
      </c>
      <c r="E54" s="351"/>
      <c r="F54" s="372" t="str">
        <f>Rooster!E55</f>
        <v/>
      </c>
      <c r="G54" s="405" t="str">
        <f>IFERROR(VLOOKUP(F54, Docenten!$A$2:$G$30, 7, FALSE), "0")</f>
        <v>0</v>
      </c>
      <c r="H54" s="338">
        <f t="shared" si="6"/>
        <v>0</v>
      </c>
      <c r="I54" s="372" t="str">
        <f>Rooster!H55</f>
        <v/>
      </c>
      <c r="J54" s="406" t="str">
        <f>IFERROR(VLOOKUP(I54, Locaties!$A$2:$G$15, 7, FALSE), "0")</f>
        <v>0</v>
      </c>
      <c r="K54" s="340">
        <f t="shared" si="7"/>
        <v>0</v>
      </c>
      <c r="L54" s="389"/>
      <c r="M54" s="372"/>
      <c r="N54" s="407" t="str">
        <f>IFERROR(VLOOKUP(M54, Tarieven!$A$1:$J$150, 10, FALSE), "0")</f>
        <v>0</v>
      </c>
      <c r="O54" s="389"/>
      <c r="P54" s="372"/>
      <c r="Q54" s="364" t="str">
        <f>IFERROR(VLOOKUP(P54, Tarieven!$A$1:$J$150, 10, FALSE), "0")</f>
        <v>0</v>
      </c>
      <c r="R54" s="391"/>
      <c r="S54" s="372"/>
      <c r="T54" s="364" t="str">
        <f>IFERROR(VLOOKUP(S54, Tarieven!$A$1:$J$150, 10, FALSE), "0")</f>
        <v>0</v>
      </c>
      <c r="U54" s="326"/>
      <c r="V54" s="372"/>
      <c r="W54" s="328" t="str">
        <f>IFERROR(VLOOKUP(V54, Tarieven!$A$1:$J$150, 10, FALSE), "0")</f>
        <v>0</v>
      </c>
      <c r="X54" s="366"/>
      <c r="Y54" s="372"/>
      <c r="Z54" s="348" t="str">
        <f>IFERROR(VLOOKUP(Y54, Tarieven[#ALL], 10, FALSE), "0")</f>
        <v>0</v>
      </c>
      <c r="AA54" s="366"/>
      <c r="AB54" s="372"/>
      <c r="AC54" s="348" t="str">
        <f>IFERROR(VLOOKUP(AB54, Tarieven[#ALL], 10, FALSE), "0")</f>
        <v>0</v>
      </c>
      <c r="AD54" s="329">
        <f t="shared" si="1"/>
        <v>0</v>
      </c>
      <c r="AE54" s="367"/>
      <c r="AF54" s="32">
        <f t="shared" si="3"/>
        <v>0</v>
      </c>
      <c r="AG54" s="350">
        <f t="shared" si="5"/>
        <v>0</v>
      </c>
    </row>
    <row r="55" ht="22.5" customHeight="1">
      <c r="A55" s="400" t="str">
        <f>Rooster!A56</f>
        <v/>
      </c>
      <c r="B55" s="401" t="str">
        <f>Rooster!B56</f>
        <v/>
      </c>
      <c r="C55" s="402" t="str">
        <f>Rooster!C56</f>
        <v/>
      </c>
      <c r="D55" s="403" t="str">
        <f>Rooster!D56</f>
        <v/>
      </c>
      <c r="E55" s="336"/>
      <c r="F55" s="332" t="str">
        <f>Rooster!E56</f>
        <v/>
      </c>
      <c r="G55" s="405" t="str">
        <f>IFERROR(VLOOKUP(F55, Docenten!$A$2:$G$30, 7, FALSE), "0")</f>
        <v>0</v>
      </c>
      <c r="H55" s="338">
        <f t="shared" si="6"/>
        <v>0</v>
      </c>
      <c r="I55" s="332" t="str">
        <f>Rooster!H56</f>
        <v/>
      </c>
      <c r="J55" s="406" t="str">
        <f>IFERROR(VLOOKUP(I55, Locaties!$A$2:$G$15, 7, FALSE), "0")</f>
        <v>0</v>
      </c>
      <c r="K55" s="340">
        <f t="shared" si="7"/>
        <v>0</v>
      </c>
      <c r="L55" s="386"/>
      <c r="M55" s="332"/>
      <c r="N55" s="407" t="str">
        <f>IFERROR(VLOOKUP(M55, Tarieven!$A$1:$J$150, 10, FALSE), "0")</f>
        <v>0</v>
      </c>
      <c r="O55" s="386"/>
      <c r="P55" s="332"/>
      <c r="Q55" s="364" t="str">
        <f>IFERROR(VLOOKUP(P55, Tarieven!$A$1:$J$150, 10, FALSE), "0")</f>
        <v>0</v>
      </c>
      <c r="R55" s="388"/>
      <c r="S55" s="332"/>
      <c r="T55" s="364" t="str">
        <f>IFERROR(VLOOKUP(S55, Tarieven!$A$1:$J$150, 10, FALSE), "0")</f>
        <v>0</v>
      </c>
      <c r="U55" s="326"/>
      <c r="V55" s="332"/>
      <c r="W55" s="328" t="str">
        <f>IFERROR(VLOOKUP(V55, Tarieven!$A$1:$J$150, 10, FALSE), "0")</f>
        <v>0</v>
      </c>
      <c r="X55" s="366"/>
      <c r="Y55" s="332"/>
      <c r="Z55" s="348" t="str">
        <f>IFERROR(VLOOKUP(Y55, Tarieven[#ALL], 10, FALSE), "0")</f>
        <v>0</v>
      </c>
      <c r="AA55" s="366"/>
      <c r="AB55" s="332"/>
      <c r="AC55" s="348" t="str">
        <f>IFERROR(VLOOKUP(AB55, Tarieven[#ALL], 10, FALSE), "0")</f>
        <v>0</v>
      </c>
      <c r="AD55" s="329">
        <f t="shared" si="1"/>
        <v>0</v>
      </c>
      <c r="AE55" s="349"/>
      <c r="AF55" s="32">
        <f t="shared" si="3"/>
        <v>0</v>
      </c>
      <c r="AG55" s="350">
        <f t="shared" si="5"/>
        <v>0</v>
      </c>
    </row>
    <row r="56" ht="22.5" customHeight="1">
      <c r="A56" s="400" t="str">
        <f>Rooster!A57</f>
        <v/>
      </c>
      <c r="B56" s="401" t="str">
        <f>Rooster!B57</f>
        <v/>
      </c>
      <c r="C56" s="402" t="str">
        <f>Rooster!C57</f>
        <v/>
      </c>
      <c r="D56" s="403" t="str">
        <f>Rooster!D57</f>
        <v/>
      </c>
      <c r="E56" s="351"/>
      <c r="F56" s="372" t="str">
        <f>Rooster!E57</f>
        <v/>
      </c>
      <c r="G56" s="405" t="str">
        <f>IFERROR(VLOOKUP(F56, Docenten!$A$2:$G$30, 7, FALSE), "0")</f>
        <v>0</v>
      </c>
      <c r="H56" s="338">
        <f t="shared" si="6"/>
        <v>0</v>
      </c>
      <c r="I56" s="372" t="str">
        <f>Rooster!H57</f>
        <v/>
      </c>
      <c r="J56" s="406" t="str">
        <f>IFERROR(VLOOKUP(I56, Locaties!$A$2:$G$15, 7, FALSE), "0")</f>
        <v>0</v>
      </c>
      <c r="K56" s="340">
        <f t="shared" si="7"/>
        <v>0</v>
      </c>
      <c r="L56" s="389"/>
      <c r="M56" s="372"/>
      <c r="N56" s="407" t="str">
        <f>IFERROR(VLOOKUP(M56, Tarieven!$A$1:$J$150, 10, FALSE), "0")</f>
        <v>0</v>
      </c>
      <c r="O56" s="389"/>
      <c r="P56" s="372"/>
      <c r="Q56" s="364" t="str">
        <f>IFERROR(VLOOKUP(P56, Tarieven!$A$1:$J$150, 10, FALSE), "0")</f>
        <v>0</v>
      </c>
      <c r="R56" s="391"/>
      <c r="S56" s="372"/>
      <c r="T56" s="364" t="str">
        <f>IFERROR(VLOOKUP(S56, Tarieven!$A$1:$J$150, 10, FALSE), "0")</f>
        <v>0</v>
      </c>
      <c r="U56" s="326"/>
      <c r="V56" s="372"/>
      <c r="W56" s="328" t="str">
        <f>IFERROR(VLOOKUP(V56, Tarieven!$A$1:$J$150, 10, FALSE), "0")</f>
        <v>0</v>
      </c>
      <c r="X56" s="366"/>
      <c r="Y56" s="372"/>
      <c r="Z56" s="348" t="str">
        <f>IFERROR(VLOOKUP(Y56, Tarieven[#ALL], 10, FALSE), "0")</f>
        <v>0</v>
      </c>
      <c r="AA56" s="366"/>
      <c r="AB56" s="372"/>
      <c r="AC56" s="348" t="str">
        <f>IFERROR(VLOOKUP(AB56, Tarieven[#ALL], 10, FALSE), "0")</f>
        <v>0</v>
      </c>
      <c r="AD56" s="329">
        <f t="shared" si="1"/>
        <v>0</v>
      </c>
      <c r="AE56" s="367"/>
      <c r="AF56" s="32">
        <f t="shared" si="3"/>
        <v>0</v>
      </c>
      <c r="AG56" s="350">
        <f t="shared" si="5"/>
        <v>0</v>
      </c>
    </row>
    <row r="57" ht="22.5" customHeight="1">
      <c r="A57" s="400" t="str">
        <f>Rooster!A58</f>
        <v/>
      </c>
      <c r="B57" s="401" t="str">
        <f>Rooster!B58</f>
        <v/>
      </c>
      <c r="C57" s="402" t="str">
        <f>Rooster!C58</f>
        <v/>
      </c>
      <c r="D57" s="403" t="str">
        <f>Rooster!D58</f>
        <v/>
      </c>
      <c r="E57" s="336"/>
      <c r="F57" s="332" t="str">
        <f>Rooster!E58</f>
        <v/>
      </c>
      <c r="G57" s="405" t="str">
        <f>IFERROR(VLOOKUP(F57, Docenten!$A$2:$G$30, 7, FALSE), "0")</f>
        <v>0</v>
      </c>
      <c r="H57" s="338">
        <f t="shared" si="6"/>
        <v>0</v>
      </c>
      <c r="I57" s="332" t="str">
        <f>Rooster!H58</f>
        <v/>
      </c>
      <c r="J57" s="406" t="str">
        <f>IFERROR(VLOOKUP(I57, Locaties!$A$2:$G$15, 7, FALSE), "0")</f>
        <v>0</v>
      </c>
      <c r="K57" s="340">
        <f t="shared" si="7"/>
        <v>0</v>
      </c>
      <c r="L57" s="386"/>
      <c r="M57" s="332"/>
      <c r="N57" s="407" t="str">
        <f>IFERROR(VLOOKUP(M57, Tarieven!$A$1:$J$150, 10, FALSE), "0")</f>
        <v>0</v>
      </c>
      <c r="O57" s="386"/>
      <c r="P57" s="332"/>
      <c r="Q57" s="364" t="str">
        <f>IFERROR(VLOOKUP(P57, Tarieven!$A$1:$J$150, 10, FALSE), "0")</f>
        <v>0</v>
      </c>
      <c r="R57" s="388"/>
      <c r="S57" s="332"/>
      <c r="T57" s="364" t="str">
        <f>IFERROR(VLOOKUP(S57, Tarieven!$A$1:$J$150, 10, FALSE), "0")</f>
        <v>0</v>
      </c>
      <c r="U57" s="347"/>
      <c r="V57" s="332"/>
      <c r="W57" s="328" t="str">
        <f>IFERROR(VLOOKUP(V57, Tarieven!$A$1:$J$150, 10, FALSE), "0")</f>
        <v>0</v>
      </c>
      <c r="X57" s="366"/>
      <c r="Y57" s="332"/>
      <c r="Z57" s="348" t="str">
        <f>IFERROR(VLOOKUP(Y57, Tarieven[#ALL], 10, FALSE), "0")</f>
        <v>0</v>
      </c>
      <c r="AA57" s="366"/>
      <c r="AB57" s="332"/>
      <c r="AC57" s="348" t="str">
        <f>IFERROR(VLOOKUP(AB57, Tarieven[#ALL], 10, FALSE), "0")</f>
        <v>0</v>
      </c>
      <c r="AD57" s="329">
        <f t="shared" si="1"/>
        <v>0</v>
      </c>
      <c r="AE57" s="349"/>
      <c r="AF57" s="32">
        <f t="shared" si="3"/>
        <v>0</v>
      </c>
      <c r="AG57" s="350">
        <f t="shared" si="5"/>
        <v>0</v>
      </c>
    </row>
    <row r="58" ht="22.5" customHeight="1">
      <c r="A58" s="400" t="str">
        <f>Rooster!A59</f>
        <v/>
      </c>
      <c r="B58" s="401" t="str">
        <f>Rooster!B59</f>
        <v/>
      </c>
      <c r="C58" s="402" t="str">
        <f>Rooster!C59</f>
        <v/>
      </c>
      <c r="D58" s="403" t="str">
        <f>Rooster!D59</f>
        <v/>
      </c>
      <c r="E58" s="351"/>
      <c r="F58" s="372" t="str">
        <f>Rooster!E59</f>
        <v/>
      </c>
      <c r="G58" s="405" t="str">
        <f>IFERROR(VLOOKUP(F58, Docenten!$A$2:$G$30, 7, FALSE), "0")</f>
        <v>0</v>
      </c>
      <c r="H58" s="338">
        <f t="shared" si="6"/>
        <v>0</v>
      </c>
      <c r="I58" s="372" t="str">
        <f>Rooster!H59</f>
        <v/>
      </c>
      <c r="J58" s="406" t="str">
        <f>IFERROR(VLOOKUP(I58, Locaties!$A$2:$G$15, 7, FALSE), "0")</f>
        <v>0</v>
      </c>
      <c r="K58" s="340">
        <f t="shared" si="7"/>
        <v>0</v>
      </c>
      <c r="L58" s="389"/>
      <c r="M58" s="372"/>
      <c r="N58" s="407" t="str">
        <f>IFERROR(VLOOKUP(M58, Tarieven!$A$1:$J$150, 10, FALSE), "0")</f>
        <v>0</v>
      </c>
      <c r="O58" s="389"/>
      <c r="P58" s="372"/>
      <c r="Q58" s="364" t="str">
        <f>IFERROR(VLOOKUP(P58, Tarieven!$A$1:$J$150, 10, FALSE), "0")</f>
        <v>0</v>
      </c>
      <c r="R58" s="391"/>
      <c r="S58" s="372"/>
      <c r="T58" s="364" t="str">
        <f>IFERROR(VLOOKUP(S58, Tarieven!$A$1:$J$150, 10, FALSE), "0")</f>
        <v>0</v>
      </c>
      <c r="U58" s="326"/>
      <c r="V58" s="372"/>
      <c r="W58" s="328" t="str">
        <f>IFERROR(VLOOKUP(V58, Tarieven!$A$1:$J$150, 10, FALSE), "0")</f>
        <v>0</v>
      </c>
      <c r="X58" s="366"/>
      <c r="Y58" s="372"/>
      <c r="Z58" s="348" t="str">
        <f>IFERROR(VLOOKUP(Y58, Tarieven[#ALL], 10, FALSE), "0")</f>
        <v>0</v>
      </c>
      <c r="AA58" s="366"/>
      <c r="AB58" s="372"/>
      <c r="AC58" s="348" t="str">
        <f>IFERROR(VLOOKUP(AB58, Tarieven[#ALL], 10, FALSE), "0")</f>
        <v>0</v>
      </c>
      <c r="AD58" s="329">
        <f t="shared" si="1"/>
        <v>0</v>
      </c>
      <c r="AE58" s="367"/>
      <c r="AF58" s="32">
        <f t="shared" si="3"/>
        <v>0</v>
      </c>
      <c r="AG58" s="350">
        <f t="shared" si="5"/>
        <v>0</v>
      </c>
    </row>
    <row r="59" ht="22.5" customHeight="1">
      <c r="A59" s="400" t="str">
        <f>Rooster!A60</f>
        <v/>
      </c>
      <c r="B59" s="401" t="str">
        <f>Rooster!B60</f>
        <v/>
      </c>
      <c r="C59" s="402" t="str">
        <f>Rooster!C60</f>
        <v/>
      </c>
      <c r="D59" s="403" t="str">
        <f>Rooster!D60</f>
        <v/>
      </c>
      <c r="E59" s="336"/>
      <c r="F59" s="332" t="str">
        <f>Rooster!E60</f>
        <v/>
      </c>
      <c r="G59" s="405" t="str">
        <f>IFERROR(VLOOKUP(F59, Docenten!$A$2:$G$30, 7, FALSE), "0")</f>
        <v>0</v>
      </c>
      <c r="H59" s="338">
        <f t="shared" si="6"/>
        <v>0</v>
      </c>
      <c r="I59" s="332" t="str">
        <f>Rooster!H60</f>
        <v/>
      </c>
      <c r="J59" s="406" t="str">
        <f>IFERROR(VLOOKUP(I59, Locaties!$A$2:$G$15, 7, FALSE), "0")</f>
        <v>0</v>
      </c>
      <c r="K59" s="340">
        <f t="shared" si="7"/>
        <v>0</v>
      </c>
      <c r="L59" s="386"/>
      <c r="M59" s="332"/>
      <c r="N59" s="407" t="str">
        <f>IFERROR(VLOOKUP(M59, Tarieven!$A$1:$J$150, 10, FALSE), "0")</f>
        <v>0</v>
      </c>
      <c r="O59" s="386"/>
      <c r="P59" s="332"/>
      <c r="Q59" s="364" t="str">
        <f>IFERROR(VLOOKUP(P59, Tarieven!$A$1:$J$150, 10, FALSE), "0")</f>
        <v>0</v>
      </c>
      <c r="R59" s="388"/>
      <c r="S59" s="332"/>
      <c r="T59" s="364" t="str">
        <f>IFERROR(VLOOKUP(S59, Tarieven!$A$1:$J$150, 10, FALSE), "0")</f>
        <v>0</v>
      </c>
      <c r="U59" s="326"/>
      <c r="V59" s="332"/>
      <c r="W59" s="328" t="str">
        <f>IFERROR(VLOOKUP(V59, Tarieven!$A$1:$J$150, 10, FALSE), "0")</f>
        <v>0</v>
      </c>
      <c r="X59" s="366"/>
      <c r="Y59" s="332"/>
      <c r="Z59" s="348" t="str">
        <f>IFERROR(VLOOKUP(Y59, Tarieven[#ALL], 10, FALSE), "0")</f>
        <v>0</v>
      </c>
      <c r="AA59" s="366"/>
      <c r="AB59" s="332"/>
      <c r="AC59" s="348" t="str">
        <f>IFERROR(VLOOKUP(AB59, Tarieven[#ALL], 10, FALSE), "0")</f>
        <v>0</v>
      </c>
      <c r="AD59" s="329">
        <f t="shared" si="1"/>
        <v>0</v>
      </c>
      <c r="AE59" s="349"/>
      <c r="AF59" s="32">
        <f t="shared" si="3"/>
        <v>0</v>
      </c>
      <c r="AG59" s="350">
        <f t="shared" si="5"/>
        <v>0</v>
      </c>
    </row>
    <row r="60" ht="22.5" customHeight="1">
      <c r="A60" s="400" t="str">
        <f>Rooster!A61</f>
        <v/>
      </c>
      <c r="B60" s="401" t="str">
        <f>Rooster!B61</f>
        <v/>
      </c>
      <c r="C60" s="402" t="str">
        <f>Rooster!C61</f>
        <v/>
      </c>
      <c r="D60" s="403" t="str">
        <f>Rooster!D61</f>
        <v/>
      </c>
      <c r="E60" s="351"/>
      <c r="F60" s="372" t="str">
        <f>Rooster!E61</f>
        <v/>
      </c>
      <c r="G60" s="405" t="str">
        <f>IFERROR(VLOOKUP(F60, Docenten!$A$2:$G$30, 7, FALSE), "0")</f>
        <v>0</v>
      </c>
      <c r="H60" s="338">
        <f t="shared" si="6"/>
        <v>0</v>
      </c>
      <c r="I60" s="372" t="str">
        <f>Rooster!H61</f>
        <v/>
      </c>
      <c r="J60" s="406" t="str">
        <f>IFERROR(VLOOKUP(I60, Locaties!$A$2:$G$15, 7, FALSE), "0")</f>
        <v>0</v>
      </c>
      <c r="K60" s="340">
        <f t="shared" si="7"/>
        <v>0</v>
      </c>
      <c r="L60" s="389"/>
      <c r="M60" s="372"/>
      <c r="N60" s="407" t="str">
        <f>IFERROR(VLOOKUP(M60, Tarieven!$A$1:$J$150, 10, FALSE), "0")</f>
        <v>0</v>
      </c>
      <c r="O60" s="389"/>
      <c r="P60" s="372"/>
      <c r="Q60" s="364" t="str">
        <f>IFERROR(VLOOKUP(P60, Tarieven!$A$1:$J$150, 10, FALSE), "0")</f>
        <v>0</v>
      </c>
      <c r="R60" s="391"/>
      <c r="S60" s="372"/>
      <c r="T60" s="364" t="str">
        <f>IFERROR(VLOOKUP(S60, Tarieven!$A$1:$J$150, 10, FALSE), "0")</f>
        <v>0</v>
      </c>
      <c r="U60" s="326"/>
      <c r="V60" s="372"/>
      <c r="W60" s="328" t="str">
        <f>IFERROR(VLOOKUP(V60, Tarieven!$A$1:$J$150, 10, FALSE), "0")</f>
        <v>0</v>
      </c>
      <c r="X60" s="366"/>
      <c r="Y60" s="372"/>
      <c r="Z60" s="348" t="str">
        <f>IFERROR(VLOOKUP(Y60, Tarieven[#ALL], 10, FALSE), "0")</f>
        <v>0</v>
      </c>
      <c r="AA60" s="366"/>
      <c r="AB60" s="372"/>
      <c r="AC60" s="348" t="str">
        <f>IFERROR(VLOOKUP(AB60, Tarieven[#ALL], 10, FALSE), "0")</f>
        <v>0</v>
      </c>
      <c r="AD60" s="329">
        <f t="shared" si="1"/>
        <v>0</v>
      </c>
      <c r="AE60" s="367"/>
      <c r="AF60" s="32">
        <f t="shared" si="3"/>
        <v>0</v>
      </c>
      <c r="AG60" s="350">
        <f t="shared" si="5"/>
        <v>0</v>
      </c>
    </row>
    <row r="61" ht="22.5" customHeight="1">
      <c r="A61" s="400" t="str">
        <f>Rooster!A62</f>
        <v/>
      </c>
      <c r="B61" s="401" t="str">
        <f>Rooster!B62</f>
        <v/>
      </c>
      <c r="C61" s="402" t="str">
        <f>Rooster!C62</f>
        <v/>
      </c>
      <c r="D61" s="403" t="str">
        <f>Rooster!D62</f>
        <v/>
      </c>
      <c r="E61" s="336"/>
      <c r="F61" s="332" t="str">
        <f>Rooster!E62</f>
        <v/>
      </c>
      <c r="G61" s="405" t="str">
        <f>IFERROR(VLOOKUP(F61, Docenten!$A$2:$G$30, 7, FALSE), "0")</f>
        <v>0</v>
      </c>
      <c r="H61" s="338">
        <f t="shared" si="6"/>
        <v>0</v>
      </c>
      <c r="I61" s="332" t="str">
        <f>Rooster!H62</f>
        <v/>
      </c>
      <c r="J61" s="406" t="str">
        <f>IFERROR(VLOOKUP(I61, Locaties!$A$2:$G$15, 7, FALSE), "0")</f>
        <v>0</v>
      </c>
      <c r="K61" s="340">
        <f t="shared" si="7"/>
        <v>0</v>
      </c>
      <c r="L61" s="386"/>
      <c r="M61" s="332"/>
      <c r="N61" s="407" t="str">
        <f>IFERROR(VLOOKUP(M61, Tarieven!$A$1:$J$150, 10, FALSE), "0")</f>
        <v>0</v>
      </c>
      <c r="O61" s="386"/>
      <c r="P61" s="332"/>
      <c r="Q61" s="364" t="str">
        <f>IFERROR(VLOOKUP(P61, Tarieven!$A$1:$J$150, 10, FALSE), "0")</f>
        <v>0</v>
      </c>
      <c r="R61" s="388"/>
      <c r="S61" s="332"/>
      <c r="T61" s="364" t="str">
        <f>IFERROR(VLOOKUP(S61, Tarieven!$A$1:$J$150, 10, FALSE), "0")</f>
        <v>0</v>
      </c>
      <c r="U61" s="347"/>
      <c r="V61" s="332"/>
      <c r="W61" s="328" t="str">
        <f>IFERROR(VLOOKUP(V61, Tarieven!$A$1:$J$150, 10, FALSE), "0")</f>
        <v>0</v>
      </c>
      <c r="X61" s="366"/>
      <c r="Y61" s="332"/>
      <c r="Z61" s="348" t="str">
        <f>IFERROR(VLOOKUP(Y61, Tarieven[#ALL], 10, FALSE), "0")</f>
        <v>0</v>
      </c>
      <c r="AA61" s="366"/>
      <c r="AB61" s="332"/>
      <c r="AC61" s="348" t="str">
        <f>IFERROR(VLOOKUP(AB61, Tarieven[#ALL], 10, FALSE), "0")</f>
        <v>0</v>
      </c>
      <c r="AD61" s="329">
        <f t="shared" si="1"/>
        <v>0</v>
      </c>
      <c r="AE61" s="349"/>
      <c r="AF61" s="32">
        <f t="shared" si="3"/>
        <v>0</v>
      </c>
      <c r="AG61" s="350">
        <f t="shared" si="5"/>
        <v>0</v>
      </c>
    </row>
    <row r="62" ht="22.5" customHeight="1">
      <c r="A62" s="400" t="str">
        <f>Rooster!A63</f>
        <v/>
      </c>
      <c r="B62" s="401" t="str">
        <f>Rooster!B63</f>
        <v/>
      </c>
      <c r="C62" s="402" t="str">
        <f>Rooster!C63</f>
        <v/>
      </c>
      <c r="D62" s="403" t="str">
        <f>Rooster!D63</f>
        <v/>
      </c>
      <c r="E62" s="351"/>
      <c r="F62" s="372" t="str">
        <f>Rooster!E63</f>
        <v/>
      </c>
      <c r="G62" s="405" t="str">
        <f>IFERROR(VLOOKUP(F62, Docenten!$A$2:$G$30, 7, FALSE), "0")</f>
        <v>0</v>
      </c>
      <c r="H62" s="338">
        <f t="shared" si="6"/>
        <v>0</v>
      </c>
      <c r="I62" s="372" t="str">
        <f>Rooster!H63</f>
        <v/>
      </c>
      <c r="J62" s="406" t="str">
        <f>IFERROR(VLOOKUP(I62, Locaties!$A$2:$G$15, 7, FALSE), "0")</f>
        <v>0</v>
      </c>
      <c r="K62" s="340">
        <f t="shared" si="7"/>
        <v>0</v>
      </c>
      <c r="L62" s="389"/>
      <c r="M62" s="372"/>
      <c r="N62" s="407" t="str">
        <f>IFERROR(VLOOKUP(M62, Tarieven!$A$1:$J$150, 10, FALSE), "0")</f>
        <v>0</v>
      </c>
      <c r="O62" s="389"/>
      <c r="P62" s="372"/>
      <c r="Q62" s="364" t="str">
        <f>IFERROR(VLOOKUP(P62, Tarieven!$A$1:$J$150, 10, FALSE), "0")</f>
        <v>0</v>
      </c>
      <c r="R62" s="391"/>
      <c r="S62" s="372"/>
      <c r="T62" s="364" t="str">
        <f>IFERROR(VLOOKUP(S62, Tarieven!$A$1:$J$150, 10, FALSE), "0")</f>
        <v>0</v>
      </c>
      <c r="U62" s="326"/>
      <c r="V62" s="372"/>
      <c r="W62" s="328" t="str">
        <f>IFERROR(VLOOKUP(V62, Tarieven!$A$1:$J$150, 10, FALSE), "0")</f>
        <v>0</v>
      </c>
      <c r="X62" s="366"/>
      <c r="Y62" s="372"/>
      <c r="Z62" s="348" t="str">
        <f>IFERROR(VLOOKUP(Y62, Tarieven[#ALL], 10, FALSE), "0")</f>
        <v>0</v>
      </c>
      <c r="AA62" s="366"/>
      <c r="AB62" s="372"/>
      <c r="AC62" s="348" t="str">
        <f>IFERROR(VLOOKUP(AB62, Tarieven[#ALL], 10, FALSE), "0")</f>
        <v>0</v>
      </c>
      <c r="AD62" s="329">
        <f t="shared" si="1"/>
        <v>0</v>
      </c>
      <c r="AE62" s="367"/>
      <c r="AF62" s="32">
        <f t="shared" si="3"/>
        <v>0</v>
      </c>
      <c r="AG62" s="350">
        <f t="shared" si="5"/>
        <v>0</v>
      </c>
    </row>
    <row r="63" ht="22.5" customHeight="1">
      <c r="A63" s="400" t="str">
        <f>Rooster!A64</f>
        <v/>
      </c>
      <c r="B63" s="401" t="str">
        <f>Rooster!B64</f>
        <v/>
      </c>
      <c r="C63" s="402" t="str">
        <f>Rooster!C64</f>
        <v/>
      </c>
      <c r="D63" s="403" t="str">
        <f>Rooster!D64</f>
        <v/>
      </c>
      <c r="E63" s="336"/>
      <c r="F63" s="332" t="str">
        <f>Rooster!E64</f>
        <v/>
      </c>
      <c r="G63" s="405" t="str">
        <f>IFERROR(VLOOKUP(F63, Docenten!$A$2:$G$30, 7, FALSE), "0")</f>
        <v>0</v>
      </c>
      <c r="H63" s="338">
        <f t="shared" si="6"/>
        <v>0</v>
      </c>
      <c r="I63" s="332" t="str">
        <f>Rooster!H64</f>
        <v/>
      </c>
      <c r="J63" s="406" t="str">
        <f>IFERROR(VLOOKUP(I63, Locaties!$A$2:$G$15, 7, FALSE), "0")</f>
        <v>0</v>
      </c>
      <c r="K63" s="340">
        <f t="shared" si="7"/>
        <v>0</v>
      </c>
      <c r="L63" s="386"/>
      <c r="M63" s="332"/>
      <c r="N63" s="407" t="str">
        <f>IFERROR(VLOOKUP(M63, Tarieven!$A$1:$J$150, 10, FALSE), "0")</f>
        <v>0</v>
      </c>
      <c r="O63" s="386"/>
      <c r="P63" s="332"/>
      <c r="Q63" s="364" t="str">
        <f>IFERROR(VLOOKUP(P63, Tarieven!$A$1:$J$150, 10, FALSE), "0")</f>
        <v>0</v>
      </c>
      <c r="R63" s="388"/>
      <c r="S63" s="332"/>
      <c r="T63" s="364" t="str">
        <f>IFERROR(VLOOKUP(S63, Tarieven!$A$1:$J$150, 10, FALSE), "0")</f>
        <v>0</v>
      </c>
      <c r="U63" s="326"/>
      <c r="V63" s="332"/>
      <c r="W63" s="328" t="str">
        <f>IFERROR(VLOOKUP(V63, Tarieven!$A$1:$J$150, 10, FALSE), "0")</f>
        <v>0</v>
      </c>
      <c r="X63" s="366"/>
      <c r="Y63" s="332"/>
      <c r="Z63" s="348" t="str">
        <f>IFERROR(VLOOKUP(Y63, Tarieven[#ALL], 10, FALSE), "0")</f>
        <v>0</v>
      </c>
      <c r="AA63" s="366"/>
      <c r="AB63" s="332"/>
      <c r="AC63" s="348" t="str">
        <f>IFERROR(VLOOKUP(AB63, Tarieven[#ALL], 10, FALSE), "0")</f>
        <v>0</v>
      </c>
      <c r="AD63" s="329">
        <f t="shared" si="1"/>
        <v>0</v>
      </c>
      <c r="AE63" s="349"/>
      <c r="AF63" s="32">
        <f t="shared" si="3"/>
        <v>0</v>
      </c>
      <c r="AG63" s="350">
        <f t="shared" si="5"/>
        <v>0</v>
      </c>
    </row>
    <row r="64" ht="22.5" customHeight="1">
      <c r="A64" s="400" t="str">
        <f>Rooster!A65</f>
        <v/>
      </c>
      <c r="B64" s="401" t="str">
        <f>Rooster!B65</f>
        <v/>
      </c>
      <c r="C64" s="402" t="str">
        <f>Rooster!C65</f>
        <v/>
      </c>
      <c r="D64" s="403" t="str">
        <f>Rooster!D65</f>
        <v/>
      </c>
      <c r="E64" s="351"/>
      <c r="F64" s="372" t="str">
        <f>Rooster!E65</f>
        <v/>
      </c>
      <c r="G64" s="405" t="str">
        <f>IFERROR(VLOOKUP(F64, Docenten!$A$2:$G$30, 7, FALSE), "0")</f>
        <v>0</v>
      </c>
      <c r="H64" s="338">
        <f t="shared" si="6"/>
        <v>0</v>
      </c>
      <c r="I64" s="372" t="str">
        <f>Rooster!H65</f>
        <v/>
      </c>
      <c r="J64" s="406" t="str">
        <f>IFERROR(VLOOKUP(I64, Locaties!$A$2:$G$15, 7, FALSE), "0")</f>
        <v>0</v>
      </c>
      <c r="K64" s="340">
        <f t="shared" si="7"/>
        <v>0</v>
      </c>
      <c r="L64" s="389"/>
      <c r="M64" s="372"/>
      <c r="N64" s="407" t="str">
        <f>IFERROR(VLOOKUP(M64, Tarieven!$A$1:$J$150, 10, FALSE), "0")</f>
        <v>0</v>
      </c>
      <c r="O64" s="389"/>
      <c r="P64" s="372"/>
      <c r="Q64" s="364" t="str">
        <f>IFERROR(VLOOKUP(P64, Tarieven!$A$1:$J$150, 10, FALSE), "0")</f>
        <v>0</v>
      </c>
      <c r="R64" s="391"/>
      <c r="S64" s="372"/>
      <c r="T64" s="364" t="str">
        <f>IFERROR(VLOOKUP(S64, Tarieven!$A$1:$J$150, 10, FALSE), "0")</f>
        <v>0</v>
      </c>
      <c r="U64" s="326"/>
      <c r="V64" s="372"/>
      <c r="W64" s="328" t="str">
        <f>IFERROR(VLOOKUP(V64, Tarieven!$A$1:$J$150, 10, FALSE), "0")</f>
        <v>0</v>
      </c>
      <c r="X64" s="366"/>
      <c r="Y64" s="372"/>
      <c r="Z64" s="348" t="str">
        <f>IFERROR(VLOOKUP(Y64, Tarieven[#ALL], 10, FALSE), "0")</f>
        <v>0</v>
      </c>
      <c r="AA64" s="366"/>
      <c r="AB64" s="372"/>
      <c r="AC64" s="348" t="str">
        <f>IFERROR(VLOOKUP(AB64, Tarieven[#ALL], 10, FALSE), "0")</f>
        <v>0</v>
      </c>
      <c r="AD64" s="329">
        <f t="shared" si="1"/>
        <v>0</v>
      </c>
      <c r="AE64" s="367"/>
      <c r="AF64" s="32">
        <f t="shared" si="3"/>
        <v>0</v>
      </c>
      <c r="AG64" s="350">
        <f t="shared" si="5"/>
        <v>0</v>
      </c>
    </row>
    <row r="65" ht="22.5" customHeight="1">
      <c r="A65" s="331" t="str">
        <f>Rooster!A66</f>
        <v/>
      </c>
      <c r="B65" s="396" t="str">
        <f>Rooster!B66</f>
        <v/>
      </c>
      <c r="C65" s="15" t="str">
        <f>Rooster!C66</f>
        <v/>
      </c>
      <c r="D65" s="11" t="str">
        <f>Rooster!D66</f>
        <v/>
      </c>
      <c r="E65" s="318">
        <v>1.0</v>
      </c>
      <c r="F65" s="327" t="str">
        <f>Rooster!E66</f>
        <v/>
      </c>
      <c r="G65" s="319" t="str">
        <f>IFERROR(VLOOKUP(F65, Docenten!$A$2:$G$30, 7, FALSE), "0")</f>
        <v>0</v>
      </c>
      <c r="H65" s="320">
        <f t="shared" si="6"/>
        <v>0</v>
      </c>
      <c r="I65" s="327" t="str">
        <f>Rooster!H66</f>
        <v/>
      </c>
      <c r="J65" s="321" t="str">
        <f>IFERROR(VLOOKUP(I65, Locaties!$A$2:$G$15, 7, FALSE), "0")</f>
        <v>0</v>
      </c>
      <c r="K65" s="42">
        <f t="shared" si="7"/>
        <v>0</v>
      </c>
      <c r="L65" s="416"/>
      <c r="M65" s="85"/>
      <c r="N65" s="321" t="str">
        <f>IFERROR(VLOOKUP(M65, Tarieven[#ALL], 10, FALSE), "0")</f>
        <v>0</v>
      </c>
      <c r="O65" s="416"/>
      <c r="P65" s="334"/>
      <c r="Q65" s="325" t="str">
        <f>IFERROR(VLOOKUP(P65, Tarieven[#ALL], 10, FALSE), "0")</f>
        <v>0</v>
      </c>
      <c r="R65" s="417"/>
      <c r="S65" s="85"/>
      <c r="T65" s="325" t="str">
        <f>IFERROR(VLOOKUP(S65, Tarieven[#ALL], 10, FALSE), "0")</f>
        <v>0</v>
      </c>
      <c r="U65" s="347"/>
      <c r="V65" s="85"/>
      <c r="W65" s="328" t="str">
        <f>IFERROR(VLOOKUP(V65, Tarieven!$A$1:$J$150, 10, FALSE), "0")</f>
        <v>0</v>
      </c>
      <c r="X65" s="326"/>
      <c r="Y65" s="85"/>
      <c r="Z65" s="328" t="str">
        <f>IFERROR(VLOOKUP(Y65, Tarieven[#ALL], 10, FALSE), "0")</f>
        <v>0</v>
      </c>
      <c r="AA65" s="326"/>
      <c r="AB65" s="85"/>
      <c r="AC65" s="328" t="str">
        <f>IFERROR(VLOOKUP(AB65, Tarieven[#ALL], 10, FALSE), "0")</f>
        <v>0</v>
      </c>
      <c r="AD65" s="329">
        <f t="shared" si="1"/>
        <v>0</v>
      </c>
      <c r="AE65" s="32">
        <f t="shared" ref="AE65:AE101" si="8">SUM(H65+K65)*E65</f>
        <v>0</v>
      </c>
      <c r="AF65" s="32">
        <f t="shared" si="3"/>
        <v>0</v>
      </c>
      <c r="AG65" s="32">
        <f t="shared" ref="AG65:AG101" si="9">SUM(AF65-AE65)</f>
        <v>0</v>
      </c>
    </row>
    <row r="66" ht="22.5" customHeight="1">
      <c r="A66" s="331" t="str">
        <f>Rooster!A67</f>
        <v/>
      </c>
      <c r="B66" s="396" t="str">
        <f>Rooster!B67</f>
        <v/>
      </c>
      <c r="C66" s="15" t="str">
        <f>Rooster!C67</f>
        <v/>
      </c>
      <c r="D66" s="11" t="str">
        <f>Rooster!D67</f>
        <v/>
      </c>
      <c r="E66" s="318">
        <v>1.0</v>
      </c>
      <c r="F66" s="327" t="str">
        <f>Rooster!E67</f>
        <v/>
      </c>
      <c r="G66" s="319" t="str">
        <f>IFERROR(VLOOKUP(F66, Docenten!$A$2:$G$30, 7, FALSE), "0")</f>
        <v>0</v>
      </c>
      <c r="H66" s="320">
        <f t="shared" si="6"/>
        <v>0</v>
      </c>
      <c r="I66" s="327" t="str">
        <f>Rooster!H67</f>
        <v/>
      </c>
      <c r="J66" s="321" t="str">
        <f>IFERROR(VLOOKUP(I66, Locaties!$A$2:$G$15, 7, FALSE), "0")</f>
        <v>0</v>
      </c>
      <c r="K66" s="42">
        <f t="shared" si="7"/>
        <v>0</v>
      </c>
      <c r="L66" s="416"/>
      <c r="M66" s="85"/>
      <c r="N66" s="321" t="str">
        <f>IFERROR(VLOOKUP(M66, Tarieven[#ALL], 10, FALSE), "0")</f>
        <v>0</v>
      </c>
      <c r="O66" s="416"/>
      <c r="P66" s="334"/>
      <c r="Q66" s="325" t="str">
        <f>IFERROR(VLOOKUP(P66, Tarieven[#ALL], 10, FALSE), "0")</f>
        <v>0</v>
      </c>
      <c r="R66" s="417"/>
      <c r="S66" s="85"/>
      <c r="T66" s="325" t="str">
        <f>IFERROR(VLOOKUP(S66, Tarieven[#ALL], 10, FALSE), "0")</f>
        <v>0</v>
      </c>
      <c r="U66" s="326"/>
      <c r="V66" s="85"/>
      <c r="W66" s="328" t="str">
        <f>IFERROR(VLOOKUP(V66, Tarieven!$A$1:$J$150, 10, FALSE), "0")</f>
        <v>0</v>
      </c>
      <c r="X66" s="326"/>
      <c r="Y66" s="85"/>
      <c r="Z66" s="328" t="str">
        <f>IFERROR(VLOOKUP(Y66, Tarieven[#ALL], 10, FALSE), "0")</f>
        <v>0</v>
      </c>
      <c r="AA66" s="326"/>
      <c r="AB66" s="85"/>
      <c r="AC66" s="328" t="str">
        <f>IFERROR(VLOOKUP(AB66, Tarieven[#ALL], 10, FALSE), "0")</f>
        <v>0</v>
      </c>
      <c r="AD66" s="329">
        <f t="shared" si="1"/>
        <v>0</v>
      </c>
      <c r="AE66" s="32">
        <f t="shared" si="8"/>
        <v>0</v>
      </c>
      <c r="AF66" s="32">
        <f t="shared" si="3"/>
        <v>0</v>
      </c>
      <c r="AG66" s="32">
        <f t="shared" si="9"/>
        <v>0</v>
      </c>
    </row>
    <row r="67" ht="22.5" customHeight="1">
      <c r="A67" s="331" t="str">
        <f>Rooster!A68</f>
        <v/>
      </c>
      <c r="B67" s="396" t="str">
        <f>Rooster!B68</f>
        <v/>
      </c>
      <c r="C67" s="15" t="str">
        <f>Rooster!C68</f>
        <v/>
      </c>
      <c r="D67" s="11" t="str">
        <f>Rooster!D68</f>
        <v/>
      </c>
      <c r="E67" s="318">
        <v>1.0</v>
      </c>
      <c r="F67" s="327" t="str">
        <f>Rooster!E68</f>
        <v/>
      </c>
      <c r="G67" s="319" t="str">
        <f>IFERROR(VLOOKUP(F67, Docenten!$A$2:$G$30, 7, FALSE), "0")</f>
        <v>0</v>
      </c>
      <c r="H67" s="320">
        <f t="shared" si="6"/>
        <v>0</v>
      </c>
      <c r="I67" s="327" t="str">
        <f>Rooster!H68</f>
        <v/>
      </c>
      <c r="J67" s="321" t="str">
        <f>IFERROR(VLOOKUP(I67, Locaties!$A$2:$G$15, 7, FALSE), "0")</f>
        <v>0</v>
      </c>
      <c r="K67" s="42">
        <f t="shared" si="7"/>
        <v>0</v>
      </c>
      <c r="L67" s="416"/>
      <c r="M67" s="85"/>
      <c r="N67" s="321" t="str">
        <f>IFERROR(VLOOKUP(M67, Tarieven[#ALL], 10, FALSE), "0")</f>
        <v>0</v>
      </c>
      <c r="O67" s="416"/>
      <c r="P67" s="334"/>
      <c r="Q67" s="325" t="str">
        <f>IFERROR(VLOOKUP(P67, Tarieven[#ALL], 10, FALSE), "0")</f>
        <v>0</v>
      </c>
      <c r="R67" s="417"/>
      <c r="S67" s="85"/>
      <c r="T67" s="325" t="str">
        <f>IFERROR(VLOOKUP(S67, Tarieven[#ALL], 10, FALSE), "0")</f>
        <v>0</v>
      </c>
      <c r="U67" s="326"/>
      <c r="V67" s="85"/>
      <c r="W67" s="328" t="str">
        <f>IFERROR(VLOOKUP(V67, Tarieven!$A$1:$J$150, 10, FALSE), "0")</f>
        <v>0</v>
      </c>
      <c r="X67" s="326"/>
      <c r="Y67" s="85"/>
      <c r="Z67" s="328" t="str">
        <f>IFERROR(VLOOKUP(Y67, Tarieven[#ALL], 10, FALSE), "0")</f>
        <v>0</v>
      </c>
      <c r="AA67" s="326"/>
      <c r="AB67" s="85"/>
      <c r="AC67" s="328" t="str">
        <f>IFERROR(VLOOKUP(AB67, Tarieven[#ALL], 10, FALSE), "0")</f>
        <v>0</v>
      </c>
      <c r="AD67" s="329">
        <f t="shared" si="1"/>
        <v>0</v>
      </c>
      <c r="AE67" s="32">
        <f t="shared" si="8"/>
        <v>0</v>
      </c>
      <c r="AF67" s="32">
        <f t="shared" si="3"/>
        <v>0</v>
      </c>
      <c r="AG67" s="32">
        <f t="shared" si="9"/>
        <v>0</v>
      </c>
    </row>
    <row r="68" ht="22.5" customHeight="1">
      <c r="A68" s="331" t="str">
        <f>Rooster!A69</f>
        <v/>
      </c>
      <c r="B68" s="396" t="str">
        <f>Rooster!B69</f>
        <v/>
      </c>
      <c r="C68" s="15" t="str">
        <f>Rooster!C69</f>
        <v/>
      </c>
      <c r="D68" s="11" t="str">
        <f>Rooster!D69</f>
        <v/>
      </c>
      <c r="E68" s="318">
        <v>1.0</v>
      </c>
      <c r="F68" s="327" t="str">
        <f>Rooster!E69</f>
        <v/>
      </c>
      <c r="G68" s="319" t="str">
        <f>IFERROR(VLOOKUP(F68, Docenten!$A$2:$G$30, 7, FALSE), "0")</f>
        <v>0</v>
      </c>
      <c r="H68" s="320">
        <f t="shared" si="6"/>
        <v>0</v>
      </c>
      <c r="I68" s="327" t="str">
        <f>Rooster!H69</f>
        <v/>
      </c>
      <c r="J68" s="321" t="str">
        <f>IFERROR(VLOOKUP(I68, Locaties!$A$2:$G$15, 7, FALSE), "0")</f>
        <v>0</v>
      </c>
      <c r="K68" s="42">
        <f t="shared" si="7"/>
        <v>0</v>
      </c>
      <c r="L68" s="416"/>
      <c r="M68" s="85"/>
      <c r="N68" s="321" t="str">
        <f>IFERROR(VLOOKUP(M68, Tarieven[#ALL], 10, FALSE), "0")</f>
        <v>0</v>
      </c>
      <c r="O68" s="416"/>
      <c r="P68" s="334"/>
      <c r="Q68" s="325" t="str">
        <f>IFERROR(VLOOKUP(P68, Tarieven[#ALL], 10, FALSE), "0")</f>
        <v>0</v>
      </c>
      <c r="R68" s="417"/>
      <c r="S68" s="85"/>
      <c r="T68" s="325" t="str">
        <f>IFERROR(VLOOKUP(S68, Tarieven[#ALL], 10, FALSE), "0")</f>
        <v>0</v>
      </c>
      <c r="U68" s="326"/>
      <c r="V68" s="85"/>
      <c r="W68" s="328" t="str">
        <f>IFERROR(VLOOKUP(V68, Tarieven!$A$1:$J$150, 10, FALSE), "0")</f>
        <v>0</v>
      </c>
      <c r="X68" s="326"/>
      <c r="Y68" s="85"/>
      <c r="Z68" s="328" t="str">
        <f>IFERROR(VLOOKUP(Y68, Tarieven[#ALL], 10, FALSE), "0")</f>
        <v>0</v>
      </c>
      <c r="AA68" s="326"/>
      <c r="AB68" s="85"/>
      <c r="AC68" s="328" t="str">
        <f>IFERROR(VLOOKUP(AB68, Tarieven[#ALL], 10, FALSE), "0")</f>
        <v>0</v>
      </c>
      <c r="AD68" s="329">
        <f t="shared" si="1"/>
        <v>0</v>
      </c>
      <c r="AE68" s="32">
        <f t="shared" si="8"/>
        <v>0</v>
      </c>
      <c r="AF68" s="32">
        <f t="shared" si="3"/>
        <v>0</v>
      </c>
      <c r="AG68" s="32">
        <f t="shared" si="9"/>
        <v>0</v>
      </c>
    </row>
    <row r="69" ht="22.5" customHeight="1">
      <c r="A69" s="331" t="str">
        <f>Rooster!A70</f>
        <v/>
      </c>
      <c r="B69" s="396" t="str">
        <f>Rooster!B70</f>
        <v/>
      </c>
      <c r="C69" s="15" t="str">
        <f>Rooster!C70</f>
        <v/>
      </c>
      <c r="D69" s="11" t="str">
        <f>Rooster!D70</f>
        <v/>
      </c>
      <c r="E69" s="318">
        <v>1.0</v>
      </c>
      <c r="F69" s="327" t="str">
        <f>Rooster!E70</f>
        <v/>
      </c>
      <c r="G69" s="319" t="str">
        <f>IFERROR(VLOOKUP(F69, Docenten!$A$2:$G$30, 7, FALSE), "0")</f>
        <v>0</v>
      </c>
      <c r="H69" s="320">
        <f t="shared" si="6"/>
        <v>0</v>
      </c>
      <c r="I69" s="327" t="str">
        <f>Rooster!H70</f>
        <v/>
      </c>
      <c r="J69" s="321" t="str">
        <f>IFERROR(VLOOKUP(I69, Locaties!$A$2:$G$15, 7, FALSE), "0")</f>
        <v>0</v>
      </c>
      <c r="K69" s="42">
        <f t="shared" si="7"/>
        <v>0</v>
      </c>
      <c r="L69" s="416"/>
      <c r="M69" s="85"/>
      <c r="N69" s="321" t="str">
        <f>IFERROR(VLOOKUP(M69, Tarieven[#ALL], 10, FALSE), "0")</f>
        <v>0</v>
      </c>
      <c r="O69" s="416"/>
      <c r="P69" s="334"/>
      <c r="Q69" s="325" t="str">
        <f>IFERROR(VLOOKUP(P69, Tarieven[#ALL], 10, FALSE), "0")</f>
        <v>0</v>
      </c>
      <c r="R69" s="417"/>
      <c r="S69" s="85"/>
      <c r="T69" s="325" t="str">
        <f>IFERROR(VLOOKUP(S69, Tarieven[#ALL], 10, FALSE), "0")</f>
        <v>0</v>
      </c>
      <c r="U69" s="347"/>
      <c r="V69" s="85"/>
      <c r="W69" s="328" t="str">
        <f>IFERROR(VLOOKUP(V69, Tarieven!$A$1:$J$150, 10, FALSE), "0")</f>
        <v>0</v>
      </c>
      <c r="X69" s="326"/>
      <c r="Y69" s="85"/>
      <c r="Z69" s="328" t="str">
        <f>IFERROR(VLOOKUP(Y69, Tarieven[#ALL], 10, FALSE), "0")</f>
        <v>0</v>
      </c>
      <c r="AA69" s="326"/>
      <c r="AB69" s="85"/>
      <c r="AC69" s="328" t="str">
        <f>IFERROR(VLOOKUP(AB69, Tarieven[#ALL], 10, FALSE), "0")</f>
        <v>0</v>
      </c>
      <c r="AD69" s="329">
        <f t="shared" si="1"/>
        <v>0</v>
      </c>
      <c r="AE69" s="32">
        <f t="shared" si="8"/>
        <v>0</v>
      </c>
      <c r="AF69" s="32">
        <f t="shared" si="3"/>
        <v>0</v>
      </c>
      <c r="AG69" s="32">
        <f t="shared" si="9"/>
        <v>0</v>
      </c>
    </row>
    <row r="70" ht="22.5" customHeight="1">
      <c r="A70" s="331" t="str">
        <f>Rooster!A71</f>
        <v/>
      </c>
      <c r="B70" s="396" t="str">
        <f>Rooster!B71</f>
        <v/>
      </c>
      <c r="C70" s="15" t="str">
        <f>Rooster!C71</f>
        <v/>
      </c>
      <c r="D70" s="11" t="str">
        <f>Rooster!D71</f>
        <v/>
      </c>
      <c r="E70" s="318">
        <v>1.0</v>
      </c>
      <c r="F70" s="327" t="str">
        <f>Rooster!E71</f>
        <v/>
      </c>
      <c r="G70" s="319" t="str">
        <f>IFERROR(VLOOKUP(F70, Docenten!$A$2:$G$30, 7, FALSE), "0")</f>
        <v>0</v>
      </c>
      <c r="H70" s="320">
        <f t="shared" si="6"/>
        <v>0</v>
      </c>
      <c r="I70" s="327" t="str">
        <f>Rooster!H71</f>
        <v/>
      </c>
      <c r="J70" s="321" t="str">
        <f>IFERROR(VLOOKUP(I70, Locaties!$A$2:$G$15, 7, FALSE), "0")</f>
        <v>0</v>
      </c>
      <c r="K70" s="42">
        <f t="shared" si="7"/>
        <v>0</v>
      </c>
      <c r="L70" s="416"/>
      <c r="M70" s="85"/>
      <c r="N70" s="321" t="str">
        <f>IFERROR(VLOOKUP(M70, Tarieven[#ALL], 10, FALSE), "0")</f>
        <v>0</v>
      </c>
      <c r="O70" s="416"/>
      <c r="P70" s="334"/>
      <c r="Q70" s="325" t="str">
        <f>IFERROR(VLOOKUP(P70, Tarieven[#ALL], 10, FALSE), "0")</f>
        <v>0</v>
      </c>
      <c r="R70" s="417"/>
      <c r="S70" s="85"/>
      <c r="T70" s="325" t="str">
        <f>IFERROR(VLOOKUP(S70, Tarieven[#ALL], 10, FALSE), "0")</f>
        <v>0</v>
      </c>
      <c r="U70" s="326"/>
      <c r="V70" s="85"/>
      <c r="W70" s="328" t="str">
        <f>IFERROR(VLOOKUP(V70, Tarieven!$A$1:$J$150, 10, FALSE), "0")</f>
        <v>0</v>
      </c>
      <c r="X70" s="326"/>
      <c r="Y70" s="85"/>
      <c r="Z70" s="328" t="str">
        <f>IFERROR(VLOOKUP(Y70, Tarieven[#ALL], 10, FALSE), "0")</f>
        <v>0</v>
      </c>
      <c r="AA70" s="326"/>
      <c r="AB70" s="85"/>
      <c r="AC70" s="328" t="str">
        <f>IFERROR(VLOOKUP(AB70, Tarieven[#ALL], 10, FALSE), "0")</f>
        <v>0</v>
      </c>
      <c r="AD70" s="329">
        <f t="shared" si="1"/>
        <v>0</v>
      </c>
      <c r="AE70" s="32">
        <f t="shared" si="8"/>
        <v>0</v>
      </c>
      <c r="AF70" s="32">
        <f t="shared" si="3"/>
        <v>0</v>
      </c>
      <c r="AG70" s="32">
        <f t="shared" si="9"/>
        <v>0</v>
      </c>
    </row>
    <row r="71" ht="22.5" customHeight="1">
      <c r="A71" s="331" t="str">
        <f>Rooster!A72</f>
        <v/>
      </c>
      <c r="B71" s="396" t="str">
        <f>Rooster!B72</f>
        <v/>
      </c>
      <c r="C71" s="15" t="str">
        <f>Rooster!C72</f>
        <v/>
      </c>
      <c r="D71" s="11" t="str">
        <f>Rooster!D72</f>
        <v/>
      </c>
      <c r="E71" s="318">
        <v>1.0</v>
      </c>
      <c r="F71" s="327" t="str">
        <f>Rooster!E72</f>
        <v/>
      </c>
      <c r="G71" s="319" t="str">
        <f>IFERROR(VLOOKUP(F71, Docenten!$A$2:$G$30, 7, FALSE), "0")</f>
        <v>0</v>
      </c>
      <c r="H71" s="320">
        <f t="shared" si="6"/>
        <v>0</v>
      </c>
      <c r="I71" s="327" t="str">
        <f>Rooster!H72</f>
        <v/>
      </c>
      <c r="J71" s="321" t="str">
        <f>IFERROR(VLOOKUP(I71, Locaties!$A$2:$G$15, 7, FALSE), "0")</f>
        <v>0</v>
      </c>
      <c r="K71" s="42">
        <f t="shared" si="7"/>
        <v>0</v>
      </c>
      <c r="L71" s="416"/>
      <c r="M71" s="85"/>
      <c r="N71" s="321" t="str">
        <f>IFERROR(VLOOKUP(M71, Tarieven[#ALL], 10, FALSE), "0")</f>
        <v>0</v>
      </c>
      <c r="O71" s="416"/>
      <c r="P71" s="334"/>
      <c r="Q71" s="325" t="str">
        <f>IFERROR(VLOOKUP(P71, Tarieven[#ALL], 10, FALSE), "0")</f>
        <v>0</v>
      </c>
      <c r="R71" s="417"/>
      <c r="S71" s="85"/>
      <c r="T71" s="325" t="str">
        <f>IFERROR(VLOOKUP(S71, Tarieven[#ALL], 10, FALSE), "0")</f>
        <v>0</v>
      </c>
      <c r="U71" s="326"/>
      <c r="V71" s="85"/>
      <c r="W71" s="328" t="str">
        <f>IFERROR(VLOOKUP(V71, Tarieven!$A$1:$J$150, 10, FALSE), "0")</f>
        <v>0</v>
      </c>
      <c r="X71" s="326"/>
      <c r="Y71" s="85"/>
      <c r="Z71" s="328" t="str">
        <f>IFERROR(VLOOKUP(Y71, Tarieven[#ALL], 10, FALSE), "0")</f>
        <v>0</v>
      </c>
      <c r="AA71" s="326"/>
      <c r="AB71" s="85"/>
      <c r="AC71" s="328" t="str">
        <f>IFERROR(VLOOKUP(AB71, Tarieven[#ALL], 10, FALSE), "0")</f>
        <v>0</v>
      </c>
      <c r="AD71" s="329">
        <f t="shared" si="1"/>
        <v>0</v>
      </c>
      <c r="AE71" s="32">
        <f t="shared" si="8"/>
        <v>0</v>
      </c>
      <c r="AF71" s="32">
        <f t="shared" si="3"/>
        <v>0</v>
      </c>
      <c r="AG71" s="32">
        <f t="shared" si="9"/>
        <v>0</v>
      </c>
    </row>
    <row r="72" ht="22.5" customHeight="1">
      <c r="A72" s="331" t="str">
        <f>Rooster!A73</f>
        <v/>
      </c>
      <c r="B72" s="396" t="str">
        <f>Rooster!B73</f>
        <v/>
      </c>
      <c r="C72" s="15" t="str">
        <f>Rooster!C73</f>
        <v/>
      </c>
      <c r="D72" s="11" t="str">
        <f>Rooster!D73</f>
        <v/>
      </c>
      <c r="E72" s="318">
        <v>1.0</v>
      </c>
      <c r="F72" s="327" t="str">
        <f>Rooster!E73</f>
        <v/>
      </c>
      <c r="G72" s="319" t="str">
        <f>IFERROR(VLOOKUP(F72, Docenten!$A$2:$G$30, 7, FALSE), "0")</f>
        <v>0</v>
      </c>
      <c r="H72" s="320">
        <f t="shared" si="6"/>
        <v>0</v>
      </c>
      <c r="I72" s="327" t="str">
        <f>Rooster!H73</f>
        <v/>
      </c>
      <c r="J72" s="321" t="str">
        <f>IFERROR(VLOOKUP(I72, Locaties!$A$2:$G$15, 7, FALSE), "0")</f>
        <v>0</v>
      </c>
      <c r="K72" s="42">
        <f t="shared" si="7"/>
        <v>0</v>
      </c>
      <c r="L72" s="416"/>
      <c r="M72" s="85"/>
      <c r="N72" s="321" t="str">
        <f>IFERROR(VLOOKUP(M72, Tarieven[#ALL], 10, FALSE), "0")</f>
        <v>0</v>
      </c>
      <c r="O72" s="416"/>
      <c r="P72" s="334"/>
      <c r="Q72" s="325" t="str">
        <f>IFERROR(VLOOKUP(P72, Tarieven[#ALL], 10, FALSE), "0")</f>
        <v>0</v>
      </c>
      <c r="R72" s="417"/>
      <c r="S72" s="85"/>
      <c r="T72" s="325" t="str">
        <f>IFERROR(VLOOKUP(S72, Tarieven[#ALL], 10, FALSE), "0")</f>
        <v>0</v>
      </c>
      <c r="U72" s="326"/>
      <c r="V72" s="85"/>
      <c r="W72" s="328" t="str">
        <f>IFERROR(VLOOKUP(V72, Tarieven!$A$1:$J$150, 10, FALSE), "0")</f>
        <v>0</v>
      </c>
      <c r="X72" s="326"/>
      <c r="Y72" s="85"/>
      <c r="Z72" s="328" t="str">
        <f>IFERROR(VLOOKUP(Y72, Tarieven[#ALL], 10, FALSE), "0")</f>
        <v>0</v>
      </c>
      <c r="AA72" s="326"/>
      <c r="AB72" s="85"/>
      <c r="AC72" s="328" t="str">
        <f>IFERROR(VLOOKUP(AB72, Tarieven[#ALL], 10, FALSE), "0")</f>
        <v>0</v>
      </c>
      <c r="AD72" s="329">
        <f t="shared" si="1"/>
        <v>0</v>
      </c>
      <c r="AE72" s="32">
        <f t="shared" si="8"/>
        <v>0</v>
      </c>
      <c r="AF72" s="32">
        <f t="shared" si="3"/>
        <v>0</v>
      </c>
      <c r="AG72" s="32">
        <f t="shared" si="9"/>
        <v>0</v>
      </c>
    </row>
    <row r="73" ht="22.5" customHeight="1">
      <c r="A73" s="331" t="str">
        <f>Rooster!A74</f>
        <v/>
      </c>
      <c r="B73" s="396" t="str">
        <f>Rooster!B74</f>
        <v/>
      </c>
      <c r="C73" s="15" t="str">
        <f>Rooster!C74</f>
        <v/>
      </c>
      <c r="D73" s="11" t="str">
        <f>Rooster!D74</f>
        <v/>
      </c>
      <c r="E73" s="318">
        <v>1.0</v>
      </c>
      <c r="F73" s="327" t="str">
        <f>Rooster!E74</f>
        <v/>
      </c>
      <c r="G73" s="319" t="str">
        <f>IFERROR(VLOOKUP(F73, Docenten!$A$2:$G$30, 7, FALSE), "0")</f>
        <v>0</v>
      </c>
      <c r="H73" s="320">
        <f t="shared" si="6"/>
        <v>0</v>
      </c>
      <c r="I73" s="327" t="str">
        <f>Rooster!H74</f>
        <v/>
      </c>
      <c r="J73" s="321" t="str">
        <f>IFERROR(VLOOKUP(I73, Locaties!$A$2:$G$15, 7, FALSE), "0")</f>
        <v>0</v>
      </c>
      <c r="K73" s="42">
        <f t="shared" si="7"/>
        <v>0</v>
      </c>
      <c r="L73" s="416"/>
      <c r="M73" s="85"/>
      <c r="N73" s="321" t="str">
        <f>IFERROR(VLOOKUP(M73, Tarieven[#ALL], 10, FALSE), "0")</f>
        <v>0</v>
      </c>
      <c r="O73" s="416"/>
      <c r="P73" s="334"/>
      <c r="Q73" s="325" t="str">
        <f>IFERROR(VLOOKUP(P73, Tarieven[#ALL], 10, FALSE), "0")</f>
        <v>0</v>
      </c>
      <c r="R73" s="417"/>
      <c r="S73" s="85"/>
      <c r="T73" s="325" t="str">
        <f>IFERROR(VLOOKUP(S73, Tarieven[#ALL], 10, FALSE), "0")</f>
        <v>0</v>
      </c>
      <c r="U73" s="347"/>
      <c r="V73" s="85"/>
      <c r="W73" s="328" t="str">
        <f>IFERROR(VLOOKUP(V73, Tarieven!$A$1:$J$150, 10, FALSE), "0")</f>
        <v>0</v>
      </c>
      <c r="X73" s="326"/>
      <c r="Y73" s="85"/>
      <c r="Z73" s="328" t="str">
        <f>IFERROR(VLOOKUP(Y73, Tarieven[#ALL], 10, FALSE), "0")</f>
        <v>0</v>
      </c>
      <c r="AA73" s="326"/>
      <c r="AB73" s="85"/>
      <c r="AC73" s="328" t="str">
        <f>IFERROR(VLOOKUP(AB73, Tarieven[#ALL], 10, FALSE), "0")</f>
        <v>0</v>
      </c>
      <c r="AD73" s="329">
        <f t="shared" si="1"/>
        <v>0</v>
      </c>
      <c r="AE73" s="32">
        <f t="shared" si="8"/>
        <v>0</v>
      </c>
      <c r="AF73" s="32">
        <f t="shared" si="3"/>
        <v>0</v>
      </c>
      <c r="AG73" s="32">
        <f t="shared" si="9"/>
        <v>0</v>
      </c>
    </row>
    <row r="74" ht="22.5" customHeight="1">
      <c r="A74" s="331" t="str">
        <f>Rooster!A75</f>
        <v/>
      </c>
      <c r="B74" s="396" t="str">
        <f>Rooster!B75</f>
        <v/>
      </c>
      <c r="C74" s="15" t="str">
        <f>Rooster!C75</f>
        <v/>
      </c>
      <c r="D74" s="11" t="str">
        <f>Rooster!D75</f>
        <v/>
      </c>
      <c r="E74" s="318">
        <v>1.0</v>
      </c>
      <c r="F74" s="327" t="str">
        <f>Rooster!E75</f>
        <v/>
      </c>
      <c r="G74" s="319" t="str">
        <f>IFERROR(VLOOKUP(F74, Docenten!$A$2:$G$30, 7, FALSE), "0")</f>
        <v>0</v>
      </c>
      <c r="H74" s="320">
        <f t="shared" si="6"/>
        <v>0</v>
      </c>
      <c r="I74" s="327" t="str">
        <f>Rooster!H75</f>
        <v/>
      </c>
      <c r="J74" s="321" t="str">
        <f>IFERROR(VLOOKUP(I74, Locaties!$A$2:$G$15, 7, FALSE), "0")</f>
        <v>0</v>
      </c>
      <c r="K74" s="42">
        <f t="shared" si="7"/>
        <v>0</v>
      </c>
      <c r="L74" s="416"/>
      <c r="M74" s="85"/>
      <c r="N74" s="321" t="str">
        <f>IFERROR(VLOOKUP(M74, Tarieven[#ALL], 10, FALSE), "0")</f>
        <v>0</v>
      </c>
      <c r="O74" s="416"/>
      <c r="P74" s="334"/>
      <c r="Q74" s="325" t="str">
        <f>IFERROR(VLOOKUP(P74, Tarieven[#ALL], 10, FALSE), "0")</f>
        <v>0</v>
      </c>
      <c r="R74" s="417"/>
      <c r="S74" s="85"/>
      <c r="T74" s="325" t="str">
        <f>IFERROR(VLOOKUP(S74, Tarieven[#ALL], 10, FALSE), "0")</f>
        <v>0</v>
      </c>
      <c r="U74" s="326"/>
      <c r="V74" s="85"/>
      <c r="W74" s="328" t="str">
        <f>IFERROR(VLOOKUP(V74, Tarieven!$A$1:$J$150, 10, FALSE), "0")</f>
        <v>0</v>
      </c>
      <c r="X74" s="326"/>
      <c r="Y74" s="85"/>
      <c r="Z74" s="328" t="str">
        <f>IFERROR(VLOOKUP(Y74, Tarieven[#ALL], 10, FALSE), "0")</f>
        <v>0</v>
      </c>
      <c r="AA74" s="326"/>
      <c r="AB74" s="85"/>
      <c r="AC74" s="328" t="str">
        <f>IFERROR(VLOOKUP(AB74, Tarieven[#ALL], 10, FALSE), "0")</f>
        <v>0</v>
      </c>
      <c r="AD74" s="329">
        <f t="shared" si="1"/>
        <v>0</v>
      </c>
      <c r="AE74" s="32">
        <f t="shared" si="8"/>
        <v>0</v>
      </c>
      <c r="AF74" s="32">
        <f t="shared" si="3"/>
        <v>0</v>
      </c>
      <c r="AG74" s="32">
        <f t="shared" si="9"/>
        <v>0</v>
      </c>
    </row>
    <row r="75" ht="22.5" customHeight="1">
      <c r="A75" s="331" t="str">
        <f>Rooster!A76</f>
        <v/>
      </c>
      <c r="B75" s="396" t="str">
        <f>Rooster!B76</f>
        <v/>
      </c>
      <c r="C75" s="15" t="str">
        <f>Rooster!C76</f>
        <v/>
      </c>
      <c r="D75" s="11" t="str">
        <f>Rooster!D76</f>
        <v/>
      </c>
      <c r="E75" s="318">
        <v>1.0</v>
      </c>
      <c r="F75" s="327" t="str">
        <f>Rooster!E76</f>
        <v/>
      </c>
      <c r="G75" s="319" t="str">
        <f>IFERROR(VLOOKUP(F75, Docenten!$A$2:$G$30, 7, FALSE), "0")</f>
        <v>0</v>
      </c>
      <c r="H75" s="320">
        <f t="shared" si="6"/>
        <v>0</v>
      </c>
      <c r="I75" s="327" t="str">
        <f>Rooster!H76</f>
        <v/>
      </c>
      <c r="J75" s="321" t="str">
        <f>IFERROR(VLOOKUP(I75, Locaties!$A$2:$G$15, 7, FALSE), "0")</f>
        <v>0</v>
      </c>
      <c r="K75" s="42">
        <f t="shared" si="7"/>
        <v>0</v>
      </c>
      <c r="L75" s="416"/>
      <c r="M75" s="85"/>
      <c r="N75" s="321" t="str">
        <f>IFERROR(VLOOKUP(M75, Tarieven[#ALL], 10, FALSE), "0")</f>
        <v>0</v>
      </c>
      <c r="O75" s="416"/>
      <c r="P75" s="334"/>
      <c r="Q75" s="325" t="str">
        <f>IFERROR(VLOOKUP(P75, Tarieven[#ALL], 10, FALSE), "0")</f>
        <v>0</v>
      </c>
      <c r="R75" s="417"/>
      <c r="S75" s="85"/>
      <c r="T75" s="325" t="str">
        <f>IFERROR(VLOOKUP(S75, Tarieven[#ALL], 10, FALSE), "0")</f>
        <v>0</v>
      </c>
      <c r="U75" s="326"/>
      <c r="V75" s="85"/>
      <c r="W75" s="328" t="str">
        <f>IFERROR(VLOOKUP(V75, Tarieven!$A$1:$J$150, 10, FALSE), "0")</f>
        <v>0</v>
      </c>
      <c r="X75" s="326"/>
      <c r="Y75" s="85"/>
      <c r="Z75" s="328" t="str">
        <f>IFERROR(VLOOKUP(Y75, Tarieven[#ALL], 10, FALSE), "0")</f>
        <v>0</v>
      </c>
      <c r="AA75" s="326"/>
      <c r="AB75" s="85"/>
      <c r="AC75" s="328" t="str">
        <f>IFERROR(VLOOKUP(AB75, Tarieven[#ALL], 10, FALSE), "0")</f>
        <v>0</v>
      </c>
      <c r="AD75" s="329">
        <f t="shared" si="1"/>
        <v>0</v>
      </c>
      <c r="AE75" s="32">
        <f t="shared" si="8"/>
        <v>0</v>
      </c>
      <c r="AF75" s="32">
        <f t="shared" si="3"/>
        <v>0</v>
      </c>
      <c r="AG75" s="32">
        <f t="shared" si="9"/>
        <v>0</v>
      </c>
    </row>
    <row r="76" ht="22.5" customHeight="1">
      <c r="A76" s="331" t="str">
        <f>Rooster!A77</f>
        <v/>
      </c>
      <c r="B76" s="396" t="str">
        <f>Rooster!B77</f>
        <v/>
      </c>
      <c r="C76" s="15" t="str">
        <f>Rooster!C77</f>
        <v/>
      </c>
      <c r="D76" s="11" t="str">
        <f>Rooster!D77</f>
        <v/>
      </c>
      <c r="E76" s="318">
        <v>1.0</v>
      </c>
      <c r="F76" s="327" t="str">
        <f>Rooster!E77</f>
        <v/>
      </c>
      <c r="G76" s="319" t="str">
        <f>IFERROR(VLOOKUP(F76, Docenten!$A$2:$G$30, 7, FALSE), "0")</f>
        <v>0</v>
      </c>
      <c r="H76" s="320">
        <f t="shared" si="6"/>
        <v>0</v>
      </c>
      <c r="I76" s="327" t="str">
        <f>Rooster!H77</f>
        <v/>
      </c>
      <c r="J76" s="321" t="str">
        <f>IFERROR(VLOOKUP(I76, Locaties!$A$2:$G$15, 7, FALSE), "0")</f>
        <v>0</v>
      </c>
      <c r="K76" s="42">
        <f t="shared" si="7"/>
        <v>0</v>
      </c>
      <c r="L76" s="416"/>
      <c r="M76" s="85"/>
      <c r="N76" s="321" t="str">
        <f>IFERROR(VLOOKUP(M76, Tarieven[#ALL], 10, FALSE), "0")</f>
        <v>0</v>
      </c>
      <c r="O76" s="416"/>
      <c r="P76" s="334"/>
      <c r="Q76" s="325" t="str">
        <f>IFERROR(VLOOKUP(P76, Tarieven[#ALL], 10, FALSE), "0")</f>
        <v>0</v>
      </c>
      <c r="R76" s="417"/>
      <c r="S76" s="85"/>
      <c r="T76" s="325" t="str">
        <f>IFERROR(VLOOKUP(S76, Tarieven[#ALL], 10, FALSE), "0")</f>
        <v>0</v>
      </c>
      <c r="U76" s="326"/>
      <c r="V76" s="85"/>
      <c r="W76" s="328" t="str">
        <f>IFERROR(VLOOKUP(V76, Tarieven!$A$1:$J$150, 10, FALSE), "0")</f>
        <v>0</v>
      </c>
      <c r="X76" s="326"/>
      <c r="Y76" s="85"/>
      <c r="Z76" s="328" t="str">
        <f>IFERROR(VLOOKUP(Y76, Tarieven[#ALL], 10, FALSE), "0")</f>
        <v>0</v>
      </c>
      <c r="AA76" s="326"/>
      <c r="AB76" s="85"/>
      <c r="AC76" s="328" t="str">
        <f>IFERROR(VLOOKUP(AB76, Tarieven[#ALL], 10, FALSE), "0")</f>
        <v>0</v>
      </c>
      <c r="AD76" s="329">
        <f t="shared" si="1"/>
        <v>0</v>
      </c>
      <c r="AE76" s="32">
        <f t="shared" si="8"/>
        <v>0</v>
      </c>
      <c r="AF76" s="32">
        <f t="shared" si="3"/>
        <v>0</v>
      </c>
      <c r="AG76" s="32">
        <f t="shared" si="9"/>
        <v>0</v>
      </c>
    </row>
    <row r="77" ht="22.5" customHeight="1">
      <c r="A77" s="331" t="str">
        <f>Rooster!A78</f>
        <v/>
      </c>
      <c r="B77" s="396" t="str">
        <f>Rooster!B78</f>
        <v/>
      </c>
      <c r="C77" s="15" t="str">
        <f>Rooster!C78</f>
        <v/>
      </c>
      <c r="D77" s="11" t="str">
        <f>Rooster!D78</f>
        <v/>
      </c>
      <c r="E77" s="318">
        <v>1.0</v>
      </c>
      <c r="F77" s="327" t="str">
        <f>Rooster!E78</f>
        <v/>
      </c>
      <c r="G77" s="319" t="str">
        <f>IFERROR(VLOOKUP(F77, Docenten!$A$2:$G$30, 7, FALSE), "0")</f>
        <v>0</v>
      </c>
      <c r="H77" s="320">
        <f t="shared" si="6"/>
        <v>0</v>
      </c>
      <c r="I77" s="327" t="str">
        <f>Rooster!H78</f>
        <v/>
      </c>
      <c r="J77" s="321" t="str">
        <f>IFERROR(VLOOKUP(I77, Locaties!$A$2:$G$15, 7, FALSE), "0")</f>
        <v>0</v>
      </c>
      <c r="K77" s="42">
        <f t="shared" si="7"/>
        <v>0</v>
      </c>
      <c r="L77" s="416"/>
      <c r="M77" s="85"/>
      <c r="N77" s="321" t="str">
        <f>IFERROR(VLOOKUP(M77, Tarieven[#ALL], 10, FALSE), "0")</f>
        <v>0</v>
      </c>
      <c r="O77" s="416"/>
      <c r="P77" s="334"/>
      <c r="Q77" s="325" t="str">
        <f>IFERROR(VLOOKUP(P77, Tarieven[#ALL], 10, FALSE), "0")</f>
        <v>0</v>
      </c>
      <c r="R77" s="417"/>
      <c r="S77" s="85"/>
      <c r="T77" s="325" t="str">
        <f>IFERROR(VLOOKUP(S77, Tarieven[#ALL], 10, FALSE), "0")</f>
        <v>0</v>
      </c>
      <c r="U77" s="347"/>
      <c r="V77" s="85"/>
      <c r="W77" s="328" t="str">
        <f>IFERROR(VLOOKUP(V77, Tarieven!$A$1:$J$150, 10, FALSE), "0")</f>
        <v>0</v>
      </c>
      <c r="X77" s="326"/>
      <c r="Y77" s="85"/>
      <c r="Z77" s="328" t="str">
        <f>IFERROR(VLOOKUP(Y77, Tarieven[#ALL], 10, FALSE), "0")</f>
        <v>0</v>
      </c>
      <c r="AA77" s="326"/>
      <c r="AB77" s="85"/>
      <c r="AC77" s="328" t="str">
        <f>IFERROR(VLOOKUP(AB77, Tarieven[#ALL], 10, FALSE), "0")</f>
        <v>0</v>
      </c>
      <c r="AD77" s="329">
        <f t="shared" si="1"/>
        <v>0</v>
      </c>
      <c r="AE77" s="32">
        <f t="shared" si="8"/>
        <v>0</v>
      </c>
      <c r="AF77" s="32">
        <f t="shared" si="3"/>
        <v>0</v>
      </c>
      <c r="AG77" s="32">
        <f t="shared" si="9"/>
        <v>0</v>
      </c>
    </row>
    <row r="78" ht="22.5" customHeight="1">
      <c r="A78" s="331" t="str">
        <f>Rooster!A79</f>
        <v/>
      </c>
      <c r="B78" s="396" t="str">
        <f>Rooster!B79</f>
        <v/>
      </c>
      <c r="C78" s="15" t="str">
        <f>Rooster!C79</f>
        <v/>
      </c>
      <c r="D78" s="11" t="str">
        <f>Rooster!D79</f>
        <v/>
      </c>
      <c r="E78" s="318">
        <v>1.0</v>
      </c>
      <c r="F78" s="327" t="str">
        <f>Rooster!E79</f>
        <v/>
      </c>
      <c r="G78" s="319" t="str">
        <f>IFERROR(VLOOKUP(F78, Docenten!$A$2:$G$30, 7, FALSE), "0")</f>
        <v>0</v>
      </c>
      <c r="H78" s="320">
        <f t="shared" si="6"/>
        <v>0</v>
      </c>
      <c r="I78" s="327" t="str">
        <f>Rooster!H79</f>
        <v/>
      </c>
      <c r="J78" s="321" t="str">
        <f>IFERROR(VLOOKUP(I78, Locaties!$A$2:$G$15, 7, FALSE), "0")</f>
        <v>0</v>
      </c>
      <c r="K78" s="42">
        <f t="shared" si="7"/>
        <v>0</v>
      </c>
      <c r="L78" s="416"/>
      <c r="M78" s="85"/>
      <c r="N78" s="321" t="str">
        <f>IFERROR(VLOOKUP(M78, Tarieven[#ALL], 10, FALSE), "0")</f>
        <v>0</v>
      </c>
      <c r="O78" s="416"/>
      <c r="P78" s="334"/>
      <c r="Q78" s="325" t="str">
        <f>IFERROR(VLOOKUP(P78, Tarieven[#ALL], 10, FALSE), "0")</f>
        <v>0</v>
      </c>
      <c r="R78" s="417"/>
      <c r="S78" s="85"/>
      <c r="T78" s="325" t="str">
        <f>IFERROR(VLOOKUP(S78, Tarieven[#ALL], 10, FALSE), "0")</f>
        <v>0</v>
      </c>
      <c r="U78" s="326"/>
      <c r="V78" s="85"/>
      <c r="W78" s="328" t="str">
        <f>IFERROR(VLOOKUP(V78, Tarieven!$A$1:$J$150, 10, FALSE), "0")</f>
        <v>0</v>
      </c>
      <c r="X78" s="326"/>
      <c r="Y78" s="85"/>
      <c r="Z78" s="328" t="str">
        <f>IFERROR(VLOOKUP(Y78, Tarieven[#ALL], 10, FALSE), "0")</f>
        <v>0</v>
      </c>
      <c r="AA78" s="326"/>
      <c r="AB78" s="85"/>
      <c r="AC78" s="328" t="str">
        <f>IFERROR(VLOOKUP(AB78, Tarieven[#ALL], 10, FALSE), "0")</f>
        <v>0</v>
      </c>
      <c r="AD78" s="329">
        <f t="shared" si="1"/>
        <v>0</v>
      </c>
      <c r="AE78" s="32">
        <f t="shared" si="8"/>
        <v>0</v>
      </c>
      <c r="AF78" s="32">
        <f t="shared" si="3"/>
        <v>0</v>
      </c>
      <c r="AG78" s="32">
        <f t="shared" si="9"/>
        <v>0</v>
      </c>
    </row>
    <row r="79" ht="22.5" customHeight="1">
      <c r="A79" s="331" t="str">
        <f>Rooster!A80</f>
        <v/>
      </c>
      <c r="B79" s="396" t="str">
        <f>Rooster!B80</f>
        <v/>
      </c>
      <c r="C79" s="15" t="str">
        <f>Rooster!C80</f>
        <v/>
      </c>
      <c r="D79" s="11" t="str">
        <f>Rooster!D80</f>
        <v/>
      </c>
      <c r="E79" s="318">
        <v>1.0</v>
      </c>
      <c r="F79" s="327" t="str">
        <f>Rooster!E80</f>
        <v/>
      </c>
      <c r="G79" s="319" t="str">
        <f>IFERROR(VLOOKUP(F79, Docenten!$A$2:$G$30, 7, FALSE), "0")</f>
        <v>0</v>
      </c>
      <c r="H79" s="320">
        <f t="shared" si="6"/>
        <v>0</v>
      </c>
      <c r="I79" s="327" t="str">
        <f>Rooster!H80</f>
        <v/>
      </c>
      <c r="J79" s="321" t="str">
        <f>IFERROR(VLOOKUP(I79, Locaties!$A$2:$G$15, 7, FALSE), "0")</f>
        <v>0</v>
      </c>
      <c r="K79" s="42">
        <f t="shared" si="7"/>
        <v>0</v>
      </c>
      <c r="L79" s="416"/>
      <c r="M79" s="85"/>
      <c r="N79" s="321" t="str">
        <f>IFERROR(VLOOKUP(M79, Tarieven[#ALL], 10, FALSE), "0")</f>
        <v>0</v>
      </c>
      <c r="O79" s="416"/>
      <c r="P79" s="334"/>
      <c r="Q79" s="325" t="str">
        <f>IFERROR(VLOOKUP(P79, Tarieven[#ALL], 10, FALSE), "0")</f>
        <v>0</v>
      </c>
      <c r="R79" s="417"/>
      <c r="S79" s="85"/>
      <c r="T79" s="325" t="str">
        <f>IFERROR(VLOOKUP(S79, Tarieven[#ALL], 10, FALSE), "0")</f>
        <v>0</v>
      </c>
      <c r="U79" s="326"/>
      <c r="V79" s="85"/>
      <c r="W79" s="328" t="str">
        <f>IFERROR(VLOOKUP(V79, Tarieven!$A$1:$J$150, 10, FALSE), "0")</f>
        <v>0</v>
      </c>
      <c r="X79" s="326"/>
      <c r="Y79" s="85"/>
      <c r="Z79" s="328" t="str">
        <f>IFERROR(VLOOKUP(Y79, Tarieven[#ALL], 10, FALSE), "0")</f>
        <v>0</v>
      </c>
      <c r="AA79" s="326"/>
      <c r="AB79" s="85"/>
      <c r="AC79" s="328" t="str">
        <f>IFERROR(VLOOKUP(AB79, Tarieven[#ALL], 10, FALSE), "0")</f>
        <v>0</v>
      </c>
      <c r="AD79" s="329">
        <f t="shared" si="1"/>
        <v>0</v>
      </c>
      <c r="AE79" s="32">
        <f t="shared" si="8"/>
        <v>0</v>
      </c>
      <c r="AF79" s="32">
        <f t="shared" si="3"/>
        <v>0</v>
      </c>
      <c r="AG79" s="32">
        <f t="shared" si="9"/>
        <v>0</v>
      </c>
    </row>
    <row r="80" ht="22.5" customHeight="1">
      <c r="A80" s="331" t="str">
        <f>Rooster!A81</f>
        <v/>
      </c>
      <c r="B80" s="396" t="str">
        <f>Rooster!B81</f>
        <v/>
      </c>
      <c r="C80" s="15" t="str">
        <f>Rooster!C81</f>
        <v/>
      </c>
      <c r="D80" s="11" t="str">
        <f>Rooster!D81</f>
        <v/>
      </c>
      <c r="E80" s="318">
        <v>1.0</v>
      </c>
      <c r="F80" s="327" t="str">
        <f>Rooster!E81</f>
        <v/>
      </c>
      <c r="G80" s="319" t="str">
        <f>IFERROR(VLOOKUP(F80, Docenten!$A$2:$G$30, 7, FALSE), "0")</f>
        <v>0</v>
      </c>
      <c r="H80" s="320">
        <f t="shared" si="6"/>
        <v>0</v>
      </c>
      <c r="I80" s="327" t="str">
        <f>Rooster!H81</f>
        <v/>
      </c>
      <c r="J80" s="321" t="str">
        <f>IFERROR(VLOOKUP(I80, Locaties!$A$2:$G$15, 7, FALSE), "0")</f>
        <v>0</v>
      </c>
      <c r="K80" s="42">
        <f t="shared" si="7"/>
        <v>0</v>
      </c>
      <c r="L80" s="416"/>
      <c r="M80" s="85"/>
      <c r="N80" s="321" t="str">
        <f>IFERROR(VLOOKUP(M80, Tarieven[#ALL], 10, FALSE), "0")</f>
        <v>0</v>
      </c>
      <c r="O80" s="416"/>
      <c r="P80" s="334"/>
      <c r="Q80" s="325" t="str">
        <f>IFERROR(VLOOKUP(P80, Tarieven[#ALL], 10, FALSE), "0")</f>
        <v>0</v>
      </c>
      <c r="R80" s="417"/>
      <c r="S80" s="85"/>
      <c r="T80" s="325" t="str">
        <f>IFERROR(VLOOKUP(S80, Tarieven[#ALL], 10, FALSE), "0")</f>
        <v>0</v>
      </c>
      <c r="U80" s="326"/>
      <c r="V80" s="85"/>
      <c r="W80" s="328" t="str">
        <f>IFERROR(VLOOKUP(V80, Tarieven!$A$1:$J$150, 10, FALSE), "0")</f>
        <v>0</v>
      </c>
      <c r="X80" s="326"/>
      <c r="Y80" s="85"/>
      <c r="Z80" s="328" t="str">
        <f>IFERROR(VLOOKUP(Y80, Tarieven[#ALL], 10, FALSE), "0")</f>
        <v>0</v>
      </c>
      <c r="AA80" s="326"/>
      <c r="AB80" s="85"/>
      <c r="AC80" s="328" t="str">
        <f>IFERROR(VLOOKUP(AB80, Tarieven[#ALL], 10, FALSE), "0")</f>
        <v>0</v>
      </c>
      <c r="AD80" s="329">
        <f t="shared" si="1"/>
        <v>0</v>
      </c>
      <c r="AE80" s="32">
        <f t="shared" si="8"/>
        <v>0</v>
      </c>
      <c r="AF80" s="32">
        <f t="shared" si="3"/>
        <v>0</v>
      </c>
      <c r="AG80" s="32">
        <f t="shared" si="9"/>
        <v>0</v>
      </c>
    </row>
    <row r="81" ht="22.5" customHeight="1">
      <c r="A81" s="331" t="str">
        <f>Rooster!A82</f>
        <v/>
      </c>
      <c r="B81" s="396" t="str">
        <f>Rooster!B82</f>
        <v/>
      </c>
      <c r="C81" s="15" t="str">
        <f>Rooster!C82</f>
        <v/>
      </c>
      <c r="D81" s="11" t="str">
        <f>Rooster!D82</f>
        <v/>
      </c>
      <c r="E81" s="318">
        <v>1.0</v>
      </c>
      <c r="F81" s="327" t="str">
        <f>Rooster!E82</f>
        <v/>
      </c>
      <c r="G81" s="319" t="str">
        <f>IFERROR(VLOOKUP(F81, Docenten!$A$2:$G$30, 7, FALSE), "0")</f>
        <v>0</v>
      </c>
      <c r="H81" s="320">
        <f t="shared" si="6"/>
        <v>0</v>
      </c>
      <c r="I81" s="327" t="str">
        <f>Rooster!H82</f>
        <v/>
      </c>
      <c r="J81" s="321" t="str">
        <f>IFERROR(VLOOKUP(I81, Locaties!$A$2:$G$15, 7, FALSE), "0")</f>
        <v>0</v>
      </c>
      <c r="K81" s="42">
        <f t="shared" si="7"/>
        <v>0</v>
      </c>
      <c r="L81" s="416"/>
      <c r="M81" s="85"/>
      <c r="N81" s="321" t="str">
        <f>IFERROR(VLOOKUP(M81, Tarieven[#ALL], 10, FALSE), "0")</f>
        <v>0</v>
      </c>
      <c r="O81" s="416"/>
      <c r="P81" s="334"/>
      <c r="Q81" s="325" t="str">
        <f>IFERROR(VLOOKUP(P81, Tarieven[#ALL], 10, FALSE), "0")</f>
        <v>0</v>
      </c>
      <c r="R81" s="417"/>
      <c r="S81" s="85"/>
      <c r="T81" s="325" t="str">
        <f>IFERROR(VLOOKUP(S81, Tarieven[#ALL], 10, FALSE), "0")</f>
        <v>0</v>
      </c>
      <c r="U81" s="347"/>
      <c r="V81" s="85"/>
      <c r="W81" s="328" t="str">
        <f>IFERROR(VLOOKUP(V81, Tarieven!$A$1:$J$150, 10, FALSE), "0")</f>
        <v>0</v>
      </c>
      <c r="X81" s="326"/>
      <c r="Y81" s="85"/>
      <c r="Z81" s="328" t="str">
        <f>IFERROR(VLOOKUP(Y81, Tarieven[#ALL], 10, FALSE), "0")</f>
        <v>0</v>
      </c>
      <c r="AA81" s="326"/>
      <c r="AB81" s="85"/>
      <c r="AC81" s="328" t="str">
        <f>IFERROR(VLOOKUP(AB81, Tarieven[#ALL], 10, FALSE), "0")</f>
        <v>0</v>
      </c>
      <c r="AD81" s="329">
        <f t="shared" si="1"/>
        <v>0</v>
      </c>
      <c r="AE81" s="32">
        <f t="shared" si="8"/>
        <v>0</v>
      </c>
      <c r="AF81" s="32">
        <f t="shared" si="3"/>
        <v>0</v>
      </c>
      <c r="AG81" s="32">
        <f t="shared" si="9"/>
        <v>0</v>
      </c>
    </row>
    <row r="82" ht="22.5" customHeight="1">
      <c r="A82" s="331" t="str">
        <f>Rooster!A83</f>
        <v/>
      </c>
      <c r="B82" s="396" t="str">
        <f>Rooster!B83</f>
        <v/>
      </c>
      <c r="C82" s="15" t="str">
        <f>Rooster!C83</f>
        <v/>
      </c>
      <c r="D82" s="11" t="str">
        <f>Rooster!D83</f>
        <v/>
      </c>
      <c r="E82" s="318">
        <v>1.0</v>
      </c>
      <c r="F82" s="327" t="str">
        <f>Rooster!E83</f>
        <v/>
      </c>
      <c r="G82" s="319" t="str">
        <f>IFERROR(VLOOKUP(F82, Docenten!$A$2:$G$30, 7, FALSE), "0")</f>
        <v>0</v>
      </c>
      <c r="H82" s="320">
        <f t="shared" si="6"/>
        <v>0</v>
      </c>
      <c r="I82" s="327" t="str">
        <f>Rooster!H83</f>
        <v/>
      </c>
      <c r="J82" s="321" t="str">
        <f>IFERROR(VLOOKUP(I82, Locaties!$A$2:$G$15, 7, FALSE), "0")</f>
        <v>0</v>
      </c>
      <c r="K82" s="42">
        <f t="shared" si="7"/>
        <v>0</v>
      </c>
      <c r="L82" s="416"/>
      <c r="M82" s="85"/>
      <c r="N82" s="321" t="str">
        <f>IFERROR(VLOOKUP(M82, Tarieven[#ALL], 10, FALSE), "0")</f>
        <v>0</v>
      </c>
      <c r="O82" s="416"/>
      <c r="P82" s="334"/>
      <c r="Q82" s="325" t="str">
        <f>IFERROR(VLOOKUP(P82, Tarieven[#ALL], 10, FALSE), "0")</f>
        <v>0</v>
      </c>
      <c r="R82" s="417"/>
      <c r="S82" s="85"/>
      <c r="T82" s="325" t="str">
        <f>IFERROR(VLOOKUP(S82, Tarieven[#ALL], 10, FALSE), "0")</f>
        <v>0</v>
      </c>
      <c r="U82" s="326"/>
      <c r="V82" s="85"/>
      <c r="W82" s="328" t="str">
        <f>IFERROR(VLOOKUP(V82, Tarieven!$A$1:$J$150, 10, FALSE), "0")</f>
        <v>0</v>
      </c>
      <c r="X82" s="326"/>
      <c r="Y82" s="85"/>
      <c r="Z82" s="328" t="str">
        <f>IFERROR(VLOOKUP(Y82, Tarieven[#ALL], 10, FALSE), "0")</f>
        <v>0</v>
      </c>
      <c r="AA82" s="326"/>
      <c r="AB82" s="85"/>
      <c r="AC82" s="328" t="str">
        <f>IFERROR(VLOOKUP(AB82, Tarieven[#ALL], 10, FALSE), "0")</f>
        <v>0</v>
      </c>
      <c r="AD82" s="329">
        <f t="shared" si="1"/>
        <v>0</v>
      </c>
      <c r="AE82" s="32">
        <f t="shared" si="8"/>
        <v>0</v>
      </c>
      <c r="AF82" s="32">
        <f t="shared" si="3"/>
        <v>0</v>
      </c>
      <c r="AG82" s="32">
        <f t="shared" si="9"/>
        <v>0</v>
      </c>
    </row>
    <row r="83" ht="22.5" customHeight="1">
      <c r="A83" s="331" t="str">
        <f>Rooster!A84</f>
        <v/>
      </c>
      <c r="B83" s="396" t="str">
        <f>Rooster!B84</f>
        <v/>
      </c>
      <c r="C83" s="15" t="str">
        <f>Rooster!C84</f>
        <v/>
      </c>
      <c r="D83" s="11" t="str">
        <f>Rooster!D84</f>
        <v/>
      </c>
      <c r="E83" s="318">
        <v>1.0</v>
      </c>
      <c r="F83" s="327" t="str">
        <f>Rooster!E84</f>
        <v/>
      </c>
      <c r="G83" s="319" t="str">
        <f>IFERROR(VLOOKUP(F83, Docenten!$A$2:$G$30, 7, FALSE), "0")</f>
        <v>0</v>
      </c>
      <c r="H83" s="320">
        <f t="shared" si="6"/>
        <v>0</v>
      </c>
      <c r="I83" s="327" t="str">
        <f>Rooster!H84</f>
        <v/>
      </c>
      <c r="J83" s="321" t="str">
        <f>IFERROR(VLOOKUP(I83, Locaties!$A$2:$G$15, 7, FALSE), "0")</f>
        <v>0</v>
      </c>
      <c r="K83" s="42">
        <f t="shared" si="7"/>
        <v>0</v>
      </c>
      <c r="L83" s="416"/>
      <c r="M83" s="85"/>
      <c r="N83" s="321" t="str">
        <f>IFERROR(VLOOKUP(M83, Tarieven[#ALL], 10, FALSE), "0")</f>
        <v>0</v>
      </c>
      <c r="O83" s="416"/>
      <c r="P83" s="334"/>
      <c r="Q83" s="325" t="str">
        <f>IFERROR(VLOOKUP(P83, Tarieven[#ALL], 10, FALSE), "0")</f>
        <v>0</v>
      </c>
      <c r="R83" s="417"/>
      <c r="S83" s="85"/>
      <c r="T83" s="325" t="str">
        <f>IFERROR(VLOOKUP(S83, Tarieven[#ALL], 10, FALSE), "0")</f>
        <v>0</v>
      </c>
      <c r="U83" s="326"/>
      <c r="V83" s="85"/>
      <c r="W83" s="328" t="str">
        <f>IFERROR(VLOOKUP(V83, Tarieven!$A$1:$J$150, 10, FALSE), "0")</f>
        <v>0</v>
      </c>
      <c r="X83" s="326"/>
      <c r="Y83" s="85"/>
      <c r="Z83" s="328" t="str">
        <f>IFERROR(VLOOKUP(Y83, Tarieven[#ALL], 10, FALSE), "0")</f>
        <v>0</v>
      </c>
      <c r="AA83" s="326"/>
      <c r="AB83" s="85"/>
      <c r="AC83" s="328" t="str">
        <f>IFERROR(VLOOKUP(AB83, Tarieven[#ALL], 10, FALSE), "0")</f>
        <v>0</v>
      </c>
      <c r="AD83" s="329">
        <f t="shared" si="1"/>
        <v>0</v>
      </c>
      <c r="AE83" s="32">
        <f t="shared" si="8"/>
        <v>0</v>
      </c>
      <c r="AF83" s="32">
        <f t="shared" si="3"/>
        <v>0</v>
      </c>
      <c r="AG83" s="32">
        <f t="shared" si="9"/>
        <v>0</v>
      </c>
    </row>
    <row r="84" ht="22.5" customHeight="1">
      <c r="A84" s="331" t="str">
        <f>Rooster!A85</f>
        <v/>
      </c>
      <c r="B84" s="396" t="str">
        <f>Rooster!B85</f>
        <v/>
      </c>
      <c r="C84" s="15" t="str">
        <f>Rooster!C85</f>
        <v/>
      </c>
      <c r="D84" s="11" t="str">
        <f>Rooster!D85</f>
        <v/>
      </c>
      <c r="E84" s="318">
        <v>1.0</v>
      </c>
      <c r="F84" s="327" t="str">
        <f>Rooster!E85</f>
        <v/>
      </c>
      <c r="G84" s="319" t="str">
        <f>IFERROR(VLOOKUP(F84, Docenten!$A$2:$G$30, 7, FALSE), "0")</f>
        <v>0</v>
      </c>
      <c r="H84" s="320">
        <f t="shared" si="6"/>
        <v>0</v>
      </c>
      <c r="I84" s="327" t="str">
        <f>Rooster!H85</f>
        <v/>
      </c>
      <c r="J84" s="321" t="str">
        <f>IFERROR(VLOOKUP(I84, Locaties!$A$2:$G$15, 7, FALSE), "0")</f>
        <v>0</v>
      </c>
      <c r="K84" s="42">
        <f t="shared" si="7"/>
        <v>0</v>
      </c>
      <c r="L84" s="416"/>
      <c r="M84" s="85"/>
      <c r="N84" s="321" t="str">
        <f>IFERROR(VLOOKUP(M84, Tarieven[#ALL], 10, FALSE), "0")</f>
        <v>0</v>
      </c>
      <c r="O84" s="416"/>
      <c r="P84" s="334"/>
      <c r="Q84" s="325" t="str">
        <f>IFERROR(VLOOKUP(P84, Tarieven[#ALL], 10, FALSE), "0")</f>
        <v>0</v>
      </c>
      <c r="R84" s="417"/>
      <c r="S84" s="85"/>
      <c r="T84" s="325" t="str">
        <f>IFERROR(VLOOKUP(S84, Tarieven[#ALL], 10, FALSE), "0")</f>
        <v>0</v>
      </c>
      <c r="U84" s="326"/>
      <c r="V84" s="85"/>
      <c r="W84" s="328" t="str">
        <f>IFERROR(VLOOKUP(V84, Tarieven!$A$1:$J$150, 10, FALSE), "0")</f>
        <v>0</v>
      </c>
      <c r="X84" s="326"/>
      <c r="Y84" s="85"/>
      <c r="Z84" s="328" t="str">
        <f>IFERROR(VLOOKUP(Y84, Tarieven[#ALL], 10, FALSE), "0")</f>
        <v>0</v>
      </c>
      <c r="AA84" s="326"/>
      <c r="AB84" s="85"/>
      <c r="AC84" s="328" t="str">
        <f>IFERROR(VLOOKUP(AB84, Tarieven[#ALL], 10, FALSE), "0")</f>
        <v>0</v>
      </c>
      <c r="AD84" s="329">
        <f t="shared" si="1"/>
        <v>0</v>
      </c>
      <c r="AE84" s="32">
        <f t="shared" si="8"/>
        <v>0</v>
      </c>
      <c r="AF84" s="32">
        <f t="shared" si="3"/>
        <v>0</v>
      </c>
      <c r="AG84" s="32">
        <f t="shared" si="9"/>
        <v>0</v>
      </c>
    </row>
    <row r="85" ht="22.5" customHeight="1">
      <c r="A85" s="331" t="str">
        <f>Rooster!A86</f>
        <v/>
      </c>
      <c r="B85" s="396" t="str">
        <f>Rooster!B86</f>
        <v/>
      </c>
      <c r="C85" s="15" t="str">
        <f>Rooster!C86</f>
        <v/>
      </c>
      <c r="D85" s="11" t="str">
        <f>Rooster!D86</f>
        <v/>
      </c>
      <c r="E85" s="318">
        <v>1.0</v>
      </c>
      <c r="F85" s="327" t="str">
        <f>Rooster!E86</f>
        <v/>
      </c>
      <c r="G85" s="319" t="str">
        <f>IFERROR(VLOOKUP(F85, Docenten!$A$2:$G$30, 7, FALSE), "0")</f>
        <v>0</v>
      </c>
      <c r="H85" s="320">
        <f t="shared" si="6"/>
        <v>0</v>
      </c>
      <c r="I85" s="327" t="str">
        <f>Rooster!H86</f>
        <v/>
      </c>
      <c r="J85" s="321" t="str">
        <f>IFERROR(VLOOKUP(I85, Locaties!$A$2:$G$15, 7, FALSE), "0")</f>
        <v>0</v>
      </c>
      <c r="K85" s="42">
        <f t="shared" si="7"/>
        <v>0</v>
      </c>
      <c r="L85" s="416"/>
      <c r="M85" s="85"/>
      <c r="N85" s="321" t="str">
        <f>IFERROR(VLOOKUP(M85, Tarieven[#ALL], 10, FALSE), "0")</f>
        <v>0</v>
      </c>
      <c r="O85" s="416"/>
      <c r="P85" s="334"/>
      <c r="Q85" s="325" t="str">
        <f>IFERROR(VLOOKUP(P85, Tarieven[#ALL], 10, FALSE), "0")</f>
        <v>0</v>
      </c>
      <c r="R85" s="417"/>
      <c r="S85" s="85"/>
      <c r="T85" s="325" t="str">
        <f>IFERROR(VLOOKUP(S85, Tarieven[#ALL], 10, FALSE), "0")</f>
        <v>0</v>
      </c>
      <c r="U85" s="347"/>
      <c r="V85" s="85"/>
      <c r="W85" s="328" t="str">
        <f>IFERROR(VLOOKUP(V85, Tarieven!$A$1:$J$150, 10, FALSE), "0")</f>
        <v>0</v>
      </c>
      <c r="X85" s="326"/>
      <c r="Y85" s="85"/>
      <c r="Z85" s="328" t="str">
        <f>IFERROR(VLOOKUP(Y85, Tarieven[#ALL], 10, FALSE), "0")</f>
        <v>0</v>
      </c>
      <c r="AA85" s="326"/>
      <c r="AB85" s="85"/>
      <c r="AC85" s="328" t="str">
        <f>IFERROR(VLOOKUP(AB85, Tarieven[#ALL], 10, FALSE), "0")</f>
        <v>0</v>
      </c>
      <c r="AD85" s="329">
        <f t="shared" si="1"/>
        <v>0</v>
      </c>
      <c r="AE85" s="32">
        <f t="shared" si="8"/>
        <v>0</v>
      </c>
      <c r="AF85" s="32">
        <f t="shared" si="3"/>
        <v>0</v>
      </c>
      <c r="AG85" s="32">
        <f t="shared" si="9"/>
        <v>0</v>
      </c>
    </row>
    <row r="86" ht="22.5" customHeight="1">
      <c r="A86" s="331" t="str">
        <f>Rooster!A87</f>
        <v/>
      </c>
      <c r="B86" s="396" t="str">
        <f>Rooster!B87</f>
        <v/>
      </c>
      <c r="C86" s="15" t="str">
        <f>Rooster!C87</f>
        <v/>
      </c>
      <c r="D86" s="11" t="str">
        <f>Rooster!D87</f>
        <v/>
      </c>
      <c r="E86" s="318">
        <v>1.0</v>
      </c>
      <c r="F86" s="327" t="str">
        <f>Rooster!E87</f>
        <v/>
      </c>
      <c r="G86" s="319" t="str">
        <f>IFERROR(VLOOKUP(F86, Docenten!$A$2:$G$30, 7, FALSE), "0")</f>
        <v>0</v>
      </c>
      <c r="H86" s="320">
        <f t="shared" si="6"/>
        <v>0</v>
      </c>
      <c r="I86" s="327" t="str">
        <f>Rooster!H87</f>
        <v/>
      </c>
      <c r="J86" s="321" t="str">
        <f>IFERROR(VLOOKUP(I86, Locaties!$A$2:$G$15, 7, FALSE), "0")</f>
        <v>0</v>
      </c>
      <c r="K86" s="42">
        <f t="shared" si="7"/>
        <v>0</v>
      </c>
      <c r="L86" s="416"/>
      <c r="M86" s="85"/>
      <c r="N86" s="321" t="str">
        <f>IFERROR(VLOOKUP(M86, Tarieven[#ALL], 10, FALSE), "0")</f>
        <v>0</v>
      </c>
      <c r="O86" s="416"/>
      <c r="P86" s="334"/>
      <c r="Q86" s="325" t="str">
        <f>IFERROR(VLOOKUP(P86, Tarieven[#ALL], 10, FALSE), "0")</f>
        <v>0</v>
      </c>
      <c r="R86" s="417"/>
      <c r="S86" s="85"/>
      <c r="T86" s="325" t="str">
        <f>IFERROR(VLOOKUP(S86, Tarieven[#ALL], 10, FALSE), "0")</f>
        <v>0</v>
      </c>
      <c r="U86" s="326"/>
      <c r="V86" s="85"/>
      <c r="W86" s="328" t="str">
        <f>IFERROR(VLOOKUP(V86, Tarieven!$A$1:$J$150, 10, FALSE), "0")</f>
        <v>0</v>
      </c>
      <c r="X86" s="326"/>
      <c r="Y86" s="85"/>
      <c r="Z86" s="328" t="str">
        <f>IFERROR(VLOOKUP(Y86, Tarieven[#ALL], 10, FALSE), "0")</f>
        <v>0</v>
      </c>
      <c r="AA86" s="326"/>
      <c r="AB86" s="85"/>
      <c r="AC86" s="328" t="str">
        <f>IFERROR(VLOOKUP(AB86, Tarieven[#ALL], 10, FALSE), "0")</f>
        <v>0</v>
      </c>
      <c r="AD86" s="329">
        <f t="shared" si="1"/>
        <v>0</v>
      </c>
      <c r="AE86" s="32">
        <f t="shared" si="8"/>
        <v>0</v>
      </c>
      <c r="AF86" s="32">
        <f t="shared" si="3"/>
        <v>0</v>
      </c>
      <c r="AG86" s="32">
        <f t="shared" si="9"/>
        <v>0</v>
      </c>
    </row>
    <row r="87" ht="22.5" customHeight="1">
      <c r="A87" s="331" t="str">
        <f>Rooster!A88</f>
        <v/>
      </c>
      <c r="B87" s="396" t="str">
        <f>Rooster!B88</f>
        <v/>
      </c>
      <c r="C87" s="15" t="str">
        <f>Rooster!C88</f>
        <v/>
      </c>
      <c r="D87" s="11" t="str">
        <f>Rooster!D88</f>
        <v/>
      </c>
      <c r="E87" s="318">
        <v>1.0</v>
      </c>
      <c r="F87" s="327" t="str">
        <f>Rooster!E88</f>
        <v/>
      </c>
      <c r="G87" s="319" t="str">
        <f>IFERROR(VLOOKUP(F87, Docenten!$A$2:$G$30, 7, FALSE), "0")</f>
        <v>0</v>
      </c>
      <c r="H87" s="320">
        <f t="shared" si="6"/>
        <v>0</v>
      </c>
      <c r="I87" s="327" t="str">
        <f>Rooster!H88</f>
        <v/>
      </c>
      <c r="J87" s="321" t="str">
        <f>IFERROR(VLOOKUP(I87, Locaties!$A$2:$G$15, 7, FALSE), "0")</f>
        <v>0</v>
      </c>
      <c r="K87" s="42">
        <f t="shared" si="7"/>
        <v>0</v>
      </c>
      <c r="L87" s="416"/>
      <c r="M87" s="85"/>
      <c r="N87" s="321" t="str">
        <f>IFERROR(VLOOKUP(M87, Tarieven[#ALL], 10, FALSE), "0")</f>
        <v>0</v>
      </c>
      <c r="O87" s="416"/>
      <c r="P87" s="334"/>
      <c r="Q87" s="325" t="str">
        <f>IFERROR(VLOOKUP(P87, Tarieven[#ALL], 10, FALSE), "0")</f>
        <v>0</v>
      </c>
      <c r="R87" s="417"/>
      <c r="S87" s="85"/>
      <c r="T87" s="325" t="str">
        <f>IFERROR(VLOOKUP(S87, Tarieven[#ALL], 10, FALSE), "0")</f>
        <v>0</v>
      </c>
      <c r="U87" s="326"/>
      <c r="V87" s="85"/>
      <c r="W87" s="328" t="str">
        <f>IFERROR(VLOOKUP(V87, Tarieven!$A$1:$J$150, 10, FALSE), "0")</f>
        <v>0</v>
      </c>
      <c r="X87" s="326"/>
      <c r="Y87" s="85"/>
      <c r="Z87" s="328" t="str">
        <f>IFERROR(VLOOKUP(Y87, Tarieven[#ALL], 10, FALSE), "0")</f>
        <v>0</v>
      </c>
      <c r="AA87" s="326"/>
      <c r="AB87" s="85"/>
      <c r="AC87" s="328" t="str">
        <f>IFERROR(VLOOKUP(AB87, Tarieven[#ALL], 10, FALSE), "0")</f>
        <v>0</v>
      </c>
      <c r="AD87" s="329">
        <f t="shared" si="1"/>
        <v>0</v>
      </c>
      <c r="AE87" s="32">
        <f t="shared" si="8"/>
        <v>0</v>
      </c>
      <c r="AF87" s="32">
        <f t="shared" si="3"/>
        <v>0</v>
      </c>
      <c r="AG87" s="32">
        <f t="shared" si="9"/>
        <v>0</v>
      </c>
    </row>
    <row r="88" ht="22.5" customHeight="1">
      <c r="A88" s="331" t="str">
        <f>Rooster!A89</f>
        <v/>
      </c>
      <c r="B88" s="396" t="str">
        <f>Rooster!B89</f>
        <v/>
      </c>
      <c r="C88" s="15" t="str">
        <f>Rooster!C89</f>
        <v/>
      </c>
      <c r="D88" s="11" t="str">
        <f>Rooster!D89</f>
        <v/>
      </c>
      <c r="E88" s="318">
        <v>1.0</v>
      </c>
      <c r="F88" s="327" t="str">
        <f>Rooster!E89</f>
        <v/>
      </c>
      <c r="G88" s="319" t="str">
        <f>IFERROR(VLOOKUP(F88, Docenten!$A$2:$G$30, 7, FALSE), "0")</f>
        <v>0</v>
      </c>
      <c r="H88" s="320">
        <f t="shared" si="6"/>
        <v>0</v>
      </c>
      <c r="I88" s="327" t="str">
        <f>Rooster!H89</f>
        <v/>
      </c>
      <c r="J88" s="321" t="str">
        <f>IFERROR(VLOOKUP(I88, Locaties!$A$2:$G$15, 7, FALSE), "0")</f>
        <v>0</v>
      </c>
      <c r="K88" s="42">
        <f t="shared" si="7"/>
        <v>0</v>
      </c>
      <c r="L88" s="416"/>
      <c r="M88" s="85"/>
      <c r="N88" s="321" t="str">
        <f>IFERROR(VLOOKUP(M88, Tarieven[#ALL], 10, FALSE), "0")</f>
        <v>0</v>
      </c>
      <c r="O88" s="416"/>
      <c r="P88" s="334"/>
      <c r="Q88" s="325" t="str">
        <f>IFERROR(VLOOKUP(P88, Tarieven[#ALL], 10, FALSE), "0")</f>
        <v>0</v>
      </c>
      <c r="R88" s="417"/>
      <c r="S88" s="85"/>
      <c r="T88" s="325" t="str">
        <f>IFERROR(VLOOKUP(S88, Tarieven[#ALL], 10, FALSE), "0")</f>
        <v>0</v>
      </c>
      <c r="U88" s="326"/>
      <c r="V88" s="85"/>
      <c r="W88" s="328" t="str">
        <f>IFERROR(VLOOKUP(V88, Tarieven!$A$1:$J$150, 10, FALSE), "0")</f>
        <v>0</v>
      </c>
      <c r="X88" s="326"/>
      <c r="Y88" s="85"/>
      <c r="Z88" s="328" t="str">
        <f>IFERROR(VLOOKUP(Y88, Tarieven[#ALL], 10, FALSE), "0")</f>
        <v>0</v>
      </c>
      <c r="AA88" s="326"/>
      <c r="AB88" s="85"/>
      <c r="AC88" s="328" t="str">
        <f>IFERROR(VLOOKUP(AB88, Tarieven[#ALL], 10, FALSE), "0")</f>
        <v>0</v>
      </c>
      <c r="AD88" s="329">
        <f t="shared" si="1"/>
        <v>0</v>
      </c>
      <c r="AE88" s="32">
        <f t="shared" si="8"/>
        <v>0</v>
      </c>
      <c r="AF88" s="32">
        <f t="shared" si="3"/>
        <v>0</v>
      </c>
      <c r="AG88" s="32">
        <f t="shared" si="9"/>
        <v>0</v>
      </c>
    </row>
    <row r="89" ht="22.5" customHeight="1">
      <c r="A89" s="331" t="str">
        <f>Rooster!A90</f>
        <v/>
      </c>
      <c r="B89" s="396" t="str">
        <f>Rooster!B90</f>
        <v/>
      </c>
      <c r="C89" s="15" t="str">
        <f>Rooster!C90</f>
        <v/>
      </c>
      <c r="D89" s="11" t="str">
        <f>Rooster!D90</f>
        <v/>
      </c>
      <c r="E89" s="318">
        <v>1.0</v>
      </c>
      <c r="F89" s="327" t="str">
        <f>Rooster!E90</f>
        <v/>
      </c>
      <c r="G89" s="319" t="str">
        <f>IFERROR(VLOOKUP(F89, Docenten!$A$2:$G$30, 7, FALSE), "0")</f>
        <v>0</v>
      </c>
      <c r="H89" s="320">
        <f t="shared" si="6"/>
        <v>0</v>
      </c>
      <c r="I89" s="327" t="str">
        <f>Rooster!H90</f>
        <v/>
      </c>
      <c r="J89" s="321" t="str">
        <f>IFERROR(VLOOKUP(I89, Locaties!$A$2:$G$15, 7, FALSE), "0")</f>
        <v>0</v>
      </c>
      <c r="K89" s="42">
        <f t="shared" si="7"/>
        <v>0</v>
      </c>
      <c r="L89" s="416"/>
      <c r="M89" s="85"/>
      <c r="N89" s="321" t="str">
        <f>IFERROR(VLOOKUP(M89, Tarieven[#ALL], 10, FALSE), "0")</f>
        <v>0</v>
      </c>
      <c r="O89" s="416"/>
      <c r="P89" s="334"/>
      <c r="Q89" s="325" t="str">
        <f>IFERROR(VLOOKUP(P89, Tarieven[#ALL], 10, FALSE), "0")</f>
        <v>0</v>
      </c>
      <c r="R89" s="417"/>
      <c r="S89" s="85"/>
      <c r="T89" s="325" t="str">
        <f>IFERROR(VLOOKUP(S89, Tarieven[#ALL], 10, FALSE), "0")</f>
        <v>0</v>
      </c>
      <c r="U89" s="347"/>
      <c r="V89" s="85"/>
      <c r="W89" s="328" t="str">
        <f>IFERROR(VLOOKUP(V89, Tarieven!$A$1:$J$150, 10, FALSE), "0")</f>
        <v>0</v>
      </c>
      <c r="X89" s="326"/>
      <c r="Y89" s="85"/>
      <c r="Z89" s="328" t="str">
        <f>IFERROR(VLOOKUP(Y89, Tarieven[#ALL], 10, FALSE), "0")</f>
        <v>0</v>
      </c>
      <c r="AA89" s="326"/>
      <c r="AB89" s="85"/>
      <c r="AC89" s="328" t="str">
        <f>IFERROR(VLOOKUP(AB89, Tarieven[#ALL], 10, FALSE), "0")</f>
        <v>0</v>
      </c>
      <c r="AD89" s="329">
        <f t="shared" si="1"/>
        <v>0</v>
      </c>
      <c r="AE89" s="32">
        <f t="shared" si="8"/>
        <v>0</v>
      </c>
      <c r="AF89" s="32">
        <f t="shared" si="3"/>
        <v>0</v>
      </c>
      <c r="AG89" s="32">
        <f t="shared" si="9"/>
        <v>0</v>
      </c>
    </row>
    <row r="90" ht="22.5" customHeight="1">
      <c r="A90" s="331" t="str">
        <f>Rooster!A91</f>
        <v/>
      </c>
      <c r="B90" s="396" t="str">
        <f>Rooster!B91</f>
        <v/>
      </c>
      <c r="C90" s="15" t="str">
        <f>Rooster!C91</f>
        <v/>
      </c>
      <c r="D90" s="11" t="str">
        <f>Rooster!D91</f>
        <v/>
      </c>
      <c r="E90" s="318">
        <v>1.0</v>
      </c>
      <c r="F90" s="327" t="str">
        <f>Rooster!E91</f>
        <v/>
      </c>
      <c r="G90" s="319" t="str">
        <f>IFERROR(VLOOKUP(F90, Docenten!$A$2:$G$30, 7, FALSE), "0")</f>
        <v>0</v>
      </c>
      <c r="H90" s="320">
        <f t="shared" si="6"/>
        <v>0</v>
      </c>
      <c r="I90" s="327" t="str">
        <f>Rooster!H91</f>
        <v/>
      </c>
      <c r="J90" s="321" t="str">
        <f>IFERROR(VLOOKUP(I90, Locaties!$A$2:$G$15, 7, FALSE), "0")</f>
        <v>0</v>
      </c>
      <c r="K90" s="42">
        <f t="shared" si="7"/>
        <v>0</v>
      </c>
      <c r="L90" s="416"/>
      <c r="M90" s="85"/>
      <c r="N90" s="321" t="str">
        <f>IFERROR(VLOOKUP(M90, Tarieven[#ALL], 10, FALSE), "0")</f>
        <v>0</v>
      </c>
      <c r="O90" s="416"/>
      <c r="P90" s="334"/>
      <c r="Q90" s="325" t="str">
        <f>IFERROR(VLOOKUP(P90, Tarieven[#ALL], 10, FALSE), "0")</f>
        <v>0</v>
      </c>
      <c r="R90" s="417"/>
      <c r="S90" s="85"/>
      <c r="T90" s="325" t="str">
        <f>IFERROR(VLOOKUP(S90, Tarieven[#ALL], 10, FALSE), "0")</f>
        <v>0</v>
      </c>
      <c r="U90" s="326"/>
      <c r="V90" s="85"/>
      <c r="W90" s="328" t="str">
        <f>IFERROR(VLOOKUP(V90, Tarieven!$A$1:$J$150, 10, FALSE), "0")</f>
        <v>0</v>
      </c>
      <c r="X90" s="326"/>
      <c r="Y90" s="85"/>
      <c r="Z90" s="328" t="str">
        <f>IFERROR(VLOOKUP(Y90, Tarieven[#ALL], 10, FALSE), "0")</f>
        <v>0</v>
      </c>
      <c r="AA90" s="326"/>
      <c r="AB90" s="85"/>
      <c r="AC90" s="328" t="str">
        <f>IFERROR(VLOOKUP(AB90, Tarieven[#ALL], 10, FALSE), "0")</f>
        <v>0</v>
      </c>
      <c r="AD90" s="329">
        <f t="shared" si="1"/>
        <v>0</v>
      </c>
      <c r="AE90" s="32">
        <f t="shared" si="8"/>
        <v>0</v>
      </c>
      <c r="AF90" s="32">
        <f t="shared" si="3"/>
        <v>0</v>
      </c>
      <c r="AG90" s="32">
        <f t="shared" si="9"/>
        <v>0</v>
      </c>
    </row>
    <row r="91" ht="22.5" customHeight="1">
      <c r="A91" s="331" t="str">
        <f>Rooster!A92</f>
        <v/>
      </c>
      <c r="B91" s="396" t="str">
        <f>Rooster!B92</f>
        <v/>
      </c>
      <c r="C91" s="15" t="str">
        <f>Rooster!C92</f>
        <v/>
      </c>
      <c r="D91" s="11" t="str">
        <f>Rooster!D92</f>
        <v/>
      </c>
      <c r="E91" s="318">
        <v>1.0</v>
      </c>
      <c r="F91" s="327" t="str">
        <f>Rooster!E92</f>
        <v/>
      </c>
      <c r="G91" s="319" t="str">
        <f>IFERROR(VLOOKUP(F91, Docenten!$A$2:$G$30, 7, FALSE), "0")</f>
        <v>0</v>
      </c>
      <c r="H91" s="320">
        <f t="shared" si="6"/>
        <v>0</v>
      </c>
      <c r="I91" s="327" t="str">
        <f>Rooster!H92</f>
        <v/>
      </c>
      <c r="J91" s="321" t="str">
        <f>IFERROR(VLOOKUP(I91, Locaties!$A$2:$G$15, 7, FALSE), "0")</f>
        <v>0</v>
      </c>
      <c r="K91" s="42">
        <f t="shared" si="7"/>
        <v>0</v>
      </c>
      <c r="L91" s="416"/>
      <c r="M91" s="85"/>
      <c r="N91" s="321" t="str">
        <f>IFERROR(VLOOKUP(M91, Tarieven[#ALL], 10, FALSE), "0")</f>
        <v>0</v>
      </c>
      <c r="O91" s="416"/>
      <c r="P91" s="334"/>
      <c r="Q91" s="325" t="str">
        <f>IFERROR(VLOOKUP(P91, Tarieven[#ALL], 10, FALSE), "0")</f>
        <v>0</v>
      </c>
      <c r="R91" s="417"/>
      <c r="S91" s="85"/>
      <c r="T91" s="325" t="str">
        <f>IFERROR(VLOOKUP(S91, Tarieven[#ALL], 10, FALSE), "0")</f>
        <v>0</v>
      </c>
      <c r="U91" s="326"/>
      <c r="V91" s="85"/>
      <c r="W91" s="328" t="str">
        <f>IFERROR(VLOOKUP(V91, Tarieven!$A$1:$J$150, 10, FALSE), "0")</f>
        <v>0</v>
      </c>
      <c r="X91" s="326"/>
      <c r="Y91" s="85"/>
      <c r="Z91" s="328" t="str">
        <f>IFERROR(VLOOKUP(Y91, Tarieven[#ALL], 10, FALSE), "0")</f>
        <v>0</v>
      </c>
      <c r="AA91" s="326"/>
      <c r="AB91" s="85"/>
      <c r="AC91" s="328" t="str">
        <f>IFERROR(VLOOKUP(AB91, Tarieven[#ALL], 10, FALSE), "0")</f>
        <v>0</v>
      </c>
      <c r="AD91" s="329">
        <f t="shared" si="1"/>
        <v>0</v>
      </c>
      <c r="AE91" s="32">
        <f t="shared" si="8"/>
        <v>0</v>
      </c>
      <c r="AF91" s="32">
        <f t="shared" si="3"/>
        <v>0</v>
      </c>
      <c r="AG91" s="32">
        <f t="shared" si="9"/>
        <v>0</v>
      </c>
    </row>
    <row r="92" ht="22.5" customHeight="1">
      <c r="A92" s="331" t="str">
        <f>Rooster!A93</f>
        <v/>
      </c>
      <c r="B92" s="396" t="str">
        <f>Rooster!B93</f>
        <v/>
      </c>
      <c r="C92" s="15" t="str">
        <f>Rooster!C93</f>
        <v/>
      </c>
      <c r="D92" s="11" t="str">
        <f>Rooster!D93</f>
        <v/>
      </c>
      <c r="E92" s="318">
        <v>1.0</v>
      </c>
      <c r="F92" s="327" t="str">
        <f>Rooster!E93</f>
        <v/>
      </c>
      <c r="G92" s="319" t="str">
        <f>IFERROR(VLOOKUP(F92, Docenten!$A$2:$G$30, 7, FALSE), "0")</f>
        <v>0</v>
      </c>
      <c r="H92" s="320">
        <f t="shared" si="6"/>
        <v>0</v>
      </c>
      <c r="I92" s="327" t="str">
        <f>Rooster!H93</f>
        <v/>
      </c>
      <c r="J92" s="321" t="str">
        <f>IFERROR(VLOOKUP(I92, Locaties!$A$2:$G$15, 7, FALSE), "0")</f>
        <v>0</v>
      </c>
      <c r="K92" s="42">
        <f t="shared" si="7"/>
        <v>0</v>
      </c>
      <c r="L92" s="416"/>
      <c r="M92" s="85"/>
      <c r="N92" s="321" t="str">
        <f>IFERROR(VLOOKUP(M92, Tarieven[#ALL], 10, FALSE), "0")</f>
        <v>0</v>
      </c>
      <c r="O92" s="416"/>
      <c r="P92" s="334"/>
      <c r="Q92" s="325" t="str">
        <f>IFERROR(VLOOKUP(P92, Tarieven[#ALL], 10, FALSE), "0")</f>
        <v>0</v>
      </c>
      <c r="R92" s="417"/>
      <c r="S92" s="85"/>
      <c r="T92" s="325" t="str">
        <f>IFERROR(VLOOKUP(S92, Tarieven[#ALL], 10, FALSE), "0")</f>
        <v>0</v>
      </c>
      <c r="U92" s="326"/>
      <c r="V92" s="85"/>
      <c r="W92" s="328" t="str">
        <f>IFERROR(VLOOKUP(V92, Tarieven!$A$1:$J$150, 10, FALSE), "0")</f>
        <v>0</v>
      </c>
      <c r="X92" s="326"/>
      <c r="Y92" s="85"/>
      <c r="Z92" s="328" t="str">
        <f>IFERROR(VLOOKUP(Y92, Tarieven[#ALL], 10, FALSE), "0")</f>
        <v>0</v>
      </c>
      <c r="AA92" s="326"/>
      <c r="AB92" s="85"/>
      <c r="AC92" s="328" t="str">
        <f>IFERROR(VLOOKUP(AB92, Tarieven[#ALL], 10, FALSE), "0")</f>
        <v>0</v>
      </c>
      <c r="AD92" s="329">
        <f t="shared" si="1"/>
        <v>0</v>
      </c>
      <c r="AE92" s="32">
        <f t="shared" si="8"/>
        <v>0</v>
      </c>
      <c r="AF92" s="32">
        <f t="shared" si="3"/>
        <v>0</v>
      </c>
      <c r="AG92" s="32">
        <f t="shared" si="9"/>
        <v>0</v>
      </c>
    </row>
    <row r="93" ht="22.5" customHeight="1">
      <c r="A93" s="331" t="str">
        <f>Rooster!A94</f>
        <v/>
      </c>
      <c r="B93" s="396" t="str">
        <f>Rooster!B94</f>
        <v/>
      </c>
      <c r="C93" s="15" t="str">
        <f>Rooster!C94</f>
        <v/>
      </c>
      <c r="D93" s="11" t="str">
        <f>Rooster!D94</f>
        <v/>
      </c>
      <c r="E93" s="318">
        <v>1.0</v>
      </c>
      <c r="F93" s="327" t="str">
        <f>Rooster!E94</f>
        <v/>
      </c>
      <c r="G93" s="319" t="str">
        <f>IFERROR(VLOOKUP(F93, Docenten!$A$2:$G$30, 7, FALSE), "0")</f>
        <v>0</v>
      </c>
      <c r="H93" s="320">
        <f t="shared" si="6"/>
        <v>0</v>
      </c>
      <c r="I93" s="327" t="str">
        <f>Rooster!H94</f>
        <v/>
      </c>
      <c r="J93" s="321" t="str">
        <f>IFERROR(VLOOKUP(I93, Locaties!$A$2:$G$15, 7, FALSE), "0")</f>
        <v>0</v>
      </c>
      <c r="K93" s="42">
        <f t="shared" si="7"/>
        <v>0</v>
      </c>
      <c r="L93" s="416"/>
      <c r="M93" s="85"/>
      <c r="N93" s="321" t="str">
        <f>IFERROR(VLOOKUP(M93, Tarieven[#ALL], 10, FALSE), "0")</f>
        <v>0</v>
      </c>
      <c r="O93" s="416"/>
      <c r="P93" s="334"/>
      <c r="Q93" s="325" t="str">
        <f>IFERROR(VLOOKUP(P93, Tarieven[#ALL], 10, FALSE), "0")</f>
        <v>0</v>
      </c>
      <c r="R93" s="417"/>
      <c r="S93" s="85"/>
      <c r="T93" s="325" t="str">
        <f>IFERROR(VLOOKUP(S93, Tarieven[#ALL], 10, FALSE), "0")</f>
        <v>0</v>
      </c>
      <c r="U93" s="347"/>
      <c r="V93" s="85"/>
      <c r="W93" s="328" t="str">
        <f>IFERROR(VLOOKUP(V93, Tarieven!$A$1:$J$150, 10, FALSE), "0")</f>
        <v>0</v>
      </c>
      <c r="X93" s="326"/>
      <c r="Y93" s="85"/>
      <c r="Z93" s="328" t="str">
        <f>IFERROR(VLOOKUP(Y93, Tarieven[#ALL], 10, FALSE), "0")</f>
        <v>0</v>
      </c>
      <c r="AA93" s="326"/>
      <c r="AB93" s="85"/>
      <c r="AC93" s="328" t="str">
        <f>IFERROR(VLOOKUP(AB93, Tarieven[#ALL], 10, FALSE), "0")</f>
        <v>0</v>
      </c>
      <c r="AD93" s="329">
        <f t="shared" si="1"/>
        <v>0</v>
      </c>
      <c r="AE93" s="32">
        <f t="shared" si="8"/>
        <v>0</v>
      </c>
      <c r="AF93" s="32">
        <f t="shared" si="3"/>
        <v>0</v>
      </c>
      <c r="AG93" s="32">
        <f t="shared" si="9"/>
        <v>0</v>
      </c>
    </row>
    <row r="94" ht="22.5" customHeight="1">
      <c r="A94" s="331" t="str">
        <f>Rooster!A95</f>
        <v/>
      </c>
      <c r="B94" s="396" t="str">
        <f>Rooster!B95</f>
        <v/>
      </c>
      <c r="C94" s="15" t="str">
        <f>Rooster!C95</f>
        <v/>
      </c>
      <c r="D94" s="11" t="str">
        <f>Rooster!D95</f>
        <v/>
      </c>
      <c r="E94" s="318">
        <v>1.0</v>
      </c>
      <c r="F94" s="327" t="str">
        <f>Rooster!E95</f>
        <v/>
      </c>
      <c r="G94" s="319" t="str">
        <f>IFERROR(VLOOKUP(F94, Docenten!$A$2:$G$30, 7, FALSE), "0")</f>
        <v>0</v>
      </c>
      <c r="H94" s="320">
        <f t="shared" si="6"/>
        <v>0</v>
      </c>
      <c r="I94" s="327" t="str">
        <f>Rooster!H95</f>
        <v/>
      </c>
      <c r="J94" s="321" t="str">
        <f>IFERROR(VLOOKUP(I94, Locaties!$A$2:$G$15, 7, FALSE), "0")</f>
        <v>0</v>
      </c>
      <c r="K94" s="42">
        <f t="shared" si="7"/>
        <v>0</v>
      </c>
      <c r="L94" s="416"/>
      <c r="M94" s="85"/>
      <c r="N94" s="321" t="str">
        <f>IFERROR(VLOOKUP(M94, Tarieven[#ALL], 10, FALSE), "0")</f>
        <v>0</v>
      </c>
      <c r="O94" s="416"/>
      <c r="P94" s="334"/>
      <c r="Q94" s="325" t="str">
        <f>IFERROR(VLOOKUP(P94, Tarieven[#ALL], 10, FALSE), "0")</f>
        <v>0</v>
      </c>
      <c r="R94" s="417"/>
      <c r="S94" s="85"/>
      <c r="T94" s="325" t="str">
        <f>IFERROR(VLOOKUP(S94, Tarieven[#ALL], 10, FALSE), "0")</f>
        <v>0</v>
      </c>
      <c r="U94" s="326"/>
      <c r="V94" s="85"/>
      <c r="W94" s="328" t="str">
        <f>IFERROR(VLOOKUP(V94, Tarieven!$A$1:$J$150, 10, FALSE), "0")</f>
        <v>0</v>
      </c>
      <c r="X94" s="326"/>
      <c r="Y94" s="85"/>
      <c r="Z94" s="328" t="str">
        <f>IFERROR(VLOOKUP(Y94, Tarieven[#ALL], 10, FALSE), "0")</f>
        <v>0</v>
      </c>
      <c r="AA94" s="326"/>
      <c r="AB94" s="85"/>
      <c r="AC94" s="328" t="str">
        <f>IFERROR(VLOOKUP(AB94, Tarieven[#ALL], 10, FALSE), "0")</f>
        <v>0</v>
      </c>
      <c r="AD94" s="329">
        <f t="shared" si="1"/>
        <v>0</v>
      </c>
      <c r="AE94" s="32">
        <f t="shared" si="8"/>
        <v>0</v>
      </c>
      <c r="AF94" s="32">
        <f t="shared" si="3"/>
        <v>0</v>
      </c>
      <c r="AG94" s="32">
        <f t="shared" si="9"/>
        <v>0</v>
      </c>
    </row>
    <row r="95" ht="22.5" customHeight="1">
      <c r="A95" s="331" t="str">
        <f>Rooster!A96</f>
        <v/>
      </c>
      <c r="B95" s="396" t="str">
        <f>Rooster!B96</f>
        <v/>
      </c>
      <c r="C95" s="15" t="str">
        <f>Rooster!C96</f>
        <v/>
      </c>
      <c r="D95" s="11" t="str">
        <f>Rooster!D96</f>
        <v/>
      </c>
      <c r="E95" s="318">
        <v>1.0</v>
      </c>
      <c r="F95" s="327" t="str">
        <f>Rooster!E96</f>
        <v/>
      </c>
      <c r="G95" s="319" t="str">
        <f>IFERROR(VLOOKUP(F95, Docenten!$A$2:$G$30, 7, FALSE), "0")</f>
        <v>0</v>
      </c>
      <c r="H95" s="320">
        <f t="shared" si="6"/>
        <v>0</v>
      </c>
      <c r="I95" s="327" t="str">
        <f>Rooster!H96</f>
        <v/>
      </c>
      <c r="J95" s="321" t="str">
        <f>IFERROR(VLOOKUP(I95, Locaties!$A$2:$G$15, 7, FALSE), "0")</f>
        <v>0</v>
      </c>
      <c r="K95" s="42">
        <f t="shared" si="7"/>
        <v>0</v>
      </c>
      <c r="L95" s="416"/>
      <c r="M95" s="85"/>
      <c r="N95" s="321" t="str">
        <f>IFERROR(VLOOKUP(M95, Tarieven[#ALL], 10, FALSE), "0")</f>
        <v>0</v>
      </c>
      <c r="O95" s="416"/>
      <c r="P95" s="334"/>
      <c r="Q95" s="325" t="str">
        <f>IFERROR(VLOOKUP(P95, Tarieven[#ALL], 10, FALSE), "0")</f>
        <v>0</v>
      </c>
      <c r="R95" s="417"/>
      <c r="S95" s="85"/>
      <c r="T95" s="325" t="str">
        <f>IFERROR(VLOOKUP(S95, Tarieven[#ALL], 10, FALSE), "0")</f>
        <v>0</v>
      </c>
      <c r="U95" s="326"/>
      <c r="V95" s="85"/>
      <c r="W95" s="328" t="str">
        <f>IFERROR(VLOOKUP(V95, Tarieven!$A$1:$J$150, 10, FALSE), "0")</f>
        <v>0</v>
      </c>
      <c r="X95" s="326"/>
      <c r="Y95" s="85"/>
      <c r="Z95" s="328" t="str">
        <f>IFERROR(VLOOKUP(Y95, Tarieven[#ALL], 10, FALSE), "0")</f>
        <v>0</v>
      </c>
      <c r="AA95" s="326"/>
      <c r="AB95" s="85"/>
      <c r="AC95" s="328" t="str">
        <f>IFERROR(VLOOKUP(AB95, Tarieven[#ALL], 10, FALSE), "0")</f>
        <v>0</v>
      </c>
      <c r="AD95" s="329">
        <f t="shared" si="1"/>
        <v>0</v>
      </c>
      <c r="AE95" s="32">
        <f t="shared" si="8"/>
        <v>0</v>
      </c>
      <c r="AF95" s="32">
        <f t="shared" si="3"/>
        <v>0</v>
      </c>
      <c r="AG95" s="32">
        <f t="shared" si="9"/>
        <v>0</v>
      </c>
    </row>
    <row r="96" ht="22.5" customHeight="1">
      <c r="A96" s="331" t="str">
        <f>Rooster!A97</f>
        <v/>
      </c>
      <c r="B96" s="396" t="str">
        <f>Rooster!B97</f>
        <v/>
      </c>
      <c r="C96" s="15" t="str">
        <f>Rooster!C97</f>
        <v/>
      </c>
      <c r="D96" s="11" t="str">
        <f>Rooster!D97</f>
        <v/>
      </c>
      <c r="E96" s="318">
        <v>1.0</v>
      </c>
      <c r="F96" s="327" t="str">
        <f>Rooster!E97</f>
        <v/>
      </c>
      <c r="G96" s="319" t="str">
        <f>IFERROR(VLOOKUP(F96, Docenten!$A$2:$G$30, 7, FALSE), "0")</f>
        <v>0</v>
      </c>
      <c r="H96" s="320">
        <f t="shared" si="6"/>
        <v>0</v>
      </c>
      <c r="I96" s="327" t="str">
        <f>Rooster!H97</f>
        <v/>
      </c>
      <c r="J96" s="321" t="str">
        <f>IFERROR(VLOOKUP(I96, Locaties!$A$2:$G$15, 7, FALSE), "0")</f>
        <v>0</v>
      </c>
      <c r="K96" s="42">
        <f t="shared" si="7"/>
        <v>0</v>
      </c>
      <c r="L96" s="416"/>
      <c r="M96" s="85"/>
      <c r="N96" s="321" t="str">
        <f>IFERROR(VLOOKUP(M96, Tarieven[#ALL], 10, FALSE), "0")</f>
        <v>0</v>
      </c>
      <c r="O96" s="416"/>
      <c r="P96" s="334"/>
      <c r="Q96" s="325" t="str">
        <f>IFERROR(VLOOKUP(P96, Tarieven[#ALL], 10, FALSE), "0")</f>
        <v>0</v>
      </c>
      <c r="R96" s="417"/>
      <c r="S96" s="85"/>
      <c r="T96" s="325" t="str">
        <f>IFERROR(VLOOKUP(S96, Tarieven[#ALL], 10, FALSE), "0")</f>
        <v>0</v>
      </c>
      <c r="U96" s="326"/>
      <c r="V96" s="85"/>
      <c r="W96" s="328" t="str">
        <f>IFERROR(VLOOKUP(V96, Tarieven!$A$1:$J$150, 10, FALSE), "0")</f>
        <v>0</v>
      </c>
      <c r="X96" s="326"/>
      <c r="Y96" s="85"/>
      <c r="Z96" s="328" t="str">
        <f>IFERROR(VLOOKUP(Y96, Tarieven[#ALL], 10, FALSE), "0")</f>
        <v>0</v>
      </c>
      <c r="AA96" s="326"/>
      <c r="AB96" s="85"/>
      <c r="AC96" s="328" t="str">
        <f>IFERROR(VLOOKUP(AB96, Tarieven[#ALL], 10, FALSE), "0")</f>
        <v>0</v>
      </c>
      <c r="AD96" s="329">
        <f t="shared" si="1"/>
        <v>0</v>
      </c>
      <c r="AE96" s="32">
        <f t="shared" si="8"/>
        <v>0</v>
      </c>
      <c r="AF96" s="32">
        <f t="shared" si="3"/>
        <v>0</v>
      </c>
      <c r="AG96" s="32">
        <f t="shared" si="9"/>
        <v>0</v>
      </c>
    </row>
    <row r="97" ht="22.5" customHeight="1">
      <c r="A97" s="331" t="str">
        <f>Rooster!A98</f>
        <v/>
      </c>
      <c r="B97" s="396" t="str">
        <f>Rooster!B98</f>
        <v/>
      </c>
      <c r="C97" s="15" t="str">
        <f>Rooster!C98</f>
        <v/>
      </c>
      <c r="D97" s="11" t="str">
        <f>Rooster!D98</f>
        <v/>
      </c>
      <c r="E97" s="318">
        <v>1.0</v>
      </c>
      <c r="F97" s="327" t="str">
        <f>Rooster!E98</f>
        <v/>
      </c>
      <c r="G97" s="319" t="str">
        <f>IFERROR(VLOOKUP(F97, Docenten!$A$2:$G$30, 7, FALSE), "0")</f>
        <v>0</v>
      </c>
      <c r="H97" s="320">
        <f t="shared" si="6"/>
        <v>0</v>
      </c>
      <c r="I97" s="327" t="str">
        <f>Rooster!H98</f>
        <v/>
      </c>
      <c r="J97" s="321" t="str">
        <f>IFERROR(VLOOKUP(I97, Locaties!$A$2:$G$15, 7, FALSE), "0")</f>
        <v>0</v>
      </c>
      <c r="K97" s="42">
        <f t="shared" si="7"/>
        <v>0</v>
      </c>
      <c r="L97" s="416"/>
      <c r="M97" s="85"/>
      <c r="N97" s="321" t="str">
        <f>IFERROR(VLOOKUP(M97, Tarieven[#ALL], 10, FALSE), "0")</f>
        <v>0</v>
      </c>
      <c r="O97" s="416"/>
      <c r="P97" s="334"/>
      <c r="Q97" s="325" t="str">
        <f>IFERROR(VLOOKUP(P97, Tarieven[#ALL], 10, FALSE), "0")</f>
        <v>0</v>
      </c>
      <c r="R97" s="417"/>
      <c r="S97" s="85"/>
      <c r="T97" s="325" t="str">
        <f>IFERROR(VLOOKUP(S97, Tarieven[#ALL], 10, FALSE), "0")</f>
        <v>0</v>
      </c>
      <c r="U97" s="347"/>
      <c r="V97" s="85"/>
      <c r="W97" s="328" t="str">
        <f>IFERROR(VLOOKUP(V97, Tarieven!$A$1:$J$150, 10, FALSE), "0")</f>
        <v>0</v>
      </c>
      <c r="X97" s="326"/>
      <c r="Y97" s="85"/>
      <c r="Z97" s="328" t="str">
        <f>IFERROR(VLOOKUP(Y97, Tarieven[#ALL], 10, FALSE), "0")</f>
        <v>0</v>
      </c>
      <c r="AA97" s="326"/>
      <c r="AB97" s="85"/>
      <c r="AC97" s="328" t="str">
        <f>IFERROR(VLOOKUP(AB97, Tarieven[#ALL], 10, FALSE), "0")</f>
        <v>0</v>
      </c>
      <c r="AD97" s="329">
        <f t="shared" si="1"/>
        <v>0</v>
      </c>
      <c r="AE97" s="32">
        <f t="shared" si="8"/>
        <v>0</v>
      </c>
      <c r="AF97" s="32">
        <f t="shared" si="3"/>
        <v>0</v>
      </c>
      <c r="AG97" s="32">
        <f t="shared" si="9"/>
        <v>0</v>
      </c>
    </row>
    <row r="98" ht="22.5" customHeight="1">
      <c r="A98" s="331" t="str">
        <f>Rooster!A99</f>
        <v/>
      </c>
      <c r="B98" s="396" t="str">
        <f>Rooster!B99</f>
        <v/>
      </c>
      <c r="C98" s="15" t="str">
        <f>Rooster!C99</f>
        <v/>
      </c>
      <c r="D98" s="11" t="str">
        <f>Rooster!D99</f>
        <v/>
      </c>
      <c r="E98" s="318">
        <v>1.0</v>
      </c>
      <c r="F98" s="327" t="str">
        <f>Rooster!E99</f>
        <v/>
      </c>
      <c r="G98" s="319" t="str">
        <f>IFERROR(VLOOKUP(F98, Docenten!$A$2:$G$30, 7, FALSE), "0")</f>
        <v>0</v>
      </c>
      <c r="H98" s="320">
        <f t="shared" si="6"/>
        <v>0</v>
      </c>
      <c r="I98" s="327" t="str">
        <f>Rooster!H99</f>
        <v/>
      </c>
      <c r="J98" s="321" t="str">
        <f>IFERROR(VLOOKUP(I98, Locaties!$A$2:$G$15, 7, FALSE), "0")</f>
        <v>0</v>
      </c>
      <c r="K98" s="42">
        <f t="shared" si="7"/>
        <v>0</v>
      </c>
      <c r="L98" s="416"/>
      <c r="M98" s="85"/>
      <c r="N98" s="321" t="str">
        <f>IFERROR(VLOOKUP(M98, Tarieven[#ALL], 10, FALSE), "0")</f>
        <v>0</v>
      </c>
      <c r="O98" s="416"/>
      <c r="P98" s="334"/>
      <c r="Q98" s="325" t="str">
        <f>IFERROR(VLOOKUP(P98, Tarieven[#ALL], 10, FALSE), "0")</f>
        <v>0</v>
      </c>
      <c r="R98" s="417"/>
      <c r="S98" s="85"/>
      <c r="T98" s="325" t="str">
        <f>IFERROR(VLOOKUP(S98, Tarieven[#ALL], 10, FALSE), "0")</f>
        <v>0</v>
      </c>
      <c r="U98" s="326"/>
      <c r="V98" s="85"/>
      <c r="W98" s="328" t="str">
        <f>IFERROR(VLOOKUP(V98, Tarieven!$A$1:$J$150, 10, FALSE), "0")</f>
        <v>0</v>
      </c>
      <c r="X98" s="326"/>
      <c r="Y98" s="85"/>
      <c r="Z98" s="328" t="str">
        <f>IFERROR(VLOOKUP(Y98, Tarieven[#ALL], 10, FALSE), "0")</f>
        <v>0</v>
      </c>
      <c r="AA98" s="326"/>
      <c r="AB98" s="85"/>
      <c r="AC98" s="328" t="str">
        <f>IFERROR(VLOOKUP(AB98, Tarieven[#ALL], 10, FALSE), "0")</f>
        <v>0</v>
      </c>
      <c r="AD98" s="329">
        <f t="shared" si="1"/>
        <v>0</v>
      </c>
      <c r="AE98" s="32">
        <f t="shared" si="8"/>
        <v>0</v>
      </c>
      <c r="AF98" s="32">
        <f t="shared" si="3"/>
        <v>0</v>
      </c>
      <c r="AG98" s="32">
        <f t="shared" si="9"/>
        <v>0</v>
      </c>
    </row>
    <row r="99" ht="22.5" customHeight="1">
      <c r="A99" s="331" t="str">
        <f>Rooster!A100</f>
        <v/>
      </c>
      <c r="B99" s="396" t="str">
        <f>Rooster!B100</f>
        <v/>
      </c>
      <c r="C99" s="15" t="str">
        <f>Rooster!C100</f>
        <v/>
      </c>
      <c r="D99" s="11" t="str">
        <f>Rooster!D100</f>
        <v/>
      </c>
      <c r="E99" s="318">
        <v>1.0</v>
      </c>
      <c r="F99" s="327" t="str">
        <f>Rooster!E100</f>
        <v/>
      </c>
      <c r="G99" s="319" t="str">
        <f>IFERROR(VLOOKUP(F99, Docenten!$A$2:$G$30, 7, FALSE), "0")</f>
        <v>0</v>
      </c>
      <c r="H99" s="320">
        <f t="shared" si="6"/>
        <v>0</v>
      </c>
      <c r="I99" s="327" t="str">
        <f>Rooster!H100</f>
        <v/>
      </c>
      <c r="J99" s="321" t="str">
        <f>IFERROR(VLOOKUP(I99, Locaties!$A$2:$G$15, 7, FALSE), "0")</f>
        <v>0</v>
      </c>
      <c r="K99" s="42">
        <f t="shared" si="7"/>
        <v>0</v>
      </c>
      <c r="L99" s="416"/>
      <c r="M99" s="85"/>
      <c r="N99" s="321" t="str">
        <f>IFERROR(VLOOKUP(M99, Tarieven[#ALL], 10, FALSE), "0")</f>
        <v>0</v>
      </c>
      <c r="O99" s="416"/>
      <c r="P99" s="334"/>
      <c r="Q99" s="325" t="str">
        <f>IFERROR(VLOOKUP(P99, Tarieven[#ALL], 10, FALSE), "0")</f>
        <v>0</v>
      </c>
      <c r="R99" s="417"/>
      <c r="S99" s="85"/>
      <c r="T99" s="325" t="str">
        <f>IFERROR(VLOOKUP(S99, Tarieven[#ALL], 10, FALSE), "0")</f>
        <v>0</v>
      </c>
      <c r="U99" s="326"/>
      <c r="V99" s="85"/>
      <c r="W99" s="328" t="str">
        <f>IFERROR(VLOOKUP(V99, Tarieven!$A$1:$J$150, 10, FALSE), "0")</f>
        <v>0</v>
      </c>
      <c r="X99" s="326"/>
      <c r="Y99" s="85"/>
      <c r="Z99" s="328" t="str">
        <f>IFERROR(VLOOKUP(Y99, Tarieven[#ALL], 10, FALSE), "0")</f>
        <v>0</v>
      </c>
      <c r="AA99" s="326"/>
      <c r="AB99" s="85"/>
      <c r="AC99" s="328" t="str">
        <f>IFERROR(VLOOKUP(AB99, Tarieven[#ALL], 10, FALSE), "0")</f>
        <v>0</v>
      </c>
      <c r="AD99" s="329">
        <f t="shared" si="1"/>
        <v>0</v>
      </c>
      <c r="AE99" s="32">
        <f t="shared" si="8"/>
        <v>0</v>
      </c>
      <c r="AF99" s="32">
        <f t="shared" si="3"/>
        <v>0</v>
      </c>
      <c r="AG99" s="32">
        <f t="shared" si="9"/>
        <v>0</v>
      </c>
    </row>
    <row r="100" ht="22.5" customHeight="1">
      <c r="A100" s="331" t="str">
        <f>Rooster!A101</f>
        <v/>
      </c>
      <c r="B100" s="396" t="str">
        <f>Rooster!B101</f>
        <v/>
      </c>
      <c r="C100" s="15" t="str">
        <f>Rooster!C101</f>
        <v/>
      </c>
      <c r="D100" s="11" t="str">
        <f>Rooster!D101</f>
        <v/>
      </c>
      <c r="E100" s="318">
        <v>1.0</v>
      </c>
      <c r="F100" s="327" t="str">
        <f>Rooster!E101</f>
        <v/>
      </c>
      <c r="G100" s="319" t="str">
        <f>IFERROR(VLOOKUP(F100, Docenten!$A$2:$G$30, 7, FALSE), "0")</f>
        <v>0</v>
      </c>
      <c r="H100" s="320">
        <f t="shared" si="6"/>
        <v>0</v>
      </c>
      <c r="I100" s="327" t="str">
        <f>Rooster!H101</f>
        <v/>
      </c>
      <c r="J100" s="321" t="str">
        <f>IFERROR(VLOOKUP(I100, Locaties!$A$2:$G$15, 7, FALSE), "0")</f>
        <v>0</v>
      </c>
      <c r="K100" s="42">
        <f t="shared" si="7"/>
        <v>0</v>
      </c>
      <c r="L100" s="416"/>
      <c r="M100" s="85"/>
      <c r="N100" s="321" t="str">
        <f>IFERROR(VLOOKUP(M100, Tarieven[#ALL], 10, FALSE), "0")</f>
        <v>0</v>
      </c>
      <c r="O100" s="416"/>
      <c r="P100" s="334"/>
      <c r="Q100" s="325" t="str">
        <f>IFERROR(VLOOKUP(P100, Tarieven[#ALL], 10, FALSE), "0")</f>
        <v>0</v>
      </c>
      <c r="R100" s="417"/>
      <c r="S100" s="85"/>
      <c r="T100" s="325" t="str">
        <f>IFERROR(VLOOKUP(S100, Tarieven[#ALL], 10, FALSE), "0")</f>
        <v>0</v>
      </c>
      <c r="U100" s="326"/>
      <c r="V100" s="85"/>
      <c r="W100" s="328" t="str">
        <f>IFERROR(VLOOKUP(V100, Tarieven!$A$1:$J$150, 10, FALSE), "0")</f>
        <v>0</v>
      </c>
      <c r="X100" s="326"/>
      <c r="Y100" s="85"/>
      <c r="Z100" s="328" t="str">
        <f>IFERROR(VLOOKUP(Y100, Tarieven[#ALL], 10, FALSE), "0")</f>
        <v>0</v>
      </c>
      <c r="AA100" s="326"/>
      <c r="AB100" s="85"/>
      <c r="AC100" s="328" t="str">
        <f>IFERROR(VLOOKUP(AB100, Tarieven[#ALL], 10, FALSE), "0")</f>
        <v>0</v>
      </c>
      <c r="AD100" s="329">
        <f t="shared" si="1"/>
        <v>0</v>
      </c>
      <c r="AE100" s="32">
        <f t="shared" si="8"/>
        <v>0</v>
      </c>
      <c r="AF100" s="32">
        <f t="shared" si="3"/>
        <v>0</v>
      </c>
      <c r="AG100" s="32">
        <f t="shared" si="9"/>
        <v>0</v>
      </c>
    </row>
    <row r="101" ht="22.5" customHeight="1">
      <c r="A101" s="331" t="str">
        <f>Rooster!A102</f>
        <v/>
      </c>
      <c r="B101" s="396" t="str">
        <f>Rooster!B102</f>
        <v/>
      </c>
      <c r="C101" s="15" t="str">
        <f>Rooster!C102</f>
        <v/>
      </c>
      <c r="D101" s="11" t="str">
        <f>Rooster!D102</f>
        <v/>
      </c>
      <c r="E101" s="318">
        <v>1.0</v>
      </c>
      <c r="F101" s="327" t="str">
        <f>Rooster!E102</f>
        <v/>
      </c>
      <c r="G101" s="319" t="str">
        <f>IFERROR(VLOOKUP(F101, Docenten!$A$2:$G$30, 7, FALSE), "0")</f>
        <v>0</v>
      </c>
      <c r="H101" s="320">
        <f t="shared" si="6"/>
        <v>0</v>
      </c>
      <c r="I101" s="327" t="str">
        <f>Rooster!H102</f>
        <v/>
      </c>
      <c r="J101" s="321" t="str">
        <f>IFERROR(VLOOKUP(I101, Locaties!$A$2:$G$15, 7, FALSE), "0")</f>
        <v>0</v>
      </c>
      <c r="K101" s="42">
        <f t="shared" si="7"/>
        <v>0</v>
      </c>
      <c r="L101" s="416">
        <f>SUM(L2:L100)</f>
        <v>100</v>
      </c>
      <c r="M101" s="85"/>
      <c r="N101" s="321" t="str">
        <f>IFERROR(VLOOKUP(M101, Tarieven[#ALL], 10, FALSE), "0")</f>
        <v>0</v>
      </c>
      <c r="O101" s="416">
        <f>SUM(O2:O100)</f>
        <v>55</v>
      </c>
      <c r="P101" s="334"/>
      <c r="Q101" s="325" t="str">
        <f>IFERROR(VLOOKUP(P101, Tarieven[#ALL], 10, FALSE), "0")</f>
        <v>0</v>
      </c>
      <c r="R101" s="417">
        <f>SUM(R2:R100)</f>
        <v>37</v>
      </c>
      <c r="S101" s="85"/>
      <c r="T101" s="325" t="str">
        <f>IFERROR(VLOOKUP(S101, Tarieven[#ALL], 10, FALSE), "0")</f>
        <v>0</v>
      </c>
      <c r="U101" s="143">
        <f>SUM(U2:U100)</f>
        <v>22</v>
      </c>
      <c r="V101" s="85"/>
      <c r="W101" s="328" t="str">
        <f>IFERROR(VLOOKUP(V101, Tarieven!$A$1:$J$150, 10, FALSE), "0")</f>
        <v>0</v>
      </c>
      <c r="X101" s="143">
        <f>SUM(X2:X100)</f>
        <v>6</v>
      </c>
      <c r="Y101" s="85"/>
      <c r="Z101" s="328" t="str">
        <f>IFERROR(VLOOKUP(Y101, Tarieven[#ALL], 10, FALSE), "0")</f>
        <v>0</v>
      </c>
      <c r="AA101" s="143">
        <f>SUM(AA2:AA100)</f>
        <v>0</v>
      </c>
      <c r="AB101" s="85"/>
      <c r="AC101" s="328" t="str">
        <f>IFERROR(VLOOKUP(AB101, Tarieven[#ALL], 10, FALSE), "0")</f>
        <v>0</v>
      </c>
      <c r="AD101" s="329">
        <f t="shared" si="1"/>
        <v>220</v>
      </c>
      <c r="AE101" s="32">
        <f t="shared" si="8"/>
        <v>0</v>
      </c>
      <c r="AF101" s="32">
        <f t="shared" si="3"/>
        <v>0</v>
      </c>
      <c r="AG101" s="32">
        <f t="shared" si="9"/>
        <v>0</v>
      </c>
    </row>
    <row r="102">
      <c r="B102" s="91"/>
      <c r="C102" s="91"/>
    </row>
    <row r="103">
      <c r="B103" s="91"/>
      <c r="C103" s="91"/>
    </row>
    <row r="104">
      <c r="B104" s="91"/>
      <c r="C104" s="91"/>
    </row>
    <row r="105">
      <c r="B105" s="91"/>
      <c r="C105" s="91"/>
    </row>
    <row r="106">
      <c r="B106" s="91"/>
      <c r="C106" s="91"/>
    </row>
    <row r="107">
      <c r="B107" s="91"/>
      <c r="C107" s="91"/>
    </row>
    <row r="108">
      <c r="B108" s="91"/>
      <c r="C108" s="91"/>
    </row>
    <row r="109">
      <c r="B109" s="91"/>
      <c r="C109" s="91"/>
    </row>
    <row r="110">
      <c r="B110" s="91"/>
      <c r="C110" s="91"/>
    </row>
    <row r="111">
      <c r="B111" s="91"/>
      <c r="C111" s="91"/>
    </row>
    <row r="112">
      <c r="B112" s="91"/>
      <c r="C112" s="91"/>
    </row>
    <row r="113">
      <c r="B113" s="91"/>
      <c r="C113" s="91"/>
    </row>
    <row r="114">
      <c r="B114" s="91"/>
      <c r="C114" s="91"/>
    </row>
    <row r="115">
      <c r="B115" s="91"/>
      <c r="C115" s="91"/>
    </row>
    <row r="116">
      <c r="B116" s="91"/>
      <c r="C116" s="91"/>
    </row>
    <row r="117">
      <c r="B117" s="91"/>
      <c r="C117" s="91"/>
    </row>
    <row r="118">
      <c r="B118" s="91"/>
      <c r="C118" s="91"/>
    </row>
    <row r="119">
      <c r="B119" s="91"/>
      <c r="C119" s="91"/>
    </row>
    <row r="120">
      <c r="B120" s="91"/>
      <c r="C120" s="91"/>
    </row>
    <row r="121">
      <c r="B121" s="91"/>
      <c r="C121" s="91"/>
    </row>
    <row r="122">
      <c r="B122" s="91"/>
      <c r="C122" s="91"/>
    </row>
    <row r="123">
      <c r="B123" s="91"/>
      <c r="C123" s="91"/>
    </row>
    <row r="124">
      <c r="B124" s="91"/>
      <c r="C124" s="91"/>
    </row>
    <row r="125">
      <c r="B125" s="91"/>
      <c r="C125" s="91"/>
    </row>
    <row r="126">
      <c r="B126" s="91"/>
      <c r="C126" s="91"/>
    </row>
    <row r="127">
      <c r="B127" s="91"/>
      <c r="C127" s="91"/>
    </row>
    <row r="128">
      <c r="B128" s="91"/>
      <c r="C128" s="91"/>
    </row>
    <row r="129">
      <c r="B129" s="91"/>
      <c r="C129" s="91"/>
    </row>
    <row r="130">
      <c r="B130" s="91"/>
      <c r="C130" s="91"/>
    </row>
    <row r="131">
      <c r="B131" s="91"/>
      <c r="C131" s="91"/>
    </row>
    <row r="132">
      <c r="B132" s="91"/>
      <c r="C132" s="91"/>
    </row>
    <row r="133">
      <c r="B133" s="91"/>
      <c r="C133" s="91"/>
    </row>
    <row r="134">
      <c r="B134" s="91"/>
      <c r="C134" s="91"/>
    </row>
    <row r="135">
      <c r="B135" s="91"/>
      <c r="C135" s="91"/>
    </row>
    <row r="136">
      <c r="B136" s="91"/>
      <c r="C136" s="91"/>
    </row>
    <row r="137">
      <c r="B137" s="91"/>
      <c r="C137" s="91"/>
    </row>
    <row r="138">
      <c r="B138" s="91"/>
      <c r="C138" s="91"/>
    </row>
    <row r="139">
      <c r="B139" s="91"/>
      <c r="C139" s="91"/>
    </row>
    <row r="140">
      <c r="B140" s="91"/>
      <c r="C140" s="91"/>
    </row>
    <row r="141">
      <c r="B141" s="91"/>
      <c r="C141" s="91"/>
    </row>
    <row r="142">
      <c r="B142" s="91"/>
      <c r="C142" s="91"/>
    </row>
    <row r="143">
      <c r="B143" s="91"/>
      <c r="C143" s="91"/>
    </row>
    <row r="144">
      <c r="B144" s="91"/>
      <c r="C144" s="91"/>
    </row>
    <row r="145">
      <c r="B145" s="91"/>
      <c r="C145" s="91"/>
    </row>
    <row r="146">
      <c r="B146" s="91"/>
      <c r="C146" s="91"/>
    </row>
    <row r="147">
      <c r="B147" s="91"/>
      <c r="C147" s="91"/>
    </row>
    <row r="148">
      <c r="B148" s="91"/>
      <c r="C148" s="91"/>
    </row>
    <row r="149">
      <c r="B149" s="91"/>
      <c r="C149" s="91"/>
    </row>
    <row r="150">
      <c r="B150" s="91"/>
      <c r="C150" s="91"/>
    </row>
    <row r="151">
      <c r="B151" s="91"/>
      <c r="C151" s="91"/>
    </row>
    <row r="152">
      <c r="B152" s="91"/>
      <c r="C152" s="91"/>
    </row>
    <row r="153">
      <c r="B153" s="91"/>
      <c r="C153" s="91"/>
    </row>
    <row r="154">
      <c r="B154" s="91"/>
      <c r="C154" s="91"/>
    </row>
    <row r="155">
      <c r="B155" s="91"/>
      <c r="C155" s="91"/>
    </row>
    <row r="156">
      <c r="B156" s="91"/>
      <c r="C156" s="91"/>
    </row>
    <row r="157">
      <c r="B157" s="91"/>
      <c r="C157" s="91"/>
    </row>
    <row r="158">
      <c r="B158" s="91"/>
      <c r="C158" s="91"/>
    </row>
    <row r="159">
      <c r="B159" s="91"/>
      <c r="C159" s="91"/>
    </row>
    <row r="160">
      <c r="B160" s="91"/>
      <c r="C160" s="91"/>
    </row>
    <row r="161">
      <c r="B161" s="91"/>
      <c r="C161" s="91"/>
    </row>
    <row r="162">
      <c r="B162" s="91"/>
      <c r="C162" s="91"/>
    </row>
  </sheetData>
  <conditionalFormatting sqref="AG2:AG101">
    <cfRule type="cellIs" dxfId="7" priority="1" operator="lessThan">
      <formula>0</formula>
    </cfRule>
  </conditionalFormatting>
  <dataValidations>
    <dataValidation type="list" allowBlank="1" sqref="A2:A101">
      <formula1>"Maandag,Dinsdag,Woensdag,Donderdag,Vrijdag,Zaterdag,Zondag"</formula1>
    </dataValidation>
    <dataValidation type="custom" allowBlank="1" showDropDown="1" sqref="B2:B101">
      <formula1>OR(TIMEVALUE(TEXT(B2, "hh:mm:ss"))=B2, AND(ISNUMBER(B2), LEFT(CELL("format", B2))="D"))</formula1>
    </dataValidation>
    <dataValidation type="custom" allowBlank="1" showDropDown="1" sqref="L2:L101 N2:N101 AE2:AF101">
      <formula1>AND(ISNUMBER(L2),(NOT(OR(NOT(ISERROR(DATEVALUE(L2))), AND(ISNUMBER(L2), LEFT(CELL("format", L2))="D")))))</formula1>
    </dataValidation>
    <dataValidation type="list" allowBlank="1" sqref="F2:F101 I2:I101 M2:M101 P2:P101 S2:S101">
      <formula1>#REF!</formula1>
    </dataValidation>
    <dataValidation type="list" allowBlank="1" sqref="A2:A101">
      <formula1>"Maandag,Dinsdag,Woensdag,Donderdag,Vrijdag,Zaterdag,Zondag"</formula1>
    </dataValidation>
    <dataValidation type="list" allowBlank="1" sqref="I2:I101">
      <formula1>Locaties[Naam locatie]</formula1>
    </dataValidation>
    <dataValidation allowBlank="1" showDropDown="1" sqref="D2:D101"/>
    <dataValidation type="list" allowBlank="1" sqref="M2:M17 M19:M39 M41:M101 P2:P101 S2:S101 Y2:Y101 AB2:AB101">
      <formula1>Tarieven[Naam lidmaatschap]</formula1>
    </dataValidation>
    <dataValidation type="custom" allowBlank="1" showDropDown="1" sqref="C2:C101 G2:H101 J2:K101 O2:O101 Q2:Q101 T2:T101 W2:W101 Z2:Z101 AC2:AD101">
      <formula1>AND(ISNUMBER(C2),(NOT(OR(NOT(ISERROR(DATEVALUE(C2))), AND(ISNUMBER(C2), LEFT(CELL("format", C2))="D")))))</formula1>
    </dataValidation>
    <dataValidation type="list" allowBlank="1" sqref="F2:F101">
      <formula1>Docenten[Naam docent]</formula1>
    </dataValidation>
    <dataValidation type="list" allowBlank="1" sqref="V2:V101">
      <formula1>#REF!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5.33"/>
    <col customWidth="1" min="2" max="2" width="13.67"/>
    <col customWidth="1" min="3" max="3" width="14.22"/>
    <col customWidth="1" min="4" max="4" width="22.0"/>
    <col customWidth="1" min="5" max="5" width="17.11"/>
    <col customWidth="1" min="6" max="6" width="15.11"/>
    <col customWidth="1" hidden="1" min="7" max="7" width="15.11"/>
    <col customWidth="1" min="8" max="9" width="15.11"/>
    <col customWidth="1" hidden="1" min="10" max="10" width="15.44"/>
    <col customWidth="1" min="11" max="11" width="15.44"/>
    <col customWidth="1" min="12" max="12" width="17.56"/>
    <col customWidth="1" min="13" max="13" width="25.0"/>
    <col customWidth="1" min="14" max="14" width="16.78"/>
    <col customWidth="1" min="15" max="15" width="17.56"/>
    <col customWidth="1" min="16" max="16" width="20.0"/>
    <col customWidth="1" min="17" max="17" width="15.56"/>
    <col customWidth="1" min="18" max="18" width="17.56"/>
    <col customWidth="1" min="19" max="19" width="20.0"/>
    <col customWidth="1" min="20" max="21" width="15.56"/>
    <col customWidth="1" min="22" max="22" width="20.11"/>
    <col customWidth="1" min="23" max="23" width="15.56"/>
    <col customWidth="1" min="24" max="24" width="23.11"/>
    <col customWidth="1" min="25" max="25" width="20.56"/>
    <col customWidth="1" min="26" max="26" width="18.0"/>
    <col customWidth="1" min="27" max="27" width="16.33"/>
    <col customWidth="1" min="28" max="28" width="19.22"/>
    <col customWidth="1" min="29" max="30" width="16.89"/>
    <col customWidth="1" min="31" max="31" width="16.78"/>
    <col customWidth="1" min="32" max="32" width="16.89"/>
    <col customWidth="1" min="33" max="34" width="17.0"/>
  </cols>
  <sheetData>
    <row r="1" ht="22.5" customHeight="1">
      <c r="A1" s="1" t="s">
        <v>94</v>
      </c>
      <c r="B1" s="1" t="s">
        <v>95</v>
      </c>
      <c r="C1" s="301" t="s">
        <v>273</v>
      </c>
      <c r="D1" s="1" t="s">
        <v>98</v>
      </c>
      <c r="E1" s="302" t="s">
        <v>274</v>
      </c>
      <c r="F1" s="302" t="s">
        <v>99</v>
      </c>
      <c r="G1" s="303" t="s">
        <v>100</v>
      </c>
      <c r="H1" s="303" t="s">
        <v>275</v>
      </c>
      <c r="I1" s="304" t="s">
        <v>102</v>
      </c>
      <c r="J1" s="304" t="s">
        <v>103</v>
      </c>
      <c r="K1" s="304" t="s">
        <v>104</v>
      </c>
      <c r="L1" s="305" t="s">
        <v>276</v>
      </c>
      <c r="M1" s="305" t="s">
        <v>298</v>
      </c>
      <c r="N1" s="306" t="s">
        <v>299</v>
      </c>
      <c r="O1" s="307" t="s">
        <v>279</v>
      </c>
      <c r="P1" s="392" t="s">
        <v>300</v>
      </c>
      <c r="Q1" s="308" t="s">
        <v>301</v>
      </c>
      <c r="R1" s="309" t="s">
        <v>282</v>
      </c>
      <c r="S1" s="309" t="s">
        <v>302</v>
      </c>
      <c r="T1" s="310" t="s">
        <v>303</v>
      </c>
      <c r="U1" s="393" t="s">
        <v>285</v>
      </c>
      <c r="V1" s="393" t="s">
        <v>304</v>
      </c>
      <c r="W1" s="311" t="s">
        <v>305</v>
      </c>
      <c r="X1" s="394" t="s">
        <v>306</v>
      </c>
      <c r="Y1" s="395" t="s">
        <v>307</v>
      </c>
      <c r="Z1" s="314" t="s">
        <v>294</v>
      </c>
      <c r="AA1" s="314" t="s">
        <v>295</v>
      </c>
      <c r="AB1" s="1" t="s">
        <v>308</v>
      </c>
      <c r="AC1" s="1" t="s">
        <v>297</v>
      </c>
    </row>
    <row r="2" ht="22.5" customHeight="1">
      <c r="A2" s="17" t="str">
        <f>Rooster!A3</f>
        <v/>
      </c>
      <c r="B2" s="396" t="str">
        <f>Rooster!B3</f>
        <v/>
      </c>
      <c r="C2" s="15" t="str">
        <f>Rooster!C3</f>
        <v/>
      </c>
      <c r="D2" s="11" t="str">
        <f>Rooster!D3</f>
        <v/>
      </c>
      <c r="E2" s="77"/>
      <c r="F2" s="70" t="str">
        <f>Rooster!E3</f>
        <v/>
      </c>
      <c r="G2" s="319" t="str">
        <f>IFERROR(VLOOKUP(F2, Docenten!$A$2:$G$30, 7, FALSE), "0")</f>
        <v>0</v>
      </c>
      <c r="H2" s="320">
        <f t="shared" ref="H2:H101" si="1">SUM(G2/60)*C2</f>
        <v>0</v>
      </c>
      <c r="I2" s="70" t="str">
        <f>Rooster!H3</f>
        <v/>
      </c>
      <c r="J2" s="321" t="str">
        <f>IFERROR(VLOOKUP(I2, Locaties!$A$2:$G$15, 7, FALSE), "0")</f>
        <v>0</v>
      </c>
      <c r="K2" s="42">
        <f t="shared" ref="K2:K101" si="2">SUM(J2/60)*C2</f>
        <v>0</v>
      </c>
      <c r="L2" s="322" t="str">
        <f>September!L2</f>
        <v/>
      </c>
      <c r="M2" s="70"/>
      <c r="N2" s="42" t="str">
        <f>IFERROR(VLOOKUP(M2, Tarieven!$A$1:$J$150, 10, FALSE), "0")</f>
        <v>0</v>
      </c>
      <c r="O2" s="322" t="str">
        <f>September!O2</f>
        <v/>
      </c>
      <c r="P2" s="324"/>
      <c r="Q2" s="325" t="str">
        <f>IFERROR(VLOOKUP(P2, Tarieven!$A$2:$J$150, 10, FALSE), "0")</f>
        <v>0</v>
      </c>
      <c r="R2" s="138" t="str">
        <f>September!R2</f>
        <v/>
      </c>
      <c r="S2" s="70"/>
      <c r="T2" s="325" t="str">
        <f>IFERROR(VLOOKUP(S2, Tarieven!$A$2:$J$150, 10, FALSE), "0")</f>
        <v>0</v>
      </c>
      <c r="U2" s="77" t="str">
        <f>September!U2</f>
        <v/>
      </c>
      <c r="V2" s="327" t="str">
        <f>September!V2</f>
        <v/>
      </c>
      <c r="W2" s="325" t="str">
        <f>IFERROR(VLOOKUP(V2, Tarieven!$A$2:$J$150, 10, FALSE), "0")</f>
        <v>0</v>
      </c>
      <c r="X2" s="397">
        <f>Jaarbetalingen!AD2</f>
        <v>0</v>
      </c>
      <c r="Y2" s="398">
        <v>0.0</v>
      </c>
      <c r="Z2" s="329">
        <f t="shared" ref="Z2:Z100" si="3">SUM(L2+O2+R2+U2+X2)</f>
        <v>0</v>
      </c>
      <c r="AA2" s="32">
        <f t="shared" ref="AA2:AA101" si="4">SUM(H2+K2)*E2</f>
        <v>0</v>
      </c>
      <c r="AB2" s="32">
        <f t="shared" ref="AB2:AB101" si="5">SUM((L2*N2)+(O2*Q2)+(R2*T2)+(U2*W2)+Y2)</f>
        <v>0</v>
      </c>
      <c r="AC2" s="32">
        <f t="shared" ref="AC2:AC101" si="6">SUM(AB2-AA2)</f>
        <v>0</v>
      </c>
      <c r="AE2" s="154" t="s">
        <v>309</v>
      </c>
      <c r="AF2" s="154" t="s">
        <v>310</v>
      </c>
      <c r="AG2" s="109" t="s">
        <v>311</v>
      </c>
    </row>
    <row r="3" ht="22.5" customHeight="1">
      <c r="A3" s="331" t="str">
        <f>Rooster!A4</f>
        <v/>
      </c>
      <c r="B3" s="396" t="str">
        <f>Rooster!B4</f>
        <v/>
      </c>
      <c r="C3" s="15" t="str">
        <f>Rooster!C4</f>
        <v/>
      </c>
      <c r="D3" s="11" t="str">
        <f>Rooster!D4</f>
        <v/>
      </c>
      <c r="E3" s="77"/>
      <c r="F3" s="327" t="str">
        <f>Rooster!E4</f>
        <v/>
      </c>
      <c r="G3" s="319" t="str">
        <f>IFERROR(VLOOKUP(F3, Docenten!$A$2:$G$30, 7, FALSE), "0")</f>
        <v>0</v>
      </c>
      <c r="H3" s="320">
        <f t="shared" si="1"/>
        <v>0</v>
      </c>
      <c r="I3" s="327" t="str">
        <f>Rooster!H4</f>
        <v/>
      </c>
      <c r="J3" s="321" t="str">
        <f>IFERROR(VLOOKUP(I3, Locaties!$A$2:$G$15, 7, FALSE), "0")</f>
        <v>0</v>
      </c>
      <c r="K3" s="42">
        <f t="shared" si="2"/>
        <v>0</v>
      </c>
      <c r="L3" s="322" t="str">
        <f>September!L3</f>
        <v/>
      </c>
      <c r="M3" s="70"/>
      <c r="N3" s="42" t="str">
        <f>IFERROR(VLOOKUP(M3, Tarieven!$A$1:$J$150, 10, FALSE), "0")</f>
        <v>0</v>
      </c>
      <c r="O3" s="322" t="str">
        <f>September!O3</f>
        <v/>
      </c>
      <c r="P3" s="332"/>
      <c r="Q3" s="325" t="str">
        <f>IFERROR(VLOOKUP(P3, Tarieven!$A$2:$J$150, 10, FALSE), "0")</f>
        <v>0</v>
      </c>
      <c r="R3" s="138" t="str">
        <f>September!R3</f>
        <v/>
      </c>
      <c r="S3" s="85"/>
      <c r="T3" s="325" t="str">
        <f>IFERROR(VLOOKUP(S3, Tarieven!$A$2:$J$150, 10, FALSE), "0")</f>
        <v>0</v>
      </c>
      <c r="U3" s="77" t="str">
        <f>September!U3</f>
        <v/>
      </c>
      <c r="V3" s="85" t="str">
        <f>September!V3</f>
        <v/>
      </c>
      <c r="W3" s="325" t="str">
        <f>IFERROR(VLOOKUP(V3, Tarieven!$A$2:$J$150, 10, FALSE), "0")</f>
        <v>0</v>
      </c>
      <c r="X3" s="397">
        <f>Jaarbetalingen!AD3</f>
        <v>0</v>
      </c>
      <c r="Y3" s="398">
        <v>0.0</v>
      </c>
      <c r="Z3" s="329">
        <f t="shared" si="3"/>
        <v>0</v>
      </c>
      <c r="AA3" s="32">
        <f t="shared" si="4"/>
        <v>0</v>
      </c>
      <c r="AB3" s="32">
        <f t="shared" si="5"/>
        <v>0</v>
      </c>
      <c r="AC3" s="32">
        <f t="shared" si="6"/>
        <v>0</v>
      </c>
      <c r="AD3" s="130"/>
      <c r="AE3" s="159" t="s">
        <v>312</v>
      </c>
      <c r="AF3" s="32">
        <f>SUM(AB2:AB101)</f>
        <v>2000</v>
      </c>
      <c r="AG3" s="160"/>
    </row>
    <row r="4" ht="22.5" customHeight="1">
      <c r="A4" s="331" t="str">
        <f>Rooster!A5</f>
        <v>Maandag</v>
      </c>
      <c r="B4" s="396">
        <f>Rooster!B5</f>
        <v>0.625</v>
      </c>
      <c r="C4" s="15">
        <f>Rooster!C5</f>
        <v>60</v>
      </c>
      <c r="D4" s="11" t="str">
        <f>Rooster!D5</f>
        <v>Kleuterdans</v>
      </c>
      <c r="E4" s="77"/>
      <c r="F4" s="327" t="str">
        <f>Rooster!E5</f>
        <v>Lotte</v>
      </c>
      <c r="G4" s="319">
        <f>IFERROR(VLOOKUP(F4, Docenten!$A$2:$G$30, 7, FALSE), "0")</f>
        <v>22.5</v>
      </c>
      <c r="H4" s="320">
        <f t="shared" si="1"/>
        <v>22.5</v>
      </c>
      <c r="I4" s="327" t="str">
        <f>Rooster!H5</f>
        <v>Santpoort Zuid</v>
      </c>
      <c r="J4" s="321">
        <f>IFERROR(VLOOKUP(I4, Locaties!$A$2:$G$15, 7, FALSE), "0")</f>
        <v>18.9</v>
      </c>
      <c r="K4" s="42">
        <f t="shared" si="2"/>
        <v>18.9</v>
      </c>
      <c r="L4" s="322" t="str">
        <f>September!L4</f>
        <v/>
      </c>
      <c r="M4" s="85"/>
      <c r="N4" s="42" t="str">
        <f>IFERROR(VLOOKUP(M4, Tarieven!$A$1:$J$150, 10, FALSE), "0")</f>
        <v>0</v>
      </c>
      <c r="O4" s="322" t="str">
        <f>September!O4</f>
        <v/>
      </c>
      <c r="P4" s="334"/>
      <c r="Q4" s="325" t="str">
        <f>IFERROR(VLOOKUP(P4, Tarieven!$A$2:$J$150, 10, FALSE), "0")</f>
        <v>0</v>
      </c>
      <c r="R4" s="138" t="str">
        <f>September!R4</f>
        <v/>
      </c>
      <c r="S4" s="85"/>
      <c r="T4" s="325" t="str">
        <f>IFERROR(VLOOKUP(S4, Tarieven!$A$2:$J$150, 10, FALSE), "0")</f>
        <v>0</v>
      </c>
      <c r="U4" s="77" t="str">
        <f>September!U4</f>
        <v/>
      </c>
      <c r="V4" s="85" t="str">
        <f>September!V4</f>
        <v/>
      </c>
      <c r="W4" s="325" t="str">
        <f>IFERROR(VLOOKUP(V4, Tarieven!$A$2:$J$150, 10, FALSE), "0")</f>
        <v>0</v>
      </c>
      <c r="X4" s="397">
        <f>Jaarbetalingen!AD4</f>
        <v>0</v>
      </c>
      <c r="Y4" s="398">
        <v>0.0</v>
      </c>
      <c r="Z4" s="329">
        <f t="shared" si="3"/>
        <v>0</v>
      </c>
      <c r="AA4" s="32">
        <f t="shared" si="4"/>
        <v>0</v>
      </c>
      <c r="AB4" s="32">
        <f t="shared" si="5"/>
        <v>0</v>
      </c>
      <c r="AC4" s="32">
        <f t="shared" si="6"/>
        <v>0</v>
      </c>
      <c r="AD4" s="130"/>
      <c r="AE4" s="159" t="s">
        <v>313</v>
      </c>
      <c r="AF4" s="404" t="str">
        <f>'Extra activiteiten'!K2</f>
        <v/>
      </c>
      <c r="AG4" s="159"/>
    </row>
    <row r="5" ht="22.5" customHeight="1">
      <c r="A5" s="331" t="str">
        <f>Rooster!A6</f>
        <v>Maandag</v>
      </c>
      <c r="B5" s="396">
        <f>Rooster!B6</f>
        <v>0.625</v>
      </c>
      <c r="C5" s="15">
        <f>Rooster!C6</f>
        <v>60</v>
      </c>
      <c r="D5" s="11" t="str">
        <f>Rooster!D6</f>
        <v>Streetdance 6+</v>
      </c>
      <c r="E5" s="77"/>
      <c r="F5" s="327" t="str">
        <f>Rooster!E6</f>
        <v>Lotte</v>
      </c>
      <c r="G5" s="319">
        <f>IFERROR(VLOOKUP(F5, Docenten!$A$2:$G$30, 7, FALSE), "0")</f>
        <v>22.5</v>
      </c>
      <c r="H5" s="320">
        <f t="shared" si="1"/>
        <v>22.5</v>
      </c>
      <c r="I5" s="327" t="str">
        <f>Rooster!H6</f>
        <v>Santpoort Zuid</v>
      </c>
      <c r="J5" s="321">
        <f>IFERROR(VLOOKUP(I5, Locaties!$A$2:$G$15, 7, FALSE), "0")</f>
        <v>18.9</v>
      </c>
      <c r="K5" s="42">
        <f t="shared" si="2"/>
        <v>18.9</v>
      </c>
      <c r="L5" s="322"/>
      <c r="M5" s="70"/>
      <c r="N5" s="42" t="str">
        <f>IFERROR(VLOOKUP(M5, Tarieven!$A$1:$J$150, 10, FALSE), "0")</f>
        <v>0</v>
      </c>
      <c r="O5" s="322" t="str">
        <f>September!O5</f>
        <v/>
      </c>
      <c r="P5" s="334"/>
      <c r="Q5" s="325" t="str">
        <f>IFERROR(VLOOKUP(P5, Tarieven!$A$2:$J$150, 10, FALSE), "0")</f>
        <v>0</v>
      </c>
      <c r="R5" s="138" t="str">
        <f>September!R5</f>
        <v/>
      </c>
      <c r="S5" s="85"/>
      <c r="T5" s="325" t="str">
        <f>IFERROR(VLOOKUP(S5, Tarieven!$A$2:$J$150, 10, FALSE), "0")</f>
        <v>0</v>
      </c>
      <c r="U5" s="77" t="str">
        <f>September!U5</f>
        <v/>
      </c>
      <c r="V5" s="85" t="str">
        <f>September!V5</f>
        <v/>
      </c>
      <c r="W5" s="325" t="str">
        <f>IFERROR(VLOOKUP(V5, Tarieven!$A$2:$J$150, 10, FALSE), "0")</f>
        <v>0</v>
      </c>
      <c r="X5" s="397">
        <f>Jaarbetalingen!AD5</f>
        <v>0</v>
      </c>
      <c r="Y5" s="398">
        <v>0.0</v>
      </c>
      <c r="Z5" s="329">
        <f t="shared" si="3"/>
        <v>0</v>
      </c>
      <c r="AA5" s="32">
        <f t="shared" si="4"/>
        <v>0</v>
      </c>
      <c r="AB5" s="32">
        <f t="shared" si="5"/>
        <v>0</v>
      </c>
      <c r="AC5" s="32">
        <f t="shared" si="6"/>
        <v>0</v>
      </c>
      <c r="AD5" s="130"/>
      <c r="AE5" s="159" t="s">
        <v>314</v>
      </c>
      <c r="AF5" s="32">
        <f>SUM(Augustus[Kosten per maand])</f>
        <v>0</v>
      </c>
      <c r="AG5" s="159"/>
    </row>
    <row r="6" ht="22.5" customHeight="1">
      <c r="A6" s="331" t="str">
        <f>Rooster!A7</f>
        <v>Maandag</v>
      </c>
      <c r="B6" s="396">
        <f>Rooster!B7</f>
        <v>0.6666666667</v>
      </c>
      <c r="C6" s="15">
        <f>Rooster!C7</f>
        <v>60</v>
      </c>
      <c r="D6" s="11" t="str">
        <f>Rooster!D7</f>
        <v>Urban-Pop-Show 10+</v>
      </c>
      <c r="E6" s="77"/>
      <c r="F6" s="327" t="str">
        <f>Rooster!E7</f>
        <v>Lotte</v>
      </c>
      <c r="G6" s="319">
        <f>IFERROR(VLOOKUP(F6, Docenten!$A$2:$G$30, 7, FALSE), "0")</f>
        <v>22.5</v>
      </c>
      <c r="H6" s="320">
        <f t="shared" si="1"/>
        <v>22.5</v>
      </c>
      <c r="I6" s="327" t="str">
        <f>Rooster!H7</f>
        <v>Santpoort Zuid</v>
      </c>
      <c r="J6" s="321">
        <f>IFERROR(VLOOKUP(I6, Locaties!$A$2:$G$15, 7, FALSE), "0")</f>
        <v>18.9</v>
      </c>
      <c r="K6" s="42">
        <f t="shared" si="2"/>
        <v>18.9</v>
      </c>
      <c r="L6" s="322">
        <f>September!L6</f>
        <v>1</v>
      </c>
      <c r="M6" s="70"/>
      <c r="N6" s="42" t="str">
        <f>IFERROR(VLOOKUP(M6, Tarieven!$A$1:$J$150, 10, FALSE), "0")</f>
        <v>0</v>
      </c>
      <c r="O6" s="322">
        <f>September!O6</f>
        <v>3</v>
      </c>
      <c r="P6" s="372"/>
      <c r="Q6" s="325" t="str">
        <f>IFERROR(VLOOKUP(P6, Tarieven!$A$2:$J$150, 10, FALSE), "0")</f>
        <v>0</v>
      </c>
      <c r="R6" s="138">
        <f>September!R6</f>
        <v>1</v>
      </c>
      <c r="S6" s="85"/>
      <c r="T6" s="325" t="str">
        <f>IFERROR(VLOOKUP(S6, Tarieven!$A$2:$J$150, 10, FALSE), "0")</f>
        <v>0</v>
      </c>
      <c r="U6" s="77" t="str">
        <f>September!U6</f>
        <v/>
      </c>
      <c r="V6" s="85" t="str">
        <f>September!V6</f>
        <v/>
      </c>
      <c r="W6" s="325" t="str">
        <f>IFERROR(VLOOKUP(V6, Tarieven!$A$2:$J$150, 10, FALSE), "0")</f>
        <v>0</v>
      </c>
      <c r="X6" s="397">
        <f>Jaarbetalingen!AD6</f>
        <v>4</v>
      </c>
      <c r="Y6" s="398">
        <v>0.0</v>
      </c>
      <c r="Z6" s="329">
        <f t="shared" si="3"/>
        <v>9</v>
      </c>
      <c r="AA6" s="32">
        <f t="shared" si="4"/>
        <v>0</v>
      </c>
      <c r="AB6" s="32">
        <f t="shared" si="5"/>
        <v>0</v>
      </c>
      <c r="AC6" s="32">
        <f t="shared" si="6"/>
        <v>0</v>
      </c>
      <c r="AD6" s="130"/>
      <c r="AE6" s="159" t="s">
        <v>315</v>
      </c>
      <c r="AF6" s="408">
        <f>Kosten!B69</f>
        <v>4644.58</v>
      </c>
      <c r="AG6" s="159" t="s">
        <v>316</v>
      </c>
    </row>
    <row r="7" ht="22.5" customHeight="1">
      <c r="A7" s="331" t="str">
        <f>Rooster!A8</f>
        <v>Maandag</v>
      </c>
      <c r="B7" s="396">
        <f>Rooster!B8</f>
        <v>0.7083333333</v>
      </c>
      <c r="C7" s="15">
        <f>Rooster!C8</f>
        <v>60</v>
      </c>
      <c r="D7" s="11" t="str">
        <f>Rooster!D8</f>
        <v>Urban-Pop-Show 12+</v>
      </c>
      <c r="E7" s="77"/>
      <c r="F7" s="327" t="str">
        <f>Rooster!E8</f>
        <v>Nova</v>
      </c>
      <c r="G7" s="319">
        <f>IFERROR(VLOOKUP(F7, Docenten!$A$2:$G$30, 7, FALSE), "0")</f>
        <v>22.5</v>
      </c>
      <c r="H7" s="320">
        <f t="shared" si="1"/>
        <v>22.5</v>
      </c>
      <c r="I7" s="327" t="str">
        <f>Rooster!H8</f>
        <v>Santpoort Zuid</v>
      </c>
      <c r="J7" s="321">
        <f>IFERROR(VLOOKUP(I7, Locaties!$A$2:$G$15, 7, FALSE), "0")</f>
        <v>18.9</v>
      </c>
      <c r="K7" s="42">
        <f t="shared" si="2"/>
        <v>18.9</v>
      </c>
      <c r="L7" s="322">
        <f>September!L7</f>
        <v>1</v>
      </c>
      <c r="M7" s="70"/>
      <c r="N7" s="42" t="str">
        <f>IFERROR(VLOOKUP(M7, Tarieven!$A$1:$J$150, 10, FALSE), "0")</f>
        <v>0</v>
      </c>
      <c r="O7" s="322">
        <f>September!O7</f>
        <v>1</v>
      </c>
      <c r="P7" s="332"/>
      <c r="Q7" s="325" t="str">
        <f>IFERROR(VLOOKUP(P7, Tarieven!$A$2:$J$150, 10, FALSE), "0")</f>
        <v>0</v>
      </c>
      <c r="R7" s="138">
        <f>September!R7</f>
        <v>1</v>
      </c>
      <c r="S7" s="85"/>
      <c r="T7" s="325" t="str">
        <f>IFERROR(VLOOKUP(S7, Tarieven!$A$2:$J$150, 10, FALSE), "0")</f>
        <v>0</v>
      </c>
      <c r="U7" s="77" t="str">
        <f>September!U7</f>
        <v/>
      </c>
      <c r="V7" s="85" t="str">
        <f>September!V7</f>
        <v/>
      </c>
      <c r="W7" s="325" t="str">
        <f>IFERROR(VLOOKUP(V7, Tarieven!$A$2:$J$150, 10, FALSE), "0")</f>
        <v>0</v>
      </c>
      <c r="X7" s="397">
        <f>Jaarbetalingen!AD7</f>
        <v>11</v>
      </c>
      <c r="Y7" s="398">
        <v>0.0</v>
      </c>
      <c r="Z7" s="329">
        <f t="shared" si="3"/>
        <v>14</v>
      </c>
      <c r="AA7" s="32">
        <f t="shared" si="4"/>
        <v>0</v>
      </c>
      <c r="AB7" s="32">
        <f t="shared" si="5"/>
        <v>0</v>
      </c>
      <c r="AC7" s="32">
        <f t="shared" si="6"/>
        <v>0</v>
      </c>
      <c r="AD7" s="409"/>
      <c r="AE7" s="410" t="s">
        <v>317</v>
      </c>
      <c r="AF7" s="411">
        <f>SUM(AF3+AF4)-AF5-AF6</f>
        <v>-2644.58</v>
      </c>
      <c r="AG7" s="412">
        <f>'Doel vs Werkelijkheid'!B2</f>
        <v>3000</v>
      </c>
    </row>
    <row r="8" ht="22.5" customHeight="1">
      <c r="A8" s="331" t="str">
        <f>Rooster!A9</f>
        <v>Maandag</v>
      </c>
      <c r="B8" s="396">
        <f>Rooster!B9</f>
        <v>0.75</v>
      </c>
      <c r="C8" s="15">
        <f>Rooster!C9</f>
        <v>60</v>
      </c>
      <c r="D8" s="11" t="str">
        <f>Rooster!D9</f>
        <v>Selectie Show</v>
      </c>
      <c r="E8" s="77"/>
      <c r="F8" s="327" t="str">
        <f>Rooster!E9</f>
        <v>Nova</v>
      </c>
      <c r="G8" s="319">
        <f>IFERROR(VLOOKUP(F8, Docenten!$A$2:$G$30, 7, FALSE), "0")</f>
        <v>22.5</v>
      </c>
      <c r="H8" s="320">
        <f t="shared" si="1"/>
        <v>22.5</v>
      </c>
      <c r="I8" s="327" t="str">
        <f>Rooster!H9</f>
        <v>Santpoort Zuid</v>
      </c>
      <c r="J8" s="321">
        <f>IFERROR(VLOOKUP(I8, Locaties!$A$2:$G$15, 7, FALSE), "0")</f>
        <v>18.9</v>
      </c>
      <c r="K8" s="42">
        <f t="shared" si="2"/>
        <v>18.9</v>
      </c>
      <c r="L8" s="322">
        <f>September!L8</f>
        <v>2</v>
      </c>
      <c r="M8" s="70"/>
      <c r="N8" s="42" t="str">
        <f>IFERROR(VLOOKUP(M8, Tarieven!$A$1:$J$150, 10, FALSE), "0")</f>
        <v>0</v>
      </c>
      <c r="O8" s="322">
        <f>September!O8</f>
        <v>3</v>
      </c>
      <c r="P8" s="372"/>
      <c r="Q8" s="325" t="str">
        <f>IFERROR(VLOOKUP(P8, Tarieven!$A$2:$J$150, 10, FALSE), "0")</f>
        <v>0</v>
      </c>
      <c r="R8" s="138">
        <f>September!R8</f>
        <v>2</v>
      </c>
      <c r="S8" s="85"/>
      <c r="T8" s="325" t="str">
        <f>IFERROR(VLOOKUP(S8, Tarieven!$A$2:$J$150, 10, FALSE), "0")</f>
        <v>0</v>
      </c>
      <c r="U8" s="77" t="str">
        <f>September!U8</f>
        <v/>
      </c>
      <c r="V8" s="85" t="str">
        <f>September!V8</f>
        <v/>
      </c>
      <c r="W8" s="325" t="str">
        <f>IFERROR(VLOOKUP(V8, Tarieven!$A$2:$J$150, 10, FALSE), "0")</f>
        <v>0</v>
      </c>
      <c r="X8" s="397">
        <f>Jaarbetalingen!AD8</f>
        <v>4</v>
      </c>
      <c r="Y8" s="398">
        <v>0.0</v>
      </c>
      <c r="Z8" s="329">
        <f t="shared" si="3"/>
        <v>11</v>
      </c>
      <c r="AA8" s="32">
        <f t="shared" si="4"/>
        <v>0</v>
      </c>
      <c r="AB8" s="32">
        <f t="shared" si="5"/>
        <v>0</v>
      </c>
      <c r="AC8" s="32">
        <f t="shared" si="6"/>
        <v>0</v>
      </c>
      <c r="AE8" s="160"/>
      <c r="AF8" s="160"/>
      <c r="AG8" s="160"/>
    </row>
    <row r="9" ht="22.5" customHeight="1">
      <c r="A9" s="331" t="str">
        <f>Rooster!A10</f>
        <v>Maandag</v>
      </c>
      <c r="B9" s="396">
        <f>Rooster!B10</f>
        <v>0.7916666667</v>
      </c>
      <c r="C9" s="15">
        <f>Rooster!C10</f>
        <v>60</v>
      </c>
      <c r="D9" s="11" t="str">
        <f>Rooster!D10</f>
        <v>Commercial 16+</v>
      </c>
      <c r="E9" s="77"/>
      <c r="F9" s="327" t="str">
        <f>Rooster!E10</f>
        <v>Nova</v>
      </c>
      <c r="G9" s="319">
        <f>IFERROR(VLOOKUP(F9, Docenten!$A$2:$G$30, 7, FALSE), "0")</f>
        <v>22.5</v>
      </c>
      <c r="H9" s="320">
        <f t="shared" si="1"/>
        <v>22.5</v>
      </c>
      <c r="I9" s="327" t="str">
        <f>Rooster!H10</f>
        <v>Santpoort Zuid</v>
      </c>
      <c r="J9" s="321">
        <f>IFERROR(VLOOKUP(I9, Locaties!$A$2:$G$15, 7, FALSE), "0")</f>
        <v>18.9</v>
      </c>
      <c r="K9" s="42">
        <f t="shared" si="2"/>
        <v>18.9</v>
      </c>
      <c r="L9" s="322">
        <f>September!L9</f>
        <v>3</v>
      </c>
      <c r="M9" s="70"/>
      <c r="N9" s="42" t="str">
        <f>IFERROR(VLOOKUP(M9, Tarieven!$A$1:$J$150, 10, FALSE), "0")</f>
        <v>0</v>
      </c>
      <c r="O9" s="322">
        <f>September!O9</f>
        <v>1</v>
      </c>
      <c r="P9" s="332"/>
      <c r="Q9" s="325" t="str">
        <f>IFERROR(VLOOKUP(P9, Tarieven!$A$2:$J$150, 10, FALSE), "0")</f>
        <v>0</v>
      </c>
      <c r="R9" s="138">
        <f>September!R9</f>
        <v>3</v>
      </c>
      <c r="S9" s="85"/>
      <c r="T9" s="325" t="str">
        <f>IFERROR(VLOOKUP(S9, Tarieven!$A$2:$J$150, 10, FALSE), "0")</f>
        <v>0</v>
      </c>
      <c r="U9" s="77" t="str">
        <f>September!U9</f>
        <v/>
      </c>
      <c r="V9" s="85" t="str">
        <f>September!V9</f>
        <v/>
      </c>
      <c r="W9" s="325" t="str">
        <f>IFERROR(VLOOKUP(V9, Tarieven!$A$2:$J$150, 10, FALSE), "0")</f>
        <v>0</v>
      </c>
      <c r="X9" s="397">
        <f>Jaarbetalingen!AD9</f>
        <v>5</v>
      </c>
      <c r="Y9" s="398">
        <v>0.0</v>
      </c>
      <c r="Z9" s="329">
        <f t="shared" si="3"/>
        <v>12</v>
      </c>
      <c r="AA9" s="32">
        <f t="shared" si="4"/>
        <v>0</v>
      </c>
      <c r="AB9" s="32">
        <f t="shared" si="5"/>
        <v>0</v>
      </c>
      <c r="AC9" s="32">
        <f t="shared" si="6"/>
        <v>0</v>
      </c>
      <c r="AE9" s="159" t="s">
        <v>19</v>
      </c>
      <c r="AF9" s="413">
        <f>Z101</f>
        <v>390</v>
      </c>
      <c r="AG9" s="160"/>
    </row>
    <row r="10" ht="22.5" customHeight="1">
      <c r="A10" s="331" t="str">
        <f>Rooster!A11</f>
        <v>Maandag</v>
      </c>
      <c r="B10" s="396">
        <f>Rooster!B11</f>
        <v>0.8333333333</v>
      </c>
      <c r="C10" s="15">
        <f>Rooster!C11</f>
        <v>60</v>
      </c>
      <c r="D10" s="11" t="str">
        <f>Rooster!D11</f>
        <v>Commercial 20+</v>
      </c>
      <c r="E10" s="77"/>
      <c r="F10" s="327" t="str">
        <f>Rooster!E11</f>
        <v>Nova</v>
      </c>
      <c r="G10" s="319">
        <f>IFERROR(VLOOKUP(F10, Docenten!$A$2:$G$30, 7, FALSE), "0")</f>
        <v>22.5</v>
      </c>
      <c r="H10" s="320">
        <f t="shared" si="1"/>
        <v>22.5</v>
      </c>
      <c r="I10" s="327" t="str">
        <f>Rooster!H11</f>
        <v>Santpoort Zuid</v>
      </c>
      <c r="J10" s="321">
        <f>IFERROR(VLOOKUP(I10, Locaties!$A$2:$G$15, 7, FALSE), "0")</f>
        <v>18.9</v>
      </c>
      <c r="K10" s="42">
        <f t="shared" si="2"/>
        <v>18.9</v>
      </c>
      <c r="L10" s="322">
        <f>September!L10</f>
        <v>4</v>
      </c>
      <c r="M10" s="70"/>
      <c r="N10" s="42" t="str">
        <f>IFERROR(VLOOKUP(M10, Tarieven!$A$1:$J$150, 10, FALSE), "0")</f>
        <v>0</v>
      </c>
      <c r="O10" s="322">
        <f>September!O10</f>
        <v>3</v>
      </c>
      <c r="P10" s="372"/>
      <c r="Q10" s="325" t="str">
        <f>IFERROR(VLOOKUP(P10, Tarieven!$A$2:$J$150, 10, FALSE), "0")</f>
        <v>0</v>
      </c>
      <c r="R10" s="138">
        <f>September!R10</f>
        <v>1</v>
      </c>
      <c r="S10" s="85"/>
      <c r="T10" s="325" t="str">
        <f>IFERROR(VLOOKUP(S10, Tarieven!$A$2:$J$150, 10, FALSE), "0")</f>
        <v>0</v>
      </c>
      <c r="U10" s="77" t="str">
        <f>September!U10</f>
        <v/>
      </c>
      <c r="V10" s="85" t="str">
        <f>September!V10</f>
        <v/>
      </c>
      <c r="W10" s="325" t="str">
        <f>IFERROR(VLOOKUP(V10, Tarieven!$A$2:$J$150, 10, FALSE), "0")</f>
        <v>0</v>
      </c>
      <c r="X10" s="397">
        <f>Jaarbetalingen!AD10</f>
        <v>8</v>
      </c>
      <c r="Y10" s="398">
        <v>0.0</v>
      </c>
      <c r="Z10" s="329">
        <f t="shared" si="3"/>
        <v>16</v>
      </c>
      <c r="AA10" s="32">
        <f t="shared" si="4"/>
        <v>0</v>
      </c>
      <c r="AB10" s="32">
        <f t="shared" si="5"/>
        <v>0</v>
      </c>
      <c r="AC10" s="32">
        <f t="shared" si="6"/>
        <v>0</v>
      </c>
      <c r="AE10" s="330"/>
      <c r="AF10" s="330"/>
    </row>
    <row r="11" ht="22.5" customHeight="1">
      <c r="A11" s="331" t="str">
        <f>Rooster!A12</f>
        <v>Maandag</v>
      </c>
      <c r="B11" s="396">
        <f>Rooster!B12</f>
        <v>0.875</v>
      </c>
      <c r="C11" s="15">
        <f>Rooster!C12</f>
        <v>60</v>
      </c>
      <c r="D11" s="11" t="str">
        <f>Rooster!D12</f>
        <v>Jazz 20+</v>
      </c>
      <c r="E11" s="77"/>
      <c r="F11" s="327" t="str">
        <f>Rooster!E12</f>
        <v>Nova</v>
      </c>
      <c r="G11" s="319">
        <f>IFERROR(VLOOKUP(F11, Docenten!$A$2:$G$30, 7, FALSE), "0")</f>
        <v>22.5</v>
      </c>
      <c r="H11" s="320">
        <f t="shared" si="1"/>
        <v>22.5</v>
      </c>
      <c r="I11" s="327" t="str">
        <f>Rooster!H12</f>
        <v>Santpoort Zuid</v>
      </c>
      <c r="J11" s="321">
        <f>IFERROR(VLOOKUP(I11, Locaties!$A$2:$G$15, 7, FALSE), "0")</f>
        <v>18.9</v>
      </c>
      <c r="K11" s="42">
        <f t="shared" si="2"/>
        <v>18.9</v>
      </c>
      <c r="L11" s="322">
        <f>September!L11</f>
        <v>4</v>
      </c>
      <c r="M11" s="70"/>
      <c r="N11" s="42" t="str">
        <f>IFERROR(VLOOKUP(M11, Tarieven!$A$1:$J$150, 10, FALSE), "0")</f>
        <v>0</v>
      </c>
      <c r="O11" s="322" t="str">
        <f>September!O11</f>
        <v/>
      </c>
      <c r="P11" s="332"/>
      <c r="Q11" s="325" t="str">
        <f>IFERROR(VLOOKUP(P11, Tarieven!$A$2:$J$150, 10, FALSE), "0")</f>
        <v>0</v>
      </c>
      <c r="R11" s="138" t="str">
        <f>September!R11</f>
        <v/>
      </c>
      <c r="S11" s="85"/>
      <c r="T11" s="325" t="str">
        <f>IFERROR(VLOOKUP(S11, Tarieven!$A$2:$J$150, 10, FALSE), "0")</f>
        <v>0</v>
      </c>
      <c r="U11" s="77" t="str">
        <f>September!U11</f>
        <v/>
      </c>
      <c r="V11" s="85" t="str">
        <f>September!V11</f>
        <v/>
      </c>
      <c r="W11" s="325" t="str">
        <f>IFERROR(VLOOKUP(V11, Tarieven!$A$2:$J$150, 10, FALSE), "0")</f>
        <v>0</v>
      </c>
      <c r="X11" s="397">
        <f>Jaarbetalingen!AD11</f>
        <v>4</v>
      </c>
      <c r="Y11" s="398">
        <v>0.0</v>
      </c>
      <c r="Z11" s="329">
        <f t="shared" si="3"/>
        <v>8</v>
      </c>
      <c r="AA11" s="32">
        <f t="shared" si="4"/>
        <v>0</v>
      </c>
      <c r="AB11" s="32">
        <f t="shared" si="5"/>
        <v>0</v>
      </c>
      <c r="AC11" s="32">
        <f t="shared" si="6"/>
        <v>0</v>
      </c>
      <c r="AE11" s="330"/>
      <c r="AF11" s="330"/>
    </row>
    <row r="12" ht="22.5" customHeight="1">
      <c r="A12" s="331" t="str">
        <f>Rooster!A13</f>
        <v>Maandag</v>
      </c>
      <c r="B12" s="396">
        <f>Rooster!B13</f>
        <v>0.6666666667</v>
      </c>
      <c r="C12" s="15">
        <f>Rooster!C13</f>
        <v>60</v>
      </c>
      <c r="D12" s="11" t="str">
        <f>Rooster!D13</f>
        <v>Streetdance 6+</v>
      </c>
      <c r="E12" s="77"/>
      <c r="F12" s="327" t="str">
        <f>Rooster!E13</f>
        <v>Julia</v>
      </c>
      <c r="G12" s="319">
        <f>IFERROR(VLOOKUP(F12, Docenten!$A$2:$G$30, 7, FALSE), "0")</f>
        <v>15</v>
      </c>
      <c r="H12" s="320">
        <f t="shared" si="1"/>
        <v>15</v>
      </c>
      <c r="I12" s="327" t="str">
        <f>Rooster!H13</f>
        <v>Santpoort Noord</v>
      </c>
      <c r="J12" s="321">
        <f>IFERROR(VLOOKUP(I12, Locaties!$A$2:$G$15, 7, FALSE), "0")</f>
        <v>14.2</v>
      </c>
      <c r="K12" s="42">
        <f t="shared" si="2"/>
        <v>14.2</v>
      </c>
      <c r="L12" s="322">
        <f>September!L12</f>
        <v>3</v>
      </c>
      <c r="M12" s="70"/>
      <c r="N12" s="42" t="str">
        <f>IFERROR(VLOOKUP(M12, Tarieven!$A$1:$J$150, 10, FALSE), "0")</f>
        <v>0</v>
      </c>
      <c r="O12" s="322" t="str">
        <f>September!O12</f>
        <v/>
      </c>
      <c r="P12" s="372"/>
      <c r="Q12" s="325" t="str">
        <f>IFERROR(VLOOKUP(P12, Tarieven!$A$2:$J$150, 10, FALSE), "0")</f>
        <v>0</v>
      </c>
      <c r="R12" s="138" t="str">
        <f>September!R12</f>
        <v/>
      </c>
      <c r="S12" s="85"/>
      <c r="T12" s="325" t="str">
        <f>IFERROR(VLOOKUP(S12, Tarieven!$A$2:$J$150, 10, FALSE), "0")</f>
        <v>0</v>
      </c>
      <c r="U12" s="77" t="str">
        <f>September!U12</f>
        <v/>
      </c>
      <c r="V12" s="85" t="str">
        <f>September!V12</f>
        <v/>
      </c>
      <c r="W12" s="325" t="str">
        <f>IFERROR(VLOOKUP(V12, Tarieven!$A$2:$J$150, 10, FALSE), "0")</f>
        <v>0</v>
      </c>
      <c r="X12" s="397">
        <f>Jaarbetalingen!AD12</f>
        <v>2</v>
      </c>
      <c r="Y12" s="398">
        <v>0.0</v>
      </c>
      <c r="Z12" s="329">
        <f t="shared" si="3"/>
        <v>5</v>
      </c>
      <c r="AA12" s="32">
        <f t="shared" si="4"/>
        <v>0</v>
      </c>
      <c r="AB12" s="32">
        <f t="shared" si="5"/>
        <v>0</v>
      </c>
      <c r="AC12" s="32">
        <f t="shared" si="6"/>
        <v>0</v>
      </c>
      <c r="AE12" s="330"/>
      <c r="AF12" s="330"/>
    </row>
    <row r="13" ht="22.5" customHeight="1">
      <c r="A13" s="331" t="str">
        <f>Rooster!A14</f>
        <v>Maandag</v>
      </c>
      <c r="B13" s="396">
        <f>Rooster!B14</f>
        <v>0.7083333333</v>
      </c>
      <c r="C13" s="15">
        <f>Rooster!C14</f>
        <v>60</v>
      </c>
      <c r="D13" s="11" t="str">
        <f>Rooster!D14</f>
        <v>Streetdance 8+</v>
      </c>
      <c r="E13" s="77"/>
      <c r="F13" s="327" t="str">
        <f>Rooster!E14</f>
        <v>Julia</v>
      </c>
      <c r="G13" s="319">
        <f>IFERROR(VLOOKUP(F13, Docenten!$A$2:$G$30, 7, FALSE), "0")</f>
        <v>15</v>
      </c>
      <c r="H13" s="320">
        <f t="shared" si="1"/>
        <v>15</v>
      </c>
      <c r="I13" s="327" t="str">
        <f>Rooster!H14</f>
        <v>Santpoort Noord</v>
      </c>
      <c r="J13" s="321">
        <f>IFERROR(VLOOKUP(I13, Locaties!$A$2:$G$15, 7, FALSE), "0")</f>
        <v>14.2</v>
      </c>
      <c r="K13" s="42">
        <f t="shared" si="2"/>
        <v>14.2</v>
      </c>
      <c r="L13" s="322">
        <f>September!L13</f>
        <v>5</v>
      </c>
      <c r="M13" s="70"/>
      <c r="N13" s="42" t="str">
        <f>IFERROR(VLOOKUP(M13, Tarieven!$A$1:$J$150, 10, FALSE), "0")</f>
        <v>0</v>
      </c>
      <c r="O13" s="322">
        <f>September!O13</f>
        <v>1</v>
      </c>
      <c r="P13" s="332"/>
      <c r="Q13" s="325" t="str">
        <f>IFERROR(VLOOKUP(P13, Tarieven!$A$2:$J$150, 10, FALSE), "0")</f>
        <v>0</v>
      </c>
      <c r="R13" s="138" t="str">
        <f>September!R13</f>
        <v/>
      </c>
      <c r="S13" s="85"/>
      <c r="T13" s="325" t="str">
        <f>IFERROR(VLOOKUP(S13, Tarieven!$A$2:$J$150, 10, FALSE), "0")</f>
        <v>0</v>
      </c>
      <c r="U13" s="77" t="str">
        <f>September!U13</f>
        <v/>
      </c>
      <c r="V13" s="85" t="str">
        <f>September!V13</f>
        <v/>
      </c>
      <c r="W13" s="325" t="str">
        <f>IFERROR(VLOOKUP(V13, Tarieven!$A$2:$J$150, 10, FALSE), "0")</f>
        <v>0</v>
      </c>
      <c r="X13" s="397">
        <f>Jaarbetalingen!AD13</f>
        <v>13</v>
      </c>
      <c r="Y13" s="398">
        <v>0.0</v>
      </c>
      <c r="Z13" s="329">
        <f t="shared" si="3"/>
        <v>19</v>
      </c>
      <c r="AA13" s="32">
        <f t="shared" si="4"/>
        <v>0</v>
      </c>
      <c r="AB13" s="32">
        <f t="shared" si="5"/>
        <v>0</v>
      </c>
      <c r="AC13" s="32">
        <f t="shared" si="6"/>
        <v>0</v>
      </c>
      <c r="AE13" s="330"/>
      <c r="AF13" s="330"/>
    </row>
    <row r="14" ht="22.5" customHeight="1">
      <c r="A14" s="331" t="str">
        <f>Rooster!A15</f>
        <v>Dinsdag</v>
      </c>
      <c r="B14" s="396">
        <f>Rooster!B15</f>
        <v>0.6666666667</v>
      </c>
      <c r="C14" s="15">
        <f>Rooster!C15</f>
        <v>60</v>
      </c>
      <c r="D14" s="11" t="str">
        <f>Rooster!D15</f>
        <v>Modern 8+</v>
      </c>
      <c r="E14" s="77"/>
      <c r="F14" s="327" t="str">
        <f>Rooster!E15</f>
        <v>Eigenaar</v>
      </c>
      <c r="G14" s="319">
        <f>IFERROR(VLOOKUP(F14, Docenten!$A$2:$G$30, 7, FALSE), "0")</f>
        <v>0</v>
      </c>
      <c r="H14" s="320">
        <f t="shared" si="1"/>
        <v>0</v>
      </c>
      <c r="I14" s="327" t="str">
        <f>Rooster!H15</f>
        <v>Santpoort Zuid</v>
      </c>
      <c r="J14" s="321">
        <f>IFERROR(VLOOKUP(I14, Locaties!$A$2:$G$15, 7, FALSE), "0")</f>
        <v>18.9</v>
      </c>
      <c r="K14" s="42">
        <f t="shared" si="2"/>
        <v>18.9</v>
      </c>
      <c r="L14" s="322">
        <f>September!L14</f>
        <v>3</v>
      </c>
      <c r="M14" s="70"/>
      <c r="N14" s="42" t="str">
        <f>IFERROR(VLOOKUP(M14, Tarieven!$A$1:$J$150, 10, FALSE), "0")</f>
        <v>0</v>
      </c>
      <c r="O14" s="322">
        <f>September!O14</f>
        <v>4</v>
      </c>
      <c r="P14" s="372"/>
      <c r="Q14" s="325" t="str">
        <f>IFERROR(VLOOKUP(P14, Tarieven!$A$2:$J$150, 10, FALSE), "0")</f>
        <v>0</v>
      </c>
      <c r="R14" s="138">
        <f>September!R14</f>
        <v>1</v>
      </c>
      <c r="S14" s="85"/>
      <c r="T14" s="325" t="str">
        <f>IFERROR(VLOOKUP(S14, Tarieven!$A$2:$J$150, 10, FALSE), "0")</f>
        <v>0</v>
      </c>
      <c r="U14" s="77" t="str">
        <f>September!U14</f>
        <v/>
      </c>
      <c r="V14" s="85" t="str">
        <f>September!V14</f>
        <v/>
      </c>
      <c r="W14" s="325" t="str">
        <f>IFERROR(VLOOKUP(V14, Tarieven!$A$2:$J$150, 10, FALSE), "0")</f>
        <v>0</v>
      </c>
      <c r="X14" s="397">
        <f>Jaarbetalingen!AD14</f>
        <v>8</v>
      </c>
      <c r="Y14" s="398">
        <v>0.0</v>
      </c>
      <c r="Z14" s="329">
        <f t="shared" si="3"/>
        <v>16</v>
      </c>
      <c r="AA14" s="32">
        <f t="shared" si="4"/>
        <v>0</v>
      </c>
      <c r="AB14" s="32">
        <f t="shared" si="5"/>
        <v>0</v>
      </c>
      <c r="AC14" s="32">
        <f t="shared" si="6"/>
        <v>0</v>
      </c>
    </row>
    <row r="15" ht="22.5" customHeight="1">
      <c r="A15" s="331" t="str">
        <f>Rooster!A16</f>
        <v>Dinsdag</v>
      </c>
      <c r="B15" s="396">
        <f>Rooster!B16</f>
        <v>0.7083333333</v>
      </c>
      <c r="C15" s="15">
        <f>Rooster!C16</f>
        <v>60</v>
      </c>
      <c r="D15" s="11" t="str">
        <f>Rooster!D16</f>
        <v>Selectie show 8+</v>
      </c>
      <c r="E15" s="77"/>
      <c r="F15" s="327" t="str">
        <f>Rooster!E16</f>
        <v>Eigenaar</v>
      </c>
      <c r="G15" s="319">
        <f>IFERROR(VLOOKUP(F15, Docenten!$A$2:$G$30, 7, FALSE), "0")</f>
        <v>0</v>
      </c>
      <c r="H15" s="320">
        <f t="shared" si="1"/>
        <v>0</v>
      </c>
      <c r="I15" s="327" t="str">
        <f>Rooster!H16</f>
        <v>Santpoort Zuid</v>
      </c>
      <c r="J15" s="321">
        <f>IFERROR(VLOOKUP(I15, Locaties!$A$2:$G$15, 7, FALSE), "0")</f>
        <v>18.9</v>
      </c>
      <c r="K15" s="42">
        <f t="shared" si="2"/>
        <v>18.9</v>
      </c>
      <c r="L15" s="322">
        <f>September!L15</f>
        <v>2</v>
      </c>
      <c r="M15" s="70"/>
      <c r="N15" s="42" t="str">
        <f>IFERROR(VLOOKUP(M15, Tarieven!$A$1:$J$150, 10, FALSE), "0")</f>
        <v>0</v>
      </c>
      <c r="O15" s="322">
        <f>September!O15</f>
        <v>2</v>
      </c>
      <c r="P15" s="332"/>
      <c r="Q15" s="325" t="str">
        <f>IFERROR(VLOOKUP(P15, Tarieven!$A$2:$J$150, 10, FALSE), "0")</f>
        <v>0</v>
      </c>
      <c r="R15" s="138">
        <f>September!R15</f>
        <v>1</v>
      </c>
      <c r="S15" s="85"/>
      <c r="T15" s="325" t="str">
        <f>IFERROR(VLOOKUP(S15, Tarieven!$A$2:$J$150, 10, FALSE), "0")</f>
        <v>0</v>
      </c>
      <c r="U15" s="77" t="str">
        <f>September!U15</f>
        <v/>
      </c>
      <c r="V15" s="85" t="str">
        <f>September!V15</f>
        <v/>
      </c>
      <c r="W15" s="325" t="str">
        <f>IFERROR(VLOOKUP(V15, Tarieven!$A$2:$J$150, 10, FALSE), "0")</f>
        <v>0</v>
      </c>
      <c r="X15" s="397">
        <f>Jaarbetalingen!AD15</f>
        <v>7</v>
      </c>
      <c r="Y15" s="398">
        <v>0.0</v>
      </c>
      <c r="Z15" s="329">
        <f t="shared" si="3"/>
        <v>12</v>
      </c>
      <c r="AA15" s="32">
        <f t="shared" si="4"/>
        <v>0</v>
      </c>
      <c r="AB15" s="32">
        <f t="shared" si="5"/>
        <v>0</v>
      </c>
      <c r="AC15" s="32">
        <f t="shared" si="6"/>
        <v>0</v>
      </c>
    </row>
    <row r="16" ht="22.5" customHeight="1">
      <c r="A16" s="331" t="str">
        <f>Rooster!A17</f>
        <v>Dinsdag</v>
      </c>
      <c r="B16" s="396">
        <f>Rooster!B17</f>
        <v>0.75</v>
      </c>
      <c r="C16" s="15">
        <f>Rooster!C17</f>
        <v>90</v>
      </c>
      <c r="D16" s="11" t="str">
        <f>Rooster!D17</f>
        <v>Selectie Cheer</v>
      </c>
      <c r="E16" s="77"/>
      <c r="F16" s="327" t="str">
        <f>Rooster!E17</f>
        <v>Eigenaar</v>
      </c>
      <c r="G16" s="319">
        <f>IFERROR(VLOOKUP(F16, Docenten!$A$2:$G$30, 7, FALSE), "0")</f>
        <v>0</v>
      </c>
      <c r="H16" s="320">
        <f t="shared" si="1"/>
        <v>0</v>
      </c>
      <c r="I16" s="327" t="str">
        <f>Rooster!H17</f>
        <v>Santpoort Zuid</v>
      </c>
      <c r="J16" s="321">
        <f>IFERROR(VLOOKUP(I16, Locaties!$A$2:$G$15, 7, FALSE), "0")</f>
        <v>18.9</v>
      </c>
      <c r="K16" s="42">
        <f t="shared" si="2"/>
        <v>28.35</v>
      </c>
      <c r="L16" s="322">
        <f>September!L16</f>
        <v>2</v>
      </c>
      <c r="M16" s="70"/>
      <c r="N16" s="42" t="str">
        <f>IFERROR(VLOOKUP(M16, Tarieven!$A$1:$J$150, 10, FALSE), "0")</f>
        <v>0</v>
      </c>
      <c r="O16" s="322">
        <f>September!O16</f>
        <v>1</v>
      </c>
      <c r="P16" s="372"/>
      <c r="Q16" s="325" t="str">
        <f>IFERROR(VLOOKUP(P16, Tarieven!$A$2:$J$150, 10, FALSE), "0")</f>
        <v>0</v>
      </c>
      <c r="R16" s="138" t="str">
        <f>September!R16</f>
        <v/>
      </c>
      <c r="S16" s="85"/>
      <c r="T16" s="325" t="str">
        <f>IFERROR(VLOOKUP(S16, Tarieven!$A$2:$J$150, 10, FALSE), "0")</f>
        <v>0</v>
      </c>
      <c r="U16" s="77" t="str">
        <f>September!U16</f>
        <v/>
      </c>
      <c r="V16" s="85" t="str">
        <f>September!V16</f>
        <v/>
      </c>
      <c r="W16" s="325" t="str">
        <f>IFERROR(VLOOKUP(V16, Tarieven!$A$2:$J$150, 10, FALSE), "0")</f>
        <v>0</v>
      </c>
      <c r="X16" s="397">
        <f>Jaarbetalingen!AD16</f>
        <v>8</v>
      </c>
      <c r="Y16" s="398">
        <v>0.0</v>
      </c>
      <c r="Z16" s="329">
        <f t="shared" si="3"/>
        <v>11</v>
      </c>
      <c r="AA16" s="32">
        <f t="shared" si="4"/>
        <v>0</v>
      </c>
      <c r="AB16" s="32">
        <f t="shared" si="5"/>
        <v>0</v>
      </c>
      <c r="AC16" s="32">
        <f t="shared" si="6"/>
        <v>0</v>
      </c>
    </row>
    <row r="17" ht="22.5" customHeight="1">
      <c r="A17" s="331" t="str">
        <f>Rooster!A18</f>
        <v>Dinsdag</v>
      </c>
      <c r="B17" s="396">
        <f>Rooster!B18</f>
        <v>0.8125</v>
      </c>
      <c r="C17" s="15">
        <f>Rooster!C18</f>
        <v>60</v>
      </c>
      <c r="D17" s="11" t="str">
        <f>Rooster!D18</f>
        <v>Hiphop 15+</v>
      </c>
      <c r="E17" s="77"/>
      <c r="F17" s="327" t="str">
        <f>Rooster!E18</f>
        <v>Eigenaar</v>
      </c>
      <c r="G17" s="319">
        <f>IFERROR(VLOOKUP(F17, Docenten!$A$2:$G$30, 7, FALSE), "0")</f>
        <v>0</v>
      </c>
      <c r="H17" s="320">
        <f t="shared" si="1"/>
        <v>0</v>
      </c>
      <c r="I17" s="327" t="str">
        <f>Rooster!H18</f>
        <v>Santpoort Zuid</v>
      </c>
      <c r="J17" s="321">
        <f>IFERROR(VLOOKUP(I17, Locaties!$A$2:$G$15, 7, FALSE), "0")</f>
        <v>18.9</v>
      </c>
      <c r="K17" s="42">
        <f t="shared" si="2"/>
        <v>18.9</v>
      </c>
      <c r="L17" s="322">
        <f>September!L17</f>
        <v>1</v>
      </c>
      <c r="M17" s="70"/>
      <c r="N17" s="42" t="str">
        <f>IFERROR(VLOOKUP(M17, Tarieven!$A$1:$J$150, 10, FALSE), "0")</f>
        <v>0</v>
      </c>
      <c r="O17" s="322">
        <f>September!O17</f>
        <v>3</v>
      </c>
      <c r="P17" s="324"/>
      <c r="Q17" s="325" t="str">
        <f>IFERROR(VLOOKUP(P17, Tarieven!$A$2:$J$150, 10, FALSE), "0")</f>
        <v>0</v>
      </c>
      <c r="R17" s="138">
        <f>September!R17</f>
        <v>1</v>
      </c>
      <c r="S17" s="85"/>
      <c r="T17" s="325" t="str">
        <f>IFERROR(VLOOKUP(S17, Tarieven!$A$2:$J$150, 10, FALSE), "0")</f>
        <v>0</v>
      </c>
      <c r="U17" s="77" t="str">
        <f>September!U17</f>
        <v/>
      </c>
      <c r="V17" s="85" t="str">
        <f>September!V17</f>
        <v/>
      </c>
      <c r="W17" s="325" t="str">
        <f>IFERROR(VLOOKUP(V17, Tarieven!$A$2:$J$150, 10, FALSE), "0")</f>
        <v>0</v>
      </c>
      <c r="X17" s="397">
        <f>Jaarbetalingen!AD17</f>
        <v>9</v>
      </c>
      <c r="Y17" s="398">
        <v>0.0</v>
      </c>
      <c r="Z17" s="329">
        <f t="shared" si="3"/>
        <v>14</v>
      </c>
      <c r="AA17" s="32">
        <f t="shared" si="4"/>
        <v>0</v>
      </c>
      <c r="AB17" s="32">
        <f t="shared" si="5"/>
        <v>0</v>
      </c>
      <c r="AC17" s="32">
        <f t="shared" si="6"/>
        <v>0</v>
      </c>
    </row>
    <row r="18" ht="22.5" customHeight="1">
      <c r="A18" s="331" t="str">
        <f>Rooster!A19</f>
        <v>Woensdag</v>
      </c>
      <c r="B18" s="396">
        <f>Rooster!B19</f>
        <v>0.6041666667</v>
      </c>
      <c r="C18" s="15">
        <f>Rooster!C19</f>
        <v>60</v>
      </c>
      <c r="D18" s="11" t="str">
        <f>Rooster!D19</f>
        <v>Streetdance 6+</v>
      </c>
      <c r="E18" s="77"/>
      <c r="F18" s="327" t="str">
        <f>Rooster!E19</f>
        <v>Julia</v>
      </c>
      <c r="G18" s="319">
        <f>IFERROR(VLOOKUP(F18, Docenten!$A$2:$G$30, 7, FALSE), "0")</f>
        <v>15</v>
      </c>
      <c r="H18" s="320">
        <f t="shared" si="1"/>
        <v>15</v>
      </c>
      <c r="I18" s="327" t="str">
        <f>Rooster!H19</f>
        <v>Santpoort Noord</v>
      </c>
      <c r="J18" s="321">
        <f>IFERROR(VLOOKUP(I18, Locaties!$A$2:$G$15, 7, FALSE), "0")</f>
        <v>14.2</v>
      </c>
      <c r="K18" s="42">
        <f t="shared" si="2"/>
        <v>14.2</v>
      </c>
      <c r="L18" s="322">
        <f>September!L18</f>
        <v>4</v>
      </c>
      <c r="M18" s="70"/>
      <c r="N18" s="42" t="str">
        <f>IFERROR(VLOOKUP(M18, Tarieven!$A$1:$J$150, 10, FALSE), "0")</f>
        <v>0</v>
      </c>
      <c r="O18" s="322">
        <f>September!O18</f>
        <v>1</v>
      </c>
      <c r="P18" s="372"/>
      <c r="Q18" s="325" t="str">
        <f>IFERROR(VLOOKUP(P18, Tarieven!$A$2:$J$150, 10, FALSE), "0")</f>
        <v>0</v>
      </c>
      <c r="R18" s="138">
        <f>September!R18</f>
        <v>1</v>
      </c>
      <c r="S18" s="85"/>
      <c r="T18" s="325" t="str">
        <f>IFERROR(VLOOKUP(S18, Tarieven!$A$2:$J$150, 10, FALSE), "0")</f>
        <v>0</v>
      </c>
      <c r="U18" s="77" t="str">
        <f>September!U18</f>
        <v/>
      </c>
      <c r="V18" s="85" t="str">
        <f>September!V18</f>
        <v/>
      </c>
      <c r="W18" s="325" t="str">
        <f>IFERROR(VLOOKUP(V18, Tarieven!$A$2:$J$150, 10, FALSE), "0")</f>
        <v>0</v>
      </c>
      <c r="X18" s="397">
        <f>Jaarbetalingen!AD18</f>
        <v>9</v>
      </c>
      <c r="Y18" s="398">
        <v>0.0</v>
      </c>
      <c r="Z18" s="329">
        <f t="shared" si="3"/>
        <v>15</v>
      </c>
      <c r="AA18" s="32">
        <f t="shared" si="4"/>
        <v>0</v>
      </c>
      <c r="AB18" s="32">
        <f t="shared" si="5"/>
        <v>0</v>
      </c>
      <c r="AC18" s="32">
        <f t="shared" si="6"/>
        <v>0</v>
      </c>
    </row>
    <row r="19" ht="22.5" customHeight="1">
      <c r="A19" s="331" t="str">
        <f>Rooster!A20</f>
        <v>Woensdag</v>
      </c>
      <c r="B19" s="396">
        <f>Rooster!B20</f>
        <v>0.6458333333</v>
      </c>
      <c r="C19" s="15">
        <f>Rooster!C20</f>
        <v>60</v>
      </c>
      <c r="D19" s="11" t="str">
        <f>Rooster!D20</f>
        <v>Streetdance 8+</v>
      </c>
      <c r="E19" s="77"/>
      <c r="F19" s="327" t="str">
        <f>Rooster!E20</f>
        <v>Julia</v>
      </c>
      <c r="G19" s="319">
        <f>IFERROR(VLOOKUP(F19, Docenten!$A$2:$G$30, 7, FALSE), "0")</f>
        <v>15</v>
      </c>
      <c r="H19" s="320">
        <f t="shared" si="1"/>
        <v>15</v>
      </c>
      <c r="I19" s="327" t="str">
        <f>Rooster!H20</f>
        <v>Santpoort Noord</v>
      </c>
      <c r="J19" s="321">
        <f>IFERROR(VLOOKUP(I19, Locaties!$A$2:$G$15, 7, FALSE), "0")</f>
        <v>14.2</v>
      </c>
      <c r="K19" s="42">
        <f t="shared" si="2"/>
        <v>14.2</v>
      </c>
      <c r="L19" s="322">
        <f>September!L19</f>
        <v>3</v>
      </c>
      <c r="M19" s="70"/>
      <c r="N19" s="42" t="str">
        <f>IFERROR(VLOOKUP(M19, Tarieven!$A$1:$J$150, 10, FALSE), "0")</f>
        <v>0</v>
      </c>
      <c r="O19" s="322">
        <f>September!O19</f>
        <v>1</v>
      </c>
      <c r="P19" s="332"/>
      <c r="Q19" s="325" t="str">
        <f>IFERROR(VLOOKUP(P19, Tarieven!$A$2:$J$150, 10, FALSE), "0")</f>
        <v>0</v>
      </c>
      <c r="R19" s="138">
        <f>September!R19</f>
        <v>1</v>
      </c>
      <c r="S19" s="85"/>
      <c r="T19" s="325" t="str">
        <f>IFERROR(VLOOKUP(S19, Tarieven!$A$2:$J$150, 10, FALSE), "0")</f>
        <v>0</v>
      </c>
      <c r="U19" s="77" t="str">
        <f>September!U19</f>
        <v/>
      </c>
      <c r="V19" s="85" t="str">
        <f>September!V19</f>
        <v/>
      </c>
      <c r="W19" s="325" t="str">
        <f>IFERROR(VLOOKUP(V19, Tarieven!$A$2:$J$150, 10, FALSE), "0")</f>
        <v>0</v>
      </c>
      <c r="X19" s="397">
        <f>Jaarbetalingen!AD19</f>
        <v>11</v>
      </c>
      <c r="Y19" s="398">
        <v>0.0</v>
      </c>
      <c r="Z19" s="329">
        <f t="shared" si="3"/>
        <v>16</v>
      </c>
      <c r="AA19" s="32">
        <f t="shared" si="4"/>
        <v>0</v>
      </c>
      <c r="AB19" s="32">
        <f t="shared" si="5"/>
        <v>0</v>
      </c>
      <c r="AC19" s="32">
        <f t="shared" si="6"/>
        <v>0</v>
      </c>
    </row>
    <row r="20" ht="22.5" customHeight="1">
      <c r="A20" s="331" t="str">
        <f>Rooster!A21</f>
        <v>Woensdag</v>
      </c>
      <c r="B20" s="396">
        <f>Rooster!B21</f>
        <v>0.6875</v>
      </c>
      <c r="C20" s="15">
        <f>Rooster!C21</f>
        <v>60</v>
      </c>
      <c r="D20" s="11" t="str">
        <f>Rooster!D21</f>
        <v>Modern 11+</v>
      </c>
      <c r="E20" s="77"/>
      <c r="F20" s="327" t="str">
        <f>Rooster!E21</f>
        <v>Julia</v>
      </c>
      <c r="G20" s="319">
        <f>IFERROR(VLOOKUP(F20, Docenten!$A$2:$G$30, 7, FALSE), "0")</f>
        <v>15</v>
      </c>
      <c r="H20" s="320">
        <f t="shared" si="1"/>
        <v>15</v>
      </c>
      <c r="I20" s="327" t="str">
        <f>Rooster!H21</f>
        <v>Santpoort Noord</v>
      </c>
      <c r="J20" s="321">
        <f>IFERROR(VLOOKUP(I20, Locaties!$A$2:$G$15, 7, FALSE), "0")</f>
        <v>14.2</v>
      </c>
      <c r="K20" s="42">
        <f t="shared" si="2"/>
        <v>14.2</v>
      </c>
      <c r="L20" s="322">
        <f>September!L20</f>
        <v>1</v>
      </c>
      <c r="M20" s="70"/>
      <c r="N20" s="42" t="str">
        <f>IFERROR(VLOOKUP(M20, Tarieven!$A$1:$J$150, 10, FALSE), "0")</f>
        <v>0</v>
      </c>
      <c r="O20" s="322">
        <f>September!O20</f>
        <v>3</v>
      </c>
      <c r="P20" s="363"/>
      <c r="Q20" s="325" t="str">
        <f>IFERROR(VLOOKUP(P20, Tarieven!$A$2:$J$150, 10, FALSE), "0")</f>
        <v>0</v>
      </c>
      <c r="R20" s="138">
        <f>September!R20</f>
        <v>1</v>
      </c>
      <c r="S20" s="85"/>
      <c r="T20" s="325" t="str">
        <f>IFERROR(VLOOKUP(S20, Tarieven!$A$2:$J$150, 10, FALSE), "0")</f>
        <v>0</v>
      </c>
      <c r="U20" s="77" t="str">
        <f>September!U20</f>
        <v/>
      </c>
      <c r="V20" s="85" t="str">
        <f>September!V20</f>
        <v/>
      </c>
      <c r="W20" s="325" t="str">
        <f>IFERROR(VLOOKUP(V20, Tarieven!$A$2:$J$150, 10, FALSE), "0")</f>
        <v>0</v>
      </c>
      <c r="X20" s="397">
        <f>Jaarbetalingen!AD20</f>
        <v>9</v>
      </c>
      <c r="Y20" s="398">
        <v>0.0</v>
      </c>
      <c r="Z20" s="329">
        <f t="shared" si="3"/>
        <v>14</v>
      </c>
      <c r="AA20" s="32">
        <f t="shared" si="4"/>
        <v>0</v>
      </c>
      <c r="AB20" s="32">
        <f t="shared" si="5"/>
        <v>0</v>
      </c>
      <c r="AC20" s="32">
        <f t="shared" si="6"/>
        <v>0</v>
      </c>
    </row>
    <row r="21" ht="22.5" customHeight="1">
      <c r="A21" s="331" t="str">
        <f>Rooster!A22</f>
        <v>Woensdag</v>
      </c>
      <c r="B21" s="396">
        <f>Rooster!B22</f>
        <v>0.7291666667</v>
      </c>
      <c r="C21" s="15">
        <f>Rooster!C22</f>
        <v>60</v>
      </c>
      <c r="D21" s="11" t="str">
        <f>Rooster!D22</f>
        <v>Selectie Hiphop 11+</v>
      </c>
      <c r="E21" s="77"/>
      <c r="F21" s="327" t="str">
        <f>Rooster!E22</f>
        <v>Eigenaar</v>
      </c>
      <c r="G21" s="319">
        <f>IFERROR(VLOOKUP(F21, Docenten!$A$2:$G$30, 7, FALSE), "0")</f>
        <v>0</v>
      </c>
      <c r="H21" s="320">
        <f t="shared" si="1"/>
        <v>0</v>
      </c>
      <c r="I21" s="327" t="str">
        <f>Rooster!H22</f>
        <v>Santpoort Noord</v>
      </c>
      <c r="J21" s="321">
        <f>IFERROR(VLOOKUP(I21, Locaties!$A$2:$G$15, 7, FALSE), "0")</f>
        <v>14.2</v>
      </c>
      <c r="K21" s="42">
        <f t="shared" si="2"/>
        <v>14.2</v>
      </c>
      <c r="L21" s="322">
        <f>September!L21</f>
        <v>1</v>
      </c>
      <c r="M21" s="70"/>
      <c r="N21" s="42" t="str">
        <f>IFERROR(VLOOKUP(M21, Tarieven!$A$1:$J$150, 10, FALSE), "0")</f>
        <v>0</v>
      </c>
      <c r="O21" s="322" t="str">
        <f>September!O21</f>
        <v/>
      </c>
      <c r="P21" s="332"/>
      <c r="Q21" s="325" t="str">
        <f>IFERROR(VLOOKUP(P21, Tarieven!$A$2:$J$150, 10, FALSE), "0")</f>
        <v>0</v>
      </c>
      <c r="R21" s="138" t="str">
        <f>September!R21</f>
        <v/>
      </c>
      <c r="S21" s="85"/>
      <c r="T21" s="325" t="str">
        <f>IFERROR(VLOOKUP(S21, Tarieven!$A$2:$J$150, 10, FALSE), "0")</f>
        <v>0</v>
      </c>
      <c r="U21" s="77" t="str">
        <f>September!U21</f>
        <v/>
      </c>
      <c r="V21" s="85" t="str">
        <f>September!V21</f>
        <v/>
      </c>
      <c r="W21" s="325" t="str">
        <f>IFERROR(VLOOKUP(V21, Tarieven!$A$2:$J$150, 10, FALSE), "0")</f>
        <v>0</v>
      </c>
      <c r="X21" s="397">
        <f>Jaarbetalingen!AD21</f>
        <v>11</v>
      </c>
      <c r="Y21" s="398">
        <v>0.0</v>
      </c>
      <c r="Z21" s="329">
        <f t="shared" si="3"/>
        <v>12</v>
      </c>
      <c r="AA21" s="32">
        <f t="shared" si="4"/>
        <v>0</v>
      </c>
      <c r="AB21" s="32">
        <f t="shared" si="5"/>
        <v>0</v>
      </c>
      <c r="AC21" s="32">
        <f t="shared" si="6"/>
        <v>0</v>
      </c>
    </row>
    <row r="22" ht="22.5" customHeight="1">
      <c r="A22" s="331" t="str">
        <f>Rooster!A23</f>
        <v>Woensdag</v>
      </c>
      <c r="B22" s="396">
        <f>Rooster!B23</f>
        <v>0.7708333333</v>
      </c>
      <c r="C22" s="15">
        <f>Rooster!C23</f>
        <v>60</v>
      </c>
      <c r="D22" s="11" t="str">
        <f>Rooster!D23</f>
        <v>Show 12+</v>
      </c>
      <c r="E22" s="77"/>
      <c r="F22" s="327" t="str">
        <f>Rooster!E23</f>
        <v>Eigenaar</v>
      </c>
      <c r="G22" s="319">
        <f>IFERROR(VLOOKUP(F22, Docenten!$A$2:$G$30, 7, FALSE), "0")</f>
        <v>0</v>
      </c>
      <c r="H22" s="320">
        <f t="shared" si="1"/>
        <v>0</v>
      </c>
      <c r="I22" s="327" t="str">
        <f>Rooster!H23</f>
        <v>Santpoort Noord</v>
      </c>
      <c r="J22" s="321">
        <f>IFERROR(VLOOKUP(I22, Locaties!$A$2:$G$15, 7, FALSE), "0")</f>
        <v>14.2</v>
      </c>
      <c r="K22" s="42">
        <f t="shared" si="2"/>
        <v>14.2</v>
      </c>
      <c r="L22" s="322">
        <f>September!L22</f>
        <v>1</v>
      </c>
      <c r="M22" s="70"/>
      <c r="N22" s="42" t="str">
        <f>IFERROR(VLOOKUP(M22, Tarieven!$A$1:$J$150, 10, FALSE), "0")</f>
        <v>0</v>
      </c>
      <c r="O22" s="322">
        <f>September!O22</f>
        <v>4</v>
      </c>
      <c r="P22" s="363"/>
      <c r="Q22" s="325" t="str">
        <f>IFERROR(VLOOKUP(P22, Tarieven!$A$2:$J$150, 10, FALSE), "0")</f>
        <v>0</v>
      </c>
      <c r="R22" s="138">
        <f>September!R22</f>
        <v>1</v>
      </c>
      <c r="S22" s="70"/>
      <c r="T22" s="325" t="str">
        <f>IFERROR(VLOOKUP(S22, Tarieven!$A$2:$J$150, 10, FALSE), "0")</f>
        <v>0</v>
      </c>
      <c r="U22" s="77" t="str">
        <f>September!U22</f>
        <v/>
      </c>
      <c r="V22" s="327" t="str">
        <f>September!V22</f>
        <v/>
      </c>
      <c r="W22" s="325" t="str">
        <f>IFERROR(VLOOKUP(V22, Tarieven!$A$2:$J$150, 10, FALSE), "0")</f>
        <v>0</v>
      </c>
      <c r="X22" s="397">
        <f>Jaarbetalingen!AD22</f>
        <v>9</v>
      </c>
      <c r="Y22" s="398">
        <v>0.0</v>
      </c>
      <c r="Z22" s="329">
        <f t="shared" si="3"/>
        <v>15</v>
      </c>
      <c r="AA22" s="32">
        <f t="shared" si="4"/>
        <v>0</v>
      </c>
      <c r="AB22" s="32">
        <f t="shared" si="5"/>
        <v>0</v>
      </c>
      <c r="AC22" s="32">
        <f t="shared" si="6"/>
        <v>0</v>
      </c>
    </row>
    <row r="23" ht="22.5" customHeight="1">
      <c r="A23" s="331" t="str">
        <f>Rooster!A24</f>
        <v/>
      </c>
      <c r="B23" s="396" t="str">
        <f>Rooster!B24</f>
        <v/>
      </c>
      <c r="C23" s="15" t="str">
        <f>Rooster!C24</f>
        <v/>
      </c>
      <c r="D23" s="11" t="str">
        <f>Rooster!D24</f>
        <v/>
      </c>
      <c r="E23" s="77"/>
      <c r="F23" s="327" t="str">
        <f>Rooster!E24</f>
        <v/>
      </c>
      <c r="G23" s="319" t="str">
        <f>IFERROR(VLOOKUP(F23, Docenten!$A$2:$G$30, 7, FALSE), "0")</f>
        <v>0</v>
      </c>
      <c r="H23" s="320">
        <f t="shared" si="1"/>
        <v>0</v>
      </c>
      <c r="I23" s="327" t="str">
        <f>Rooster!H24</f>
        <v/>
      </c>
      <c r="J23" s="321" t="str">
        <f>IFERROR(VLOOKUP(I23, Locaties!$A$2:$G$15, 7, FALSE), "0")</f>
        <v>0</v>
      </c>
      <c r="K23" s="42">
        <f t="shared" si="2"/>
        <v>0</v>
      </c>
      <c r="L23" s="322" t="str">
        <f>September!L23</f>
        <v/>
      </c>
      <c r="M23" s="70"/>
      <c r="N23" s="42" t="str">
        <f>IFERROR(VLOOKUP(M23, Tarieven!$A$1:$J$150, 10, FALSE), "0")</f>
        <v>0</v>
      </c>
      <c r="O23" s="322" t="str">
        <f>September!O23</f>
        <v/>
      </c>
      <c r="P23" s="324"/>
      <c r="Q23" s="325" t="str">
        <f>IFERROR(VLOOKUP(P23, Tarieven!$A$2:$J$150, 10, FALSE), "0")</f>
        <v>0</v>
      </c>
      <c r="R23" s="138" t="str">
        <f>September!R23</f>
        <v/>
      </c>
      <c r="S23" s="85"/>
      <c r="T23" s="325" t="str">
        <f>IFERROR(VLOOKUP(S23, Tarieven!$A$2:$J$150, 10, FALSE), "0")</f>
        <v>0</v>
      </c>
      <c r="U23" s="77" t="str">
        <f>September!U23</f>
        <v/>
      </c>
      <c r="V23" s="85" t="str">
        <f>September!V23</f>
        <v/>
      </c>
      <c r="W23" s="325" t="str">
        <f>IFERROR(VLOOKUP(V23, Tarieven!$A$2:$J$150, 10, FALSE), "0")</f>
        <v>0</v>
      </c>
      <c r="X23" s="397">
        <f>Jaarbetalingen!AD23</f>
        <v>0</v>
      </c>
      <c r="Y23" s="398">
        <v>0.0</v>
      </c>
      <c r="Z23" s="329">
        <f t="shared" si="3"/>
        <v>0</v>
      </c>
      <c r="AA23" s="32">
        <f t="shared" si="4"/>
        <v>0</v>
      </c>
      <c r="AB23" s="32">
        <f t="shared" si="5"/>
        <v>0</v>
      </c>
      <c r="AC23" s="32">
        <f t="shared" si="6"/>
        <v>0</v>
      </c>
    </row>
    <row r="24" ht="22.5" customHeight="1">
      <c r="A24" s="331" t="str">
        <f>Rooster!A25</f>
        <v>Donderdag</v>
      </c>
      <c r="B24" s="396">
        <f>Rooster!B25</f>
        <v>0.6458333333</v>
      </c>
      <c r="C24" s="15">
        <f>Rooster!C25</f>
        <v>60</v>
      </c>
      <c r="D24" s="11" t="str">
        <f>Rooster!D25</f>
        <v>Showdance 6+</v>
      </c>
      <c r="E24" s="77"/>
      <c r="F24" s="327" t="str">
        <f>Rooster!E25</f>
        <v>Eigenaar</v>
      </c>
      <c r="G24" s="319">
        <f>IFERROR(VLOOKUP(F24, Docenten!$A$2:$G$30, 7, FALSE), "0")</f>
        <v>0</v>
      </c>
      <c r="H24" s="320">
        <f t="shared" si="1"/>
        <v>0</v>
      </c>
      <c r="I24" s="327" t="str">
        <f>Rooster!H25</f>
        <v>Santpoort Zuid</v>
      </c>
      <c r="J24" s="321">
        <f>IFERROR(VLOOKUP(I24, Locaties!$A$2:$G$15, 7, FALSE), "0")</f>
        <v>18.9</v>
      </c>
      <c r="K24" s="42">
        <f t="shared" si="2"/>
        <v>18.9</v>
      </c>
      <c r="L24" s="322">
        <f>September!L24</f>
        <v>3</v>
      </c>
      <c r="M24" s="70"/>
      <c r="N24" s="42" t="str">
        <f>IFERROR(VLOOKUP(M24, Tarieven!$A$1:$J$150, 10, FALSE), "0")</f>
        <v>0</v>
      </c>
      <c r="O24" s="322">
        <f>September!O24</f>
        <v>3</v>
      </c>
      <c r="P24" s="414"/>
      <c r="Q24" s="325" t="str">
        <f>IFERROR(VLOOKUP(P24, Tarieven!$A$2:$J$150, 10, FALSE), "0")</f>
        <v>0</v>
      </c>
      <c r="R24" s="138" t="str">
        <f>September!R24</f>
        <v/>
      </c>
      <c r="S24" s="85"/>
      <c r="T24" s="325" t="str">
        <f>IFERROR(VLOOKUP(S24, Tarieven!$A$2:$J$150, 10, FALSE), "0")</f>
        <v>0</v>
      </c>
      <c r="U24" s="77" t="str">
        <f>September!U24</f>
        <v/>
      </c>
      <c r="V24" s="85" t="str">
        <f>September!V24</f>
        <v/>
      </c>
      <c r="W24" s="325" t="str">
        <f>IFERROR(VLOOKUP(V24, Tarieven!$A$2:$J$150, 10, FALSE), "0")</f>
        <v>0</v>
      </c>
      <c r="X24" s="397">
        <f>Jaarbetalingen!AD24</f>
        <v>4</v>
      </c>
      <c r="Y24" s="398">
        <v>0.0</v>
      </c>
      <c r="Z24" s="329">
        <f t="shared" si="3"/>
        <v>10</v>
      </c>
      <c r="AA24" s="32">
        <f t="shared" si="4"/>
        <v>0</v>
      </c>
      <c r="AB24" s="32">
        <f t="shared" si="5"/>
        <v>0</v>
      </c>
      <c r="AC24" s="32">
        <f t="shared" si="6"/>
        <v>0</v>
      </c>
    </row>
    <row r="25" ht="22.5" customHeight="1">
      <c r="A25" s="331" t="str">
        <f>Rooster!A26</f>
        <v>Donderdag</v>
      </c>
      <c r="B25" s="396">
        <f>Rooster!B26</f>
        <v>0.6875</v>
      </c>
      <c r="C25" s="15">
        <f>Rooster!C26</f>
        <v>60</v>
      </c>
      <c r="D25" s="11" t="str">
        <f>Rooster!D26</f>
        <v>Showdance 8+</v>
      </c>
      <c r="E25" s="77"/>
      <c r="F25" s="327" t="str">
        <f>Rooster!E26</f>
        <v>Eigenaar</v>
      </c>
      <c r="G25" s="319">
        <f>IFERROR(VLOOKUP(F25, Docenten!$A$2:$G$30, 7, FALSE), "0")</f>
        <v>0</v>
      </c>
      <c r="H25" s="320">
        <f t="shared" si="1"/>
        <v>0</v>
      </c>
      <c r="I25" s="327" t="str">
        <f>Rooster!H26</f>
        <v>Santpoort Zuid</v>
      </c>
      <c r="J25" s="321">
        <f>IFERROR(VLOOKUP(I25, Locaties!$A$2:$G$15, 7, FALSE), "0")</f>
        <v>18.9</v>
      </c>
      <c r="K25" s="42">
        <f t="shared" si="2"/>
        <v>18.9</v>
      </c>
      <c r="L25" s="322">
        <f>September!L25</f>
        <v>3</v>
      </c>
      <c r="M25" s="70"/>
      <c r="N25" s="42" t="str">
        <f>IFERROR(VLOOKUP(M25, Tarieven!$A$1:$J$150, 10, FALSE), "0")</f>
        <v>0</v>
      </c>
      <c r="O25" s="322">
        <f>September!O25</f>
        <v>2</v>
      </c>
      <c r="P25" s="334"/>
      <c r="Q25" s="325" t="str">
        <f>IFERROR(VLOOKUP(P25, Tarieven!$A$2:$J$150, 10, FALSE), "0")</f>
        <v>0</v>
      </c>
      <c r="R25" s="138">
        <f>September!R25</f>
        <v>1</v>
      </c>
      <c r="S25" s="85"/>
      <c r="T25" s="325" t="str">
        <f>IFERROR(VLOOKUP(S25, Tarieven!$A$2:$J$150, 10, FALSE), "0")</f>
        <v>0</v>
      </c>
      <c r="U25" s="77" t="str">
        <f>September!U25</f>
        <v/>
      </c>
      <c r="V25" s="85" t="str">
        <f>September!V25</f>
        <v/>
      </c>
      <c r="W25" s="325" t="str">
        <f>IFERROR(VLOOKUP(V25, Tarieven!$A$2:$J$150, 10, FALSE), "0")</f>
        <v>0</v>
      </c>
      <c r="X25" s="397">
        <f>Jaarbetalingen!AD25</f>
        <v>4</v>
      </c>
      <c r="Y25" s="398">
        <v>0.0</v>
      </c>
      <c r="Z25" s="329">
        <f t="shared" si="3"/>
        <v>10</v>
      </c>
      <c r="AA25" s="32">
        <f t="shared" si="4"/>
        <v>0</v>
      </c>
      <c r="AB25" s="32">
        <f t="shared" si="5"/>
        <v>0</v>
      </c>
      <c r="AC25" s="32">
        <f t="shared" si="6"/>
        <v>0</v>
      </c>
    </row>
    <row r="26" ht="22.5" customHeight="1">
      <c r="A26" s="331" t="str">
        <f>Rooster!A27</f>
        <v>Donderdag</v>
      </c>
      <c r="B26" s="396">
        <f>Rooster!B27</f>
        <v>0.7291666667</v>
      </c>
      <c r="C26" s="15">
        <f>Rooster!C27</f>
        <v>60</v>
      </c>
      <c r="D26" s="11" t="str">
        <f>Rooster!D27</f>
        <v>Modern 14+</v>
      </c>
      <c r="E26" s="77"/>
      <c r="F26" s="327" t="str">
        <f>Rooster!E27</f>
        <v>Eigenaar</v>
      </c>
      <c r="G26" s="319">
        <f>IFERROR(VLOOKUP(F26, Docenten!$A$2:$G$30, 7, FALSE), "0")</f>
        <v>0</v>
      </c>
      <c r="H26" s="320">
        <f t="shared" si="1"/>
        <v>0</v>
      </c>
      <c r="I26" s="327" t="str">
        <f>Rooster!H27</f>
        <v>Santpoort Zuid</v>
      </c>
      <c r="J26" s="321">
        <f>IFERROR(VLOOKUP(I26, Locaties!$A$2:$G$15, 7, FALSE), "0")</f>
        <v>18.9</v>
      </c>
      <c r="K26" s="42">
        <f t="shared" si="2"/>
        <v>18.9</v>
      </c>
      <c r="L26" s="322">
        <f>September!L26</f>
        <v>2</v>
      </c>
      <c r="M26" s="70"/>
      <c r="N26" s="42" t="str">
        <f>IFERROR(VLOOKUP(M26, Tarieven!$A$1:$J$150, 10, FALSE), "0")</f>
        <v>0</v>
      </c>
      <c r="O26" s="322" t="str">
        <f>September!O26</f>
        <v/>
      </c>
      <c r="P26" s="334"/>
      <c r="Q26" s="325" t="str">
        <f>IFERROR(VLOOKUP(P26, Tarieven!$A$2:$J$150, 10, FALSE), "0")</f>
        <v>0</v>
      </c>
      <c r="R26" s="138">
        <f>September!R26</f>
        <v>2</v>
      </c>
      <c r="S26" s="85"/>
      <c r="T26" s="325" t="str">
        <f>IFERROR(VLOOKUP(S26, Tarieven!$A$2:$J$150, 10, FALSE), "0")</f>
        <v>0</v>
      </c>
      <c r="U26" s="77" t="str">
        <f>September!U26</f>
        <v/>
      </c>
      <c r="V26" s="85" t="str">
        <f>September!V26</f>
        <v/>
      </c>
      <c r="W26" s="325" t="str">
        <f>IFERROR(VLOOKUP(V26, Tarieven!$A$2:$J$150, 10, FALSE), "0")</f>
        <v>0</v>
      </c>
      <c r="X26" s="397">
        <f>Jaarbetalingen!AD26</f>
        <v>7</v>
      </c>
      <c r="Y26" s="398">
        <v>0.0</v>
      </c>
      <c r="Z26" s="329">
        <f t="shared" si="3"/>
        <v>11</v>
      </c>
      <c r="AA26" s="32">
        <f t="shared" si="4"/>
        <v>0</v>
      </c>
      <c r="AB26" s="32">
        <f t="shared" si="5"/>
        <v>0</v>
      </c>
      <c r="AC26" s="32">
        <f t="shared" si="6"/>
        <v>0</v>
      </c>
    </row>
    <row r="27" ht="22.5" customHeight="1">
      <c r="A27" s="331" t="str">
        <f>Rooster!A28</f>
        <v>Donderdag</v>
      </c>
      <c r="B27" s="396">
        <f>Rooster!B28</f>
        <v>0.7708333333</v>
      </c>
      <c r="C27" s="15">
        <f>Rooster!C28</f>
        <v>60</v>
      </c>
      <c r="D27" s="11" t="str">
        <f>Rooster!D28</f>
        <v>Commercial 14+</v>
      </c>
      <c r="E27" s="77"/>
      <c r="F27" s="327" t="str">
        <f>Rooster!E28</f>
        <v>Nova</v>
      </c>
      <c r="G27" s="319">
        <f>IFERROR(VLOOKUP(F27, Docenten!$A$2:$G$30, 7, FALSE), "0")</f>
        <v>22.5</v>
      </c>
      <c r="H27" s="320">
        <f t="shared" si="1"/>
        <v>22.5</v>
      </c>
      <c r="I27" s="327" t="str">
        <f>Rooster!H28</f>
        <v>Santpoort Zuid</v>
      </c>
      <c r="J27" s="321">
        <f>IFERROR(VLOOKUP(I27, Locaties!$A$2:$G$15, 7, FALSE), "0")</f>
        <v>18.9</v>
      </c>
      <c r="K27" s="42">
        <f t="shared" si="2"/>
        <v>18.9</v>
      </c>
      <c r="L27" s="322">
        <f>September!L27</f>
        <v>2</v>
      </c>
      <c r="M27" s="70"/>
      <c r="N27" s="42" t="str">
        <f>IFERROR(VLOOKUP(M27, Tarieven!$A$1:$J$150, 10, FALSE), "0")</f>
        <v>0</v>
      </c>
      <c r="O27" s="322">
        <f>September!O27</f>
        <v>3</v>
      </c>
      <c r="P27" s="334"/>
      <c r="Q27" s="325" t="str">
        <f>IFERROR(VLOOKUP(P27, Tarieven!$A$2:$J$150, 10, FALSE), "0")</f>
        <v>0</v>
      </c>
      <c r="R27" s="138">
        <f>September!R27</f>
        <v>2</v>
      </c>
      <c r="S27" s="85"/>
      <c r="T27" s="325" t="str">
        <f>IFERROR(VLOOKUP(S27, Tarieven!$A$2:$J$150, 10, FALSE), "0")</f>
        <v>0</v>
      </c>
      <c r="U27" s="77" t="str">
        <f>September!U27</f>
        <v/>
      </c>
      <c r="V27" s="85" t="str">
        <f>September!V27</f>
        <v/>
      </c>
      <c r="W27" s="325" t="str">
        <f>IFERROR(VLOOKUP(V27, Tarieven!$A$2:$J$150, 10, FALSE), "0")</f>
        <v>0</v>
      </c>
      <c r="X27" s="397">
        <f>Jaarbetalingen!AD27</f>
        <v>10</v>
      </c>
      <c r="Y27" s="398">
        <v>0.0</v>
      </c>
      <c r="Z27" s="329">
        <f t="shared" si="3"/>
        <v>17</v>
      </c>
      <c r="AA27" s="32">
        <f t="shared" si="4"/>
        <v>0</v>
      </c>
      <c r="AB27" s="32">
        <f t="shared" si="5"/>
        <v>0</v>
      </c>
      <c r="AC27" s="32">
        <f t="shared" si="6"/>
        <v>0</v>
      </c>
    </row>
    <row r="28" ht="22.5" customHeight="1">
      <c r="A28" s="331" t="str">
        <f>Rooster!A29</f>
        <v>Donderdag</v>
      </c>
      <c r="B28" s="396">
        <f>Rooster!B29</f>
        <v>0.8125</v>
      </c>
      <c r="C28" s="15">
        <f>Rooster!C29</f>
        <v>60</v>
      </c>
      <c r="D28" s="11" t="str">
        <f>Rooster!D29</f>
        <v>Selectie Hiphop 16+</v>
      </c>
      <c r="E28" s="77"/>
      <c r="F28" s="327" t="str">
        <f>Rooster!E29</f>
        <v>Nova</v>
      </c>
      <c r="G28" s="319">
        <f>IFERROR(VLOOKUP(F28, Docenten!$A$2:$G$30, 7, FALSE), "0")</f>
        <v>22.5</v>
      </c>
      <c r="H28" s="320">
        <f t="shared" si="1"/>
        <v>22.5</v>
      </c>
      <c r="I28" s="327" t="str">
        <f>Rooster!H29</f>
        <v>Santpoort Zuid</v>
      </c>
      <c r="J28" s="321">
        <f>IFERROR(VLOOKUP(I28, Locaties!$A$2:$G$15, 7, FALSE), "0")</f>
        <v>18.9</v>
      </c>
      <c r="K28" s="42">
        <f t="shared" si="2"/>
        <v>18.9</v>
      </c>
      <c r="L28" s="322">
        <f>September!L28</f>
        <v>2</v>
      </c>
      <c r="M28" s="70"/>
      <c r="N28" s="42" t="str">
        <f>IFERROR(VLOOKUP(M28, Tarieven!$A$1:$J$150, 10, FALSE), "0")</f>
        <v>0</v>
      </c>
      <c r="O28" s="322">
        <f>September!O28</f>
        <v>2</v>
      </c>
      <c r="P28" s="334"/>
      <c r="Q28" s="325" t="str">
        <f>IFERROR(VLOOKUP(P28, Tarieven!$A$2:$J$150, 10, FALSE), "0")</f>
        <v>0</v>
      </c>
      <c r="R28" s="138">
        <f>September!R28</f>
        <v>2</v>
      </c>
      <c r="S28" s="85"/>
      <c r="T28" s="325" t="str">
        <f>IFERROR(VLOOKUP(S28, Tarieven!$A$2:$J$150, 10, FALSE), "0")</f>
        <v>0</v>
      </c>
      <c r="U28" s="77" t="str">
        <f>September!U28</f>
        <v/>
      </c>
      <c r="V28" s="85" t="str">
        <f>September!V28</f>
        <v/>
      </c>
      <c r="W28" s="325" t="str">
        <f>IFERROR(VLOOKUP(V28, Tarieven!$A$2:$J$150, 10, FALSE), "0")</f>
        <v>0</v>
      </c>
      <c r="X28" s="397">
        <f>Jaarbetalingen!AD28</f>
        <v>8</v>
      </c>
      <c r="Y28" s="398">
        <v>0.0</v>
      </c>
      <c r="Z28" s="329">
        <f t="shared" si="3"/>
        <v>14</v>
      </c>
      <c r="AA28" s="32">
        <f t="shared" si="4"/>
        <v>0</v>
      </c>
      <c r="AB28" s="32">
        <f t="shared" si="5"/>
        <v>0</v>
      </c>
      <c r="AC28" s="32">
        <f t="shared" si="6"/>
        <v>0</v>
      </c>
    </row>
    <row r="29" ht="22.5" customHeight="1">
      <c r="A29" s="331" t="str">
        <f>Rooster!A30</f>
        <v>Donderdag</v>
      </c>
      <c r="B29" s="396">
        <f>Rooster!B30</f>
        <v>0.8541666667</v>
      </c>
      <c r="C29" s="15">
        <f>Rooster!C30</f>
        <v>60</v>
      </c>
      <c r="D29" s="11" t="str">
        <f>Rooster!D30</f>
        <v>Modern 16+</v>
      </c>
      <c r="E29" s="77"/>
      <c r="F29" s="327" t="str">
        <f>Rooster!E30</f>
        <v>Nova</v>
      </c>
      <c r="G29" s="319">
        <f>IFERROR(VLOOKUP(F29, Docenten!$A$2:$G$30, 7, FALSE), "0")</f>
        <v>22.5</v>
      </c>
      <c r="H29" s="320">
        <f t="shared" si="1"/>
        <v>22.5</v>
      </c>
      <c r="I29" s="327" t="str">
        <f>Rooster!H30</f>
        <v>Santpoort Zuid</v>
      </c>
      <c r="J29" s="321">
        <f>IFERROR(VLOOKUP(I29, Locaties!$A$2:$G$15, 7, FALSE), "0")</f>
        <v>18.9</v>
      </c>
      <c r="K29" s="42">
        <f t="shared" si="2"/>
        <v>18.9</v>
      </c>
      <c r="L29" s="322" t="str">
        <f>September!L29</f>
        <v/>
      </c>
      <c r="M29" s="85"/>
      <c r="N29" s="42" t="str">
        <f>IFERROR(VLOOKUP(M29, Tarieven!$A$1:$J$150, 10, FALSE), "0")</f>
        <v>0</v>
      </c>
      <c r="O29" s="322">
        <f>September!O29</f>
        <v>1</v>
      </c>
      <c r="P29" s="334"/>
      <c r="Q29" s="325" t="str">
        <f>IFERROR(VLOOKUP(P29, Tarieven!$A$2:$J$150, 10, FALSE), "0")</f>
        <v>0</v>
      </c>
      <c r="R29" s="138">
        <f>September!R29</f>
        <v>1</v>
      </c>
      <c r="S29" s="85"/>
      <c r="T29" s="325" t="str">
        <f>IFERROR(VLOOKUP(S29, Tarieven!$A$2:$J$150, 10, FALSE), "0")</f>
        <v>0</v>
      </c>
      <c r="U29" s="77" t="str">
        <f>September!U29</f>
        <v/>
      </c>
      <c r="V29" s="85" t="str">
        <f>September!V29</f>
        <v/>
      </c>
      <c r="W29" s="325" t="str">
        <f>IFERROR(VLOOKUP(V29, Tarieven!$A$2:$J$150, 10, FALSE), "0")</f>
        <v>0</v>
      </c>
      <c r="X29" s="397">
        <f>Jaarbetalingen!AD29</f>
        <v>5</v>
      </c>
      <c r="Y29" s="398">
        <v>0.0</v>
      </c>
      <c r="Z29" s="329">
        <f t="shared" si="3"/>
        <v>7</v>
      </c>
      <c r="AA29" s="32">
        <f t="shared" si="4"/>
        <v>0</v>
      </c>
      <c r="AB29" s="32">
        <f t="shared" si="5"/>
        <v>0</v>
      </c>
      <c r="AC29" s="32">
        <f t="shared" si="6"/>
        <v>0</v>
      </c>
    </row>
    <row r="30" ht="22.5" customHeight="1">
      <c r="A30" s="331" t="str">
        <f>Rooster!A31</f>
        <v>Vrijdag</v>
      </c>
      <c r="B30" s="396">
        <f>Rooster!B31</f>
        <v>0.625</v>
      </c>
      <c r="C30" s="15">
        <f>Rooster!C31</f>
        <v>60</v>
      </c>
      <c r="D30" s="11" t="str">
        <f>Rooster!D31</f>
        <v>Selectie Hiphop 8+</v>
      </c>
      <c r="E30" s="77"/>
      <c r="F30" s="327" t="str">
        <f>Rooster!E31</f>
        <v>Eigenaar</v>
      </c>
      <c r="G30" s="319">
        <f>IFERROR(VLOOKUP(F30, Docenten!$A$2:$G$30, 7, FALSE), "0")</f>
        <v>0</v>
      </c>
      <c r="H30" s="320">
        <f t="shared" si="1"/>
        <v>0</v>
      </c>
      <c r="I30" s="327" t="str">
        <f>Rooster!H31</f>
        <v>Santpoort Zuid</v>
      </c>
      <c r="J30" s="321">
        <f>IFERROR(VLOOKUP(I30, Locaties!$A$2:$G$15, 7, FALSE), "0")</f>
        <v>18.9</v>
      </c>
      <c r="K30" s="42">
        <f t="shared" si="2"/>
        <v>18.9</v>
      </c>
      <c r="L30" s="322">
        <f>September!L30</f>
        <v>3</v>
      </c>
      <c r="M30" s="70"/>
      <c r="N30" s="42" t="str">
        <f>IFERROR(VLOOKUP(M30, Tarieven!$A$1:$J$150, 10, FALSE), "0")</f>
        <v>0</v>
      </c>
      <c r="O30" s="322">
        <f>September!O30</f>
        <v>5</v>
      </c>
      <c r="P30" s="334"/>
      <c r="Q30" s="325" t="str">
        <f>IFERROR(VLOOKUP(P30, Tarieven!$A$2:$J$150, 10, FALSE), "0")</f>
        <v>0</v>
      </c>
      <c r="R30" s="138">
        <f>September!R30</f>
        <v>1</v>
      </c>
      <c r="S30" s="85"/>
      <c r="T30" s="325" t="str">
        <f>IFERROR(VLOOKUP(S30, Tarieven!$A$2:$J$150, 10, FALSE), "0")</f>
        <v>0</v>
      </c>
      <c r="U30" s="77" t="str">
        <f>September!U30</f>
        <v/>
      </c>
      <c r="V30" s="85" t="str">
        <f>September!V30</f>
        <v/>
      </c>
      <c r="W30" s="325" t="str">
        <f>IFERROR(VLOOKUP(V30, Tarieven!$A$2:$J$150, 10, FALSE), "0")</f>
        <v>0</v>
      </c>
      <c r="X30" s="397">
        <f>Jaarbetalingen!AD30</f>
        <v>4</v>
      </c>
      <c r="Y30" s="398">
        <v>0.0</v>
      </c>
      <c r="Z30" s="329">
        <f t="shared" si="3"/>
        <v>13</v>
      </c>
      <c r="AA30" s="32">
        <f t="shared" si="4"/>
        <v>0</v>
      </c>
      <c r="AB30" s="32">
        <f t="shared" si="5"/>
        <v>0</v>
      </c>
      <c r="AC30" s="32">
        <f t="shared" si="6"/>
        <v>0</v>
      </c>
    </row>
    <row r="31" ht="22.5" customHeight="1">
      <c r="A31" s="331" t="str">
        <f>Rooster!A32</f>
        <v>Vrijdag</v>
      </c>
      <c r="B31" s="396">
        <f>Rooster!B32</f>
        <v>0.6666666667</v>
      </c>
      <c r="C31" s="15">
        <f>Rooster!C32</f>
        <v>60</v>
      </c>
      <c r="D31" s="11" t="str">
        <f>Rooster!D32</f>
        <v>Cheer 8+</v>
      </c>
      <c r="E31" s="77"/>
      <c r="F31" s="70" t="s">
        <v>318</v>
      </c>
      <c r="G31" s="319" t="str">
        <f>IFERROR(VLOOKUP(F31, Docenten!$A$2:$G$30, 7, FALSE), "0")</f>
        <v>0</v>
      </c>
      <c r="H31" s="320">
        <f t="shared" si="1"/>
        <v>0</v>
      </c>
      <c r="I31" s="327" t="str">
        <f>Rooster!H32</f>
        <v>Santpoort Zuid</v>
      </c>
      <c r="J31" s="321">
        <f>IFERROR(VLOOKUP(I31, Locaties!$A$2:$G$15, 7, FALSE), "0")</f>
        <v>18.9</v>
      </c>
      <c r="K31" s="42">
        <f t="shared" si="2"/>
        <v>18.9</v>
      </c>
      <c r="L31" s="322">
        <f>September!L31</f>
        <v>4</v>
      </c>
      <c r="M31" s="85"/>
      <c r="N31" s="42" t="str">
        <f>IFERROR(VLOOKUP(M31, Tarieven!$A$1:$J$150, 10, FALSE), "0")</f>
        <v>0</v>
      </c>
      <c r="O31" s="322">
        <f>September!O31</f>
        <v>3</v>
      </c>
      <c r="P31" s="334"/>
      <c r="Q31" s="325" t="str">
        <f>IFERROR(VLOOKUP(P31, Tarieven!$A$2:$J$150, 10, FALSE), "0")</f>
        <v>0</v>
      </c>
      <c r="R31" s="138" t="str">
        <f>September!R31</f>
        <v/>
      </c>
      <c r="S31" s="85"/>
      <c r="T31" s="325" t="str">
        <f>IFERROR(VLOOKUP(S31, Tarieven!$A$2:$J$150, 10, FALSE), "0")</f>
        <v>0</v>
      </c>
      <c r="U31" s="77" t="str">
        <f>September!U31</f>
        <v/>
      </c>
      <c r="V31" s="85" t="str">
        <f>September!V31</f>
        <v/>
      </c>
      <c r="W31" s="325" t="str">
        <f>IFERROR(VLOOKUP(V31, Tarieven!$A$2:$J$150, 10, FALSE), "0")</f>
        <v>0</v>
      </c>
      <c r="X31" s="397">
        <f>Jaarbetalingen!AD31</f>
        <v>11</v>
      </c>
      <c r="Y31" s="398">
        <v>0.0</v>
      </c>
      <c r="Z31" s="329">
        <f t="shared" si="3"/>
        <v>18</v>
      </c>
      <c r="AA31" s="32">
        <f t="shared" si="4"/>
        <v>0</v>
      </c>
      <c r="AB31" s="32">
        <f t="shared" si="5"/>
        <v>0</v>
      </c>
      <c r="AC31" s="32">
        <f t="shared" si="6"/>
        <v>0</v>
      </c>
    </row>
    <row r="32" ht="22.5" customHeight="1">
      <c r="A32" s="331" t="str">
        <f>Rooster!A33</f>
        <v>Vrijdag</v>
      </c>
      <c r="B32" s="396">
        <f>Rooster!B33</f>
        <v>0.7083333333</v>
      </c>
      <c r="C32" s="15">
        <f>Rooster!C33</f>
        <v>60</v>
      </c>
      <c r="D32" s="11" t="str">
        <f>Rooster!D33</f>
        <v>Cheer 12+</v>
      </c>
      <c r="E32" s="77"/>
      <c r="F32" s="327" t="str">
        <f>Rooster!E33</f>
        <v>Eigenaar</v>
      </c>
      <c r="G32" s="319">
        <f>IFERROR(VLOOKUP(F32, Docenten!$A$2:$G$30, 7, FALSE), "0")</f>
        <v>0</v>
      </c>
      <c r="H32" s="320">
        <f t="shared" si="1"/>
        <v>0</v>
      </c>
      <c r="I32" s="327" t="str">
        <f>Rooster!H33</f>
        <v>Santpoort Zuid</v>
      </c>
      <c r="J32" s="321">
        <f>IFERROR(VLOOKUP(I32, Locaties!$A$2:$G$15, 7, FALSE), "0")</f>
        <v>18.9</v>
      </c>
      <c r="K32" s="42">
        <f t="shared" si="2"/>
        <v>18.9</v>
      </c>
      <c r="L32" s="322">
        <f>September!L32</f>
        <v>2</v>
      </c>
      <c r="M32" s="85"/>
      <c r="N32" s="42" t="str">
        <f>IFERROR(VLOOKUP(M32, Tarieven!$A$1:$J$150, 10, FALSE), "0")</f>
        <v>0</v>
      </c>
      <c r="O32" s="322">
        <f>September!O32</f>
        <v>1</v>
      </c>
      <c r="P32" s="334"/>
      <c r="Q32" s="325" t="str">
        <f>IFERROR(VLOOKUP(P32, Tarieven!$A$2:$J$150, 10, FALSE), "0")</f>
        <v>0</v>
      </c>
      <c r="R32" s="138" t="str">
        <f>September!R32</f>
        <v/>
      </c>
      <c r="S32" s="85"/>
      <c r="T32" s="325" t="str">
        <f>IFERROR(VLOOKUP(S32, Tarieven!$A$2:$J$150, 10, FALSE), "0")</f>
        <v>0</v>
      </c>
      <c r="U32" s="77" t="str">
        <f>September!U32</f>
        <v/>
      </c>
      <c r="V32" s="85" t="str">
        <f>September!V32</f>
        <v/>
      </c>
      <c r="W32" s="325" t="str">
        <f>IFERROR(VLOOKUP(V32, Tarieven!$A$2:$J$150, 10, FALSE), "0")</f>
        <v>0</v>
      </c>
      <c r="X32" s="397">
        <f>Jaarbetalingen!AD32</f>
        <v>5</v>
      </c>
      <c r="Y32" s="398">
        <v>0.0</v>
      </c>
      <c r="Z32" s="329">
        <f t="shared" si="3"/>
        <v>8</v>
      </c>
      <c r="AA32" s="32">
        <f t="shared" si="4"/>
        <v>0</v>
      </c>
      <c r="AB32" s="32">
        <f t="shared" si="5"/>
        <v>0</v>
      </c>
      <c r="AC32" s="32">
        <f t="shared" si="6"/>
        <v>0</v>
      </c>
    </row>
    <row r="33" ht="22.5" customHeight="1">
      <c r="A33" s="331" t="str">
        <f>Rooster!A34</f>
        <v>Vrijdag</v>
      </c>
      <c r="B33" s="396">
        <f>Rooster!B34</f>
        <v>0.75</v>
      </c>
      <c r="C33" s="15">
        <f>Rooster!C34</f>
        <v>60</v>
      </c>
      <c r="D33" s="11" t="str">
        <f>Rooster!D34</f>
        <v>Urban-pop-Show 11+</v>
      </c>
      <c r="E33" s="77"/>
      <c r="F33" s="327" t="str">
        <f>Rooster!E34</f>
        <v>Eigenaar</v>
      </c>
      <c r="G33" s="319">
        <f>IFERROR(VLOOKUP(F33, Docenten!$A$2:$G$30, 7, FALSE), "0")</f>
        <v>0</v>
      </c>
      <c r="H33" s="320">
        <f t="shared" si="1"/>
        <v>0</v>
      </c>
      <c r="I33" s="327" t="str">
        <f>Rooster!H34</f>
        <v>Santpoort Noord</v>
      </c>
      <c r="J33" s="321">
        <f>IFERROR(VLOOKUP(I33, Locaties!$A$2:$G$15, 7, FALSE), "0")</f>
        <v>14.2</v>
      </c>
      <c r="K33" s="42">
        <f t="shared" si="2"/>
        <v>14.2</v>
      </c>
      <c r="L33" s="322">
        <f>September!L33</f>
        <v>1</v>
      </c>
      <c r="M33" s="85"/>
      <c r="N33" s="42" t="str">
        <f>IFERROR(VLOOKUP(M33, Tarieven!$A$1:$J$150, 10, FALSE), "0")</f>
        <v>0</v>
      </c>
      <c r="O33" s="322">
        <f>September!O33</f>
        <v>1</v>
      </c>
      <c r="P33" s="334"/>
      <c r="Q33" s="325" t="str">
        <f>IFERROR(VLOOKUP(P33, Tarieven!$A$2:$J$150, 10, FALSE), "0")</f>
        <v>0</v>
      </c>
      <c r="R33" s="138" t="str">
        <f>September!R33</f>
        <v/>
      </c>
      <c r="S33" s="85"/>
      <c r="T33" s="325" t="str">
        <f>IFERROR(VLOOKUP(S33, Tarieven!$A$2:$J$150, 10, FALSE), "0")</f>
        <v>0</v>
      </c>
      <c r="U33" s="77" t="str">
        <f>September!U33</f>
        <v/>
      </c>
      <c r="V33" s="85" t="str">
        <f>September!V33</f>
        <v/>
      </c>
      <c r="W33" s="325" t="str">
        <f>IFERROR(VLOOKUP(V33, Tarieven!$A$2:$J$150, 10, FALSE), "0")</f>
        <v>0</v>
      </c>
      <c r="X33" s="397">
        <f>Jaarbetalingen!AD33</f>
        <v>8</v>
      </c>
      <c r="Y33" s="398">
        <v>0.0</v>
      </c>
      <c r="Z33" s="329">
        <f t="shared" si="3"/>
        <v>10</v>
      </c>
      <c r="AA33" s="32">
        <f t="shared" si="4"/>
        <v>0</v>
      </c>
      <c r="AB33" s="32">
        <f t="shared" si="5"/>
        <v>0</v>
      </c>
      <c r="AC33" s="32">
        <f t="shared" si="6"/>
        <v>0</v>
      </c>
    </row>
    <row r="34" ht="22.5" customHeight="1">
      <c r="A34" s="331" t="str">
        <f>Rooster!A35</f>
        <v>Zaterdag</v>
      </c>
      <c r="B34" s="396">
        <f>Rooster!B35</f>
        <v>0.375</v>
      </c>
      <c r="C34" s="15">
        <f>Rooster!C35</f>
        <v>60</v>
      </c>
      <c r="D34" s="11" t="str">
        <f>Rooster!D35</f>
        <v>Peuters</v>
      </c>
      <c r="E34" s="77"/>
      <c r="F34" s="327" t="str">
        <f>Rooster!E35</f>
        <v>Frederique</v>
      </c>
      <c r="G34" s="319">
        <f>IFERROR(VLOOKUP(F34, Docenten!$A$2:$G$30, 7, FALSE), "0")</f>
        <v>12.5</v>
      </c>
      <c r="H34" s="320">
        <f t="shared" si="1"/>
        <v>12.5</v>
      </c>
      <c r="I34" s="327" t="str">
        <f>Rooster!H35</f>
        <v>Santpoort Noord</v>
      </c>
      <c r="J34" s="321">
        <f>IFERROR(VLOOKUP(I34, Locaties!$A$2:$G$15, 7, FALSE), "0")</f>
        <v>14.2</v>
      </c>
      <c r="K34" s="42">
        <f t="shared" si="2"/>
        <v>14.2</v>
      </c>
      <c r="L34" s="322">
        <f>September!L34</f>
        <v>9</v>
      </c>
      <c r="M34" s="70"/>
      <c r="N34" s="42" t="str">
        <f>IFERROR(VLOOKUP(M34, Tarieven!$A$1:$J$150, 10, FALSE), "0")</f>
        <v>0</v>
      </c>
      <c r="O34" s="322" t="str">
        <f>September!O34</f>
        <v/>
      </c>
      <c r="P34" s="334"/>
      <c r="Q34" s="325" t="str">
        <f>IFERROR(VLOOKUP(P34, Tarieven!$A$2:$J$150, 10, FALSE), "0")</f>
        <v>0</v>
      </c>
      <c r="R34" s="138" t="str">
        <f>September!R34</f>
        <v/>
      </c>
      <c r="S34" s="85"/>
      <c r="T34" s="325" t="str">
        <f>IFERROR(VLOOKUP(S34, Tarieven!$A$2:$J$150, 10, FALSE), "0")</f>
        <v>0</v>
      </c>
      <c r="U34" s="77" t="str">
        <f>September!U34</f>
        <v/>
      </c>
      <c r="V34" s="85" t="str">
        <f>September!V34</f>
        <v/>
      </c>
      <c r="W34" s="325" t="str">
        <f>IFERROR(VLOOKUP(V34, Tarieven!$A$2:$J$150, 10, FALSE), "0")</f>
        <v>0</v>
      </c>
      <c r="X34" s="397">
        <f>Jaarbetalingen!AD34</f>
        <v>4</v>
      </c>
      <c r="Y34" s="398">
        <v>0.0</v>
      </c>
      <c r="Z34" s="329">
        <f t="shared" si="3"/>
        <v>13</v>
      </c>
      <c r="AA34" s="32">
        <f t="shared" si="4"/>
        <v>0</v>
      </c>
      <c r="AB34" s="32">
        <f t="shared" si="5"/>
        <v>0</v>
      </c>
      <c r="AC34" s="32">
        <f t="shared" si="6"/>
        <v>0</v>
      </c>
    </row>
    <row r="35" ht="22.5" customHeight="1">
      <c r="A35" s="331" t="str">
        <f>Rooster!A36</f>
        <v>Zaterdag</v>
      </c>
      <c r="B35" s="396">
        <f>Rooster!B36</f>
        <v>0.40625</v>
      </c>
      <c r="C35" s="15">
        <f>Rooster!C36</f>
        <v>60</v>
      </c>
      <c r="D35" s="11" t="str">
        <f>Rooster!D36</f>
        <v>Kleuters</v>
      </c>
      <c r="E35" s="77"/>
      <c r="F35" s="327" t="str">
        <f>Rooster!E36</f>
        <v>Frederique</v>
      </c>
      <c r="G35" s="319">
        <f>IFERROR(VLOOKUP(F35, Docenten!$A$2:$G$30, 7, FALSE), "0")</f>
        <v>12.5</v>
      </c>
      <c r="H35" s="320">
        <f t="shared" si="1"/>
        <v>12.5</v>
      </c>
      <c r="I35" s="327" t="str">
        <f>Rooster!H36</f>
        <v>Santpoort Noord</v>
      </c>
      <c r="J35" s="321">
        <f>IFERROR(VLOOKUP(I35, Locaties!$A$2:$G$15, 7, FALSE), "0")</f>
        <v>14.2</v>
      </c>
      <c r="K35" s="42">
        <f t="shared" si="2"/>
        <v>14.2</v>
      </c>
      <c r="L35" s="322">
        <f>September!L35</f>
        <v>10</v>
      </c>
      <c r="M35" s="85"/>
      <c r="N35" s="42" t="str">
        <f>IFERROR(VLOOKUP(M35, Tarieven!$A$1:$J$150, 10, FALSE), "0")</f>
        <v>0</v>
      </c>
      <c r="O35" s="322" t="str">
        <f>September!O35</f>
        <v/>
      </c>
      <c r="P35" s="334"/>
      <c r="Q35" s="325" t="str">
        <f>IFERROR(VLOOKUP(P35, Tarieven!$A$2:$J$150, 10, FALSE), "0")</f>
        <v>0</v>
      </c>
      <c r="R35" s="138" t="str">
        <f>September!R35</f>
        <v/>
      </c>
      <c r="S35" s="85"/>
      <c r="T35" s="325" t="str">
        <f>IFERROR(VLOOKUP(S35, Tarieven!$A$2:$J$150, 10, FALSE), "0")</f>
        <v>0</v>
      </c>
      <c r="U35" s="77" t="str">
        <f>September!U35</f>
        <v/>
      </c>
      <c r="V35" s="85" t="str">
        <f>September!V35</f>
        <v/>
      </c>
      <c r="W35" s="325" t="str">
        <f>IFERROR(VLOOKUP(V35, Tarieven!$A$2:$J$150, 10, FALSE), "0")</f>
        <v>0</v>
      </c>
      <c r="X35" s="397">
        <f>Jaarbetalingen!AD35</f>
        <v>5</v>
      </c>
      <c r="Y35" s="398">
        <v>0.0</v>
      </c>
      <c r="Z35" s="329">
        <f t="shared" si="3"/>
        <v>15</v>
      </c>
      <c r="AA35" s="32">
        <f t="shared" si="4"/>
        <v>0</v>
      </c>
      <c r="AB35" s="32">
        <f t="shared" si="5"/>
        <v>0</v>
      </c>
      <c r="AC35" s="32">
        <f t="shared" si="6"/>
        <v>0</v>
      </c>
    </row>
    <row r="36" ht="22.5" customHeight="1">
      <c r="A36" s="331" t="str">
        <f>Rooster!A37</f>
        <v>Zaterdag</v>
      </c>
      <c r="B36" s="396">
        <f>Rooster!B37</f>
        <v>0.4375</v>
      </c>
      <c r="C36" s="15">
        <f>Rooster!C37</f>
        <v>60</v>
      </c>
      <c r="D36" s="11" t="str">
        <f>Rooster!D37</f>
        <v>Showdance 5-6</v>
      </c>
      <c r="E36" s="77"/>
      <c r="F36" s="327" t="str">
        <f>Rooster!E37</f>
        <v>Frederique</v>
      </c>
      <c r="G36" s="319">
        <f>IFERROR(VLOOKUP(F36, Docenten!$A$2:$G$30, 7, FALSE), "0")</f>
        <v>12.5</v>
      </c>
      <c r="H36" s="320">
        <f t="shared" si="1"/>
        <v>12.5</v>
      </c>
      <c r="I36" s="327" t="str">
        <f>Rooster!H37</f>
        <v>Santpoort Noord</v>
      </c>
      <c r="J36" s="321">
        <f>IFERROR(VLOOKUP(I36, Locaties!$A$2:$G$15, 7, FALSE), "0")</f>
        <v>14.2</v>
      </c>
      <c r="K36" s="42">
        <f t="shared" si="2"/>
        <v>14.2</v>
      </c>
      <c r="L36" s="322">
        <f>September!L36</f>
        <v>3</v>
      </c>
      <c r="M36" s="70"/>
      <c r="N36" s="42" t="str">
        <f>IFERROR(VLOOKUP(M36, Tarieven!$A$1:$J$150, 10, FALSE), "0")</f>
        <v>0</v>
      </c>
      <c r="O36" s="322">
        <f>September!O36</f>
        <v>1</v>
      </c>
      <c r="P36" s="334"/>
      <c r="Q36" s="325" t="str">
        <f>IFERROR(VLOOKUP(P36, Tarieven!$A$2:$J$150, 10, FALSE), "0")</f>
        <v>0</v>
      </c>
      <c r="R36" s="138" t="str">
        <f>September!R36</f>
        <v/>
      </c>
      <c r="S36" s="85"/>
      <c r="T36" s="325" t="str">
        <f>IFERROR(VLOOKUP(S36, Tarieven!$A$2:$J$150, 10, FALSE), "0")</f>
        <v>0</v>
      </c>
      <c r="U36" s="77" t="str">
        <f>September!U36</f>
        <v/>
      </c>
      <c r="V36" s="85" t="str">
        <f>September!V36</f>
        <v/>
      </c>
      <c r="W36" s="325" t="str">
        <f>IFERROR(VLOOKUP(V36, Tarieven!$A$2:$J$150, 10, FALSE), "0")</f>
        <v>0</v>
      </c>
      <c r="X36" s="397">
        <f>Jaarbetalingen!AD36</f>
        <v>9</v>
      </c>
      <c r="Y36" s="398">
        <v>0.0</v>
      </c>
      <c r="Z36" s="329">
        <f t="shared" si="3"/>
        <v>13</v>
      </c>
      <c r="AA36" s="32">
        <f t="shared" si="4"/>
        <v>0</v>
      </c>
      <c r="AB36" s="32">
        <f t="shared" si="5"/>
        <v>0</v>
      </c>
      <c r="AC36" s="32">
        <f t="shared" si="6"/>
        <v>0</v>
      </c>
    </row>
    <row r="37" ht="22.5" customHeight="1">
      <c r="A37" s="331" t="str">
        <f>Rooster!A38</f>
        <v>Zaterdag</v>
      </c>
      <c r="B37" s="396">
        <f>Rooster!B38</f>
        <v>0.4791666667</v>
      </c>
      <c r="C37" s="15">
        <f>Rooster!C38</f>
        <v>60</v>
      </c>
      <c r="D37" s="11" t="str">
        <f>Rooster!D38</f>
        <v>Showdance 7+</v>
      </c>
      <c r="E37" s="77"/>
      <c r="F37" s="327" t="str">
        <f>Rooster!E38</f>
        <v>Frederique</v>
      </c>
      <c r="G37" s="319">
        <f>IFERROR(VLOOKUP(F37, Docenten!$A$2:$G$30, 7, FALSE), "0")</f>
        <v>12.5</v>
      </c>
      <c r="H37" s="320">
        <f t="shared" si="1"/>
        <v>12.5</v>
      </c>
      <c r="I37" s="327" t="str">
        <f>Rooster!H38</f>
        <v>Santpoort Noord</v>
      </c>
      <c r="J37" s="321">
        <f>IFERROR(VLOOKUP(I37, Locaties!$A$2:$G$15, 7, FALSE), "0")</f>
        <v>14.2</v>
      </c>
      <c r="K37" s="42">
        <f t="shared" si="2"/>
        <v>14.2</v>
      </c>
      <c r="L37" s="322">
        <f>September!L37</f>
        <v>3</v>
      </c>
      <c r="M37" s="70"/>
      <c r="N37" s="42" t="str">
        <f>IFERROR(VLOOKUP(M37, Tarieven!$A$1:$J$150, 10, FALSE), "0")</f>
        <v>0</v>
      </c>
      <c r="O37" s="322" t="str">
        <f>September!O37</f>
        <v/>
      </c>
      <c r="P37" s="334"/>
      <c r="Q37" s="325" t="str">
        <f>IFERROR(VLOOKUP(P37, Tarieven!$A$2:$J$150, 10, FALSE), "0")</f>
        <v>0</v>
      </c>
      <c r="R37" s="138" t="str">
        <f>September!R37</f>
        <v/>
      </c>
      <c r="S37" s="85"/>
      <c r="T37" s="325" t="str">
        <f>IFERROR(VLOOKUP(S37, Tarieven!$A$2:$J$150, 10, FALSE), "0")</f>
        <v>0</v>
      </c>
      <c r="U37" s="77" t="str">
        <f>September!U37</f>
        <v/>
      </c>
      <c r="V37" s="85" t="str">
        <f>September!V37</f>
        <v/>
      </c>
      <c r="W37" s="325" t="str">
        <f>IFERROR(VLOOKUP(V37, Tarieven!$A$2:$J$150, 10, FALSE), "0")</f>
        <v>0</v>
      </c>
      <c r="X37" s="397">
        <f>Jaarbetalingen!AD37</f>
        <v>4</v>
      </c>
      <c r="Y37" s="398">
        <v>0.0</v>
      </c>
      <c r="Z37" s="329">
        <f t="shared" si="3"/>
        <v>7</v>
      </c>
      <c r="AA37" s="32">
        <f t="shared" si="4"/>
        <v>0</v>
      </c>
      <c r="AB37" s="32">
        <f t="shared" si="5"/>
        <v>0</v>
      </c>
      <c r="AC37" s="32">
        <f t="shared" si="6"/>
        <v>0</v>
      </c>
    </row>
    <row r="38" ht="22.5" customHeight="1">
      <c r="A38" s="331" t="str">
        <f>Rooster!A39</f>
        <v>Zaterdag</v>
      </c>
      <c r="B38" s="396">
        <f>Rooster!B39</f>
        <v>0.4166666667</v>
      </c>
      <c r="C38" s="15">
        <f>Rooster!C39</f>
        <v>60</v>
      </c>
      <c r="D38" s="11" t="str">
        <f>Rooster!D39</f>
        <v>Peuters</v>
      </c>
      <c r="E38" s="77"/>
      <c r="F38" s="327" t="str">
        <f>Rooster!E39</f>
        <v>Tess</v>
      </c>
      <c r="G38" s="319">
        <f>IFERROR(VLOOKUP(F38, Docenten!$A$2:$G$30, 7, FALSE), "0")</f>
        <v>17.5</v>
      </c>
      <c r="H38" s="320">
        <f t="shared" si="1"/>
        <v>17.5</v>
      </c>
      <c r="I38" s="327" t="str">
        <f>Rooster!H39</f>
        <v>Santpoort Zuid</v>
      </c>
      <c r="J38" s="321">
        <f>IFERROR(VLOOKUP(I38, Locaties!$A$2:$G$15, 7, FALSE), "0")</f>
        <v>18.9</v>
      </c>
      <c r="K38" s="42">
        <f t="shared" si="2"/>
        <v>18.9</v>
      </c>
      <c r="L38" s="322" t="str">
        <f>September!L38</f>
        <v/>
      </c>
      <c r="M38" s="70"/>
      <c r="N38" s="42" t="str">
        <f>IFERROR(VLOOKUP(M38, Tarieven!$A$1:$J$150, 10, FALSE), "0")</f>
        <v>0</v>
      </c>
      <c r="O38" s="322" t="str">
        <f>September!O38</f>
        <v/>
      </c>
      <c r="P38" s="334"/>
      <c r="Q38" s="325" t="str">
        <f>IFERROR(VLOOKUP(P38, Tarieven!$A$2:$J$150, 10, FALSE), "0")</f>
        <v>0</v>
      </c>
      <c r="R38" s="138" t="str">
        <f>September!R38</f>
        <v/>
      </c>
      <c r="S38" s="85"/>
      <c r="T38" s="325" t="str">
        <f>IFERROR(VLOOKUP(S38, Tarieven!$A$2:$J$150, 10, FALSE), "0")</f>
        <v>0</v>
      </c>
      <c r="U38" s="77" t="str">
        <f>September!U38</f>
        <v/>
      </c>
      <c r="V38" s="85" t="str">
        <f>September!V38</f>
        <v/>
      </c>
      <c r="W38" s="325" t="str">
        <f>IFERROR(VLOOKUP(V38, Tarieven!$A$2:$J$150, 10, FALSE), "0")</f>
        <v>0</v>
      </c>
      <c r="X38" s="397">
        <f>Jaarbetalingen!AD38</f>
        <v>0</v>
      </c>
      <c r="Y38" s="398">
        <v>0.0</v>
      </c>
      <c r="Z38" s="329">
        <f t="shared" si="3"/>
        <v>0</v>
      </c>
      <c r="AA38" s="32">
        <f t="shared" si="4"/>
        <v>0</v>
      </c>
      <c r="AB38" s="32">
        <f t="shared" si="5"/>
        <v>0</v>
      </c>
      <c r="AC38" s="32">
        <f t="shared" si="6"/>
        <v>0</v>
      </c>
    </row>
    <row r="39" ht="22.5" customHeight="1">
      <c r="A39" s="331" t="str">
        <f>Rooster!A40</f>
        <v>Zaterdag</v>
      </c>
      <c r="B39" s="396">
        <f>Rooster!B40</f>
        <v>0.4479166667</v>
      </c>
      <c r="C39" s="15">
        <f>Rooster!C40</f>
        <v>60</v>
      </c>
      <c r="D39" s="11" t="str">
        <f>Rooster!D40</f>
        <v>Kleuters</v>
      </c>
      <c r="E39" s="77"/>
      <c r="F39" s="327" t="str">
        <f>Rooster!E40</f>
        <v>Tess</v>
      </c>
      <c r="G39" s="319">
        <f>IFERROR(VLOOKUP(F39, Docenten!$A$2:$G$30, 7, FALSE), "0")</f>
        <v>17.5</v>
      </c>
      <c r="H39" s="320">
        <f t="shared" si="1"/>
        <v>17.5</v>
      </c>
      <c r="I39" s="327" t="str">
        <f>Rooster!H40</f>
        <v>Santpoort Zuid</v>
      </c>
      <c r="J39" s="321">
        <f>IFERROR(VLOOKUP(I39, Locaties!$A$2:$G$15, 7, FALSE), "0")</f>
        <v>18.9</v>
      </c>
      <c r="K39" s="42">
        <f t="shared" si="2"/>
        <v>18.9</v>
      </c>
      <c r="L39" s="322" t="str">
        <f>September!L39</f>
        <v/>
      </c>
      <c r="M39" s="70"/>
      <c r="N39" s="42" t="str">
        <f>IFERROR(VLOOKUP(M39, Tarieven!$A$1:$J$150, 10, FALSE), "0")</f>
        <v>0</v>
      </c>
      <c r="O39" s="322" t="str">
        <f>September!O39</f>
        <v/>
      </c>
      <c r="P39" s="334"/>
      <c r="Q39" s="325" t="str">
        <f>IFERROR(VLOOKUP(P39, Tarieven!$A$2:$J$150, 10, FALSE), "0")</f>
        <v>0</v>
      </c>
      <c r="R39" s="138" t="str">
        <f>September!R39</f>
        <v/>
      </c>
      <c r="S39" s="85"/>
      <c r="T39" s="325" t="str">
        <f>IFERROR(VLOOKUP(S39, Tarieven!$A$2:$J$150, 10, FALSE), "0")</f>
        <v>0</v>
      </c>
      <c r="U39" s="77" t="str">
        <f>September!U39</f>
        <v/>
      </c>
      <c r="V39" s="85" t="str">
        <f>September!V39</f>
        <v/>
      </c>
      <c r="W39" s="325" t="str">
        <f>IFERROR(VLOOKUP(V39, Tarieven!$A$2:$J$150, 10, FALSE), "0")</f>
        <v>0</v>
      </c>
      <c r="X39" s="397">
        <f>Jaarbetalingen!AD39</f>
        <v>0</v>
      </c>
      <c r="Y39" s="398">
        <v>0.0</v>
      </c>
      <c r="Z39" s="329">
        <f t="shared" si="3"/>
        <v>0</v>
      </c>
      <c r="AA39" s="32">
        <f t="shared" si="4"/>
        <v>0</v>
      </c>
      <c r="AB39" s="32">
        <f t="shared" si="5"/>
        <v>0</v>
      </c>
      <c r="AC39" s="32">
        <f t="shared" si="6"/>
        <v>0</v>
      </c>
    </row>
    <row r="40" ht="22.5" customHeight="1">
      <c r="A40" s="331" t="str">
        <f>Rooster!A41</f>
        <v/>
      </c>
      <c r="B40" s="396" t="str">
        <f>Rooster!B41</f>
        <v/>
      </c>
      <c r="C40" s="15" t="str">
        <f>Rooster!C41</f>
        <v/>
      </c>
      <c r="D40" s="11" t="str">
        <f>Rooster!D41</f>
        <v/>
      </c>
      <c r="E40" s="77"/>
      <c r="F40" s="327" t="str">
        <f>Rooster!E41</f>
        <v/>
      </c>
      <c r="G40" s="319" t="str">
        <f>IFERROR(VLOOKUP(F40, Docenten!$A$2:$G$30, 7, FALSE), "0")</f>
        <v>0</v>
      </c>
      <c r="H40" s="320">
        <f t="shared" si="1"/>
        <v>0</v>
      </c>
      <c r="I40" s="327" t="str">
        <f>Rooster!H41</f>
        <v/>
      </c>
      <c r="J40" s="321" t="str">
        <f>IFERROR(VLOOKUP(I40, Locaties!$A$2:$G$15, 7, FALSE), "0")</f>
        <v>0</v>
      </c>
      <c r="K40" s="42">
        <f t="shared" si="2"/>
        <v>0</v>
      </c>
      <c r="L40" s="322" t="str">
        <f>September!L40</f>
        <v/>
      </c>
      <c r="M40" s="85"/>
      <c r="N40" s="42" t="str">
        <f>IFERROR(VLOOKUP(M40, Tarieven!$A$1:$J$150, 10, FALSE), "0")</f>
        <v>0</v>
      </c>
      <c r="O40" s="322" t="str">
        <f>September!O40</f>
        <v/>
      </c>
      <c r="P40" s="334"/>
      <c r="Q40" s="325" t="str">
        <f>IFERROR(VLOOKUP(P40, Tarieven!$A$2:$J$150, 10, FALSE), "0")</f>
        <v>0</v>
      </c>
      <c r="R40" s="138" t="str">
        <f>September!R40</f>
        <v/>
      </c>
      <c r="S40" s="85"/>
      <c r="T40" s="325" t="str">
        <f>IFERROR(VLOOKUP(S40, Tarieven!$A$2:$J$150, 10, FALSE), "0")</f>
        <v>0</v>
      </c>
      <c r="U40" s="77" t="str">
        <f>September!U40</f>
        <v/>
      </c>
      <c r="V40" s="85" t="str">
        <f>September!V40</f>
        <v/>
      </c>
      <c r="W40" s="325" t="str">
        <f>IFERROR(VLOOKUP(V40, Tarieven!$A$2:$J$150, 10, FALSE), "0")</f>
        <v>0</v>
      </c>
      <c r="X40" s="397">
        <f>Jaarbetalingen!AD40</f>
        <v>0</v>
      </c>
      <c r="Y40" s="398">
        <v>0.0</v>
      </c>
      <c r="Z40" s="329">
        <f t="shared" si="3"/>
        <v>0</v>
      </c>
      <c r="AA40" s="32">
        <f t="shared" si="4"/>
        <v>0</v>
      </c>
      <c r="AB40" s="32">
        <f t="shared" si="5"/>
        <v>0</v>
      </c>
      <c r="AC40" s="32">
        <f t="shared" si="6"/>
        <v>0</v>
      </c>
    </row>
    <row r="41" ht="22.5" customHeight="1">
      <c r="A41" s="331" t="str">
        <f>Rooster!A42</f>
        <v/>
      </c>
      <c r="B41" s="396" t="str">
        <f>Rooster!B42</f>
        <v/>
      </c>
      <c r="C41" s="15" t="str">
        <f>Rooster!C42</f>
        <v/>
      </c>
      <c r="D41" s="11" t="str">
        <f>Rooster!D42</f>
        <v/>
      </c>
      <c r="E41" s="77"/>
      <c r="F41" s="327" t="str">
        <f>Rooster!E42</f>
        <v/>
      </c>
      <c r="G41" s="319" t="str">
        <f>IFERROR(VLOOKUP(F41, Docenten!$A$2:$G$30, 7, FALSE), "0")</f>
        <v>0</v>
      </c>
      <c r="H41" s="320">
        <f t="shared" si="1"/>
        <v>0</v>
      </c>
      <c r="I41" s="327" t="str">
        <f>Rooster!H42</f>
        <v/>
      </c>
      <c r="J41" s="321" t="str">
        <f>IFERROR(VLOOKUP(I41, Locaties!$A$2:$G$15, 7, FALSE), "0")</f>
        <v>0</v>
      </c>
      <c r="K41" s="42">
        <f t="shared" si="2"/>
        <v>0</v>
      </c>
      <c r="L41" s="322" t="str">
        <f>September!L41</f>
        <v/>
      </c>
      <c r="M41" s="85"/>
      <c r="N41" s="42" t="str">
        <f>IFERROR(VLOOKUP(M41, Tarieven!$A$1:$J$150, 10, FALSE), "0")</f>
        <v>0</v>
      </c>
      <c r="O41" s="322" t="str">
        <f>September!O41</f>
        <v/>
      </c>
      <c r="P41" s="334"/>
      <c r="Q41" s="325" t="str">
        <f>IFERROR(VLOOKUP(P41, Tarieven!$A$2:$J$150, 10, FALSE), "0")</f>
        <v>0</v>
      </c>
      <c r="R41" s="138" t="str">
        <f>September!R41</f>
        <v/>
      </c>
      <c r="S41" s="85"/>
      <c r="T41" s="325" t="str">
        <f>IFERROR(VLOOKUP(S41, Tarieven!$A$2:$J$150, 10, FALSE), "0")</f>
        <v>0</v>
      </c>
      <c r="U41" s="77" t="str">
        <f>September!U41</f>
        <v/>
      </c>
      <c r="V41" s="85" t="str">
        <f>September!V41</f>
        <v/>
      </c>
      <c r="W41" s="325" t="str">
        <f>IFERROR(VLOOKUP(V41, Tarieven!$A$2:$J$150, 10, FALSE), "0")</f>
        <v>0</v>
      </c>
      <c r="X41" s="397">
        <f>Jaarbetalingen!AD41</f>
        <v>0</v>
      </c>
      <c r="Y41" s="398">
        <v>0.0</v>
      </c>
      <c r="Z41" s="329">
        <f t="shared" si="3"/>
        <v>0</v>
      </c>
      <c r="AA41" s="32">
        <f t="shared" si="4"/>
        <v>0</v>
      </c>
      <c r="AB41" s="32">
        <f t="shared" si="5"/>
        <v>0</v>
      </c>
      <c r="AC41" s="32">
        <f t="shared" si="6"/>
        <v>0</v>
      </c>
    </row>
    <row r="42" ht="22.5" customHeight="1">
      <c r="A42" s="331" t="str">
        <f>Rooster!A43</f>
        <v>Maandag</v>
      </c>
      <c r="B42" s="396">
        <f>Rooster!B43</f>
        <v>0.3958333333</v>
      </c>
      <c r="C42" s="15">
        <f>Rooster!C43</f>
        <v>60</v>
      </c>
      <c r="D42" s="11" t="str">
        <f>Rooster!D43</f>
        <v>Kinderopvang</v>
      </c>
      <c r="E42" s="77"/>
      <c r="F42" s="327" t="str">
        <f>Rooster!E43</f>
        <v>Opvang T</v>
      </c>
      <c r="G42" s="319">
        <f>IFERROR(VLOOKUP(F42, Docenten!$A$2:$G$30, 7, FALSE), "0")</f>
        <v>45</v>
      </c>
      <c r="H42" s="320">
        <f t="shared" si="1"/>
        <v>45</v>
      </c>
      <c r="I42" s="327" t="str">
        <f>Rooster!H43</f>
        <v/>
      </c>
      <c r="J42" s="321" t="str">
        <f>IFERROR(VLOOKUP(I42, Locaties!$A$2:$G$15, 7, FALSE), "0")</f>
        <v>0</v>
      </c>
      <c r="K42" s="42">
        <f t="shared" si="2"/>
        <v>0</v>
      </c>
      <c r="L42" s="322">
        <v>5.0</v>
      </c>
      <c r="M42" s="70" t="s">
        <v>46</v>
      </c>
      <c r="N42" s="415">
        <v>400.0</v>
      </c>
      <c r="O42" s="322" t="str">
        <f>September!O42</f>
        <v/>
      </c>
      <c r="P42" s="334"/>
      <c r="Q42" s="325" t="str">
        <f>IFERROR(VLOOKUP(P42, Tarieven!$A$2:$J$150, 10, FALSE), "0")</f>
        <v>0</v>
      </c>
      <c r="R42" s="138" t="str">
        <f>September!R42</f>
        <v/>
      </c>
      <c r="S42" s="85"/>
      <c r="T42" s="325" t="str">
        <f>IFERROR(VLOOKUP(S42, Tarieven!$A$2:$J$150, 10, FALSE), "0")</f>
        <v>0</v>
      </c>
      <c r="U42" s="77" t="str">
        <f>September!U42</f>
        <v/>
      </c>
      <c r="V42" s="85" t="str">
        <f>September!V42</f>
        <v/>
      </c>
      <c r="W42" s="325" t="str">
        <f>IFERROR(VLOOKUP(V42, Tarieven!$A$2:$J$150, 10, FALSE), "0")</f>
        <v>0</v>
      </c>
      <c r="X42" s="397">
        <f>Jaarbetalingen!AD42</f>
        <v>0</v>
      </c>
      <c r="Y42" s="398">
        <v>0.0</v>
      </c>
      <c r="Z42" s="329">
        <f t="shared" si="3"/>
        <v>5</v>
      </c>
      <c r="AA42" s="32">
        <f t="shared" si="4"/>
        <v>0</v>
      </c>
      <c r="AB42" s="32">
        <f t="shared" si="5"/>
        <v>2000</v>
      </c>
      <c r="AC42" s="32">
        <f t="shared" si="6"/>
        <v>2000</v>
      </c>
    </row>
    <row r="43" ht="22.5" customHeight="1">
      <c r="A43" s="331"/>
      <c r="B43" s="396"/>
      <c r="C43" s="15"/>
      <c r="D43" s="11"/>
      <c r="E43" s="77"/>
      <c r="F43" s="327"/>
      <c r="G43" s="319" t="str">
        <f>IFERROR(VLOOKUP(F43, Docenten!$A$2:$G$30, 7, FALSE), "0")</f>
        <v>0</v>
      </c>
      <c r="H43" s="320">
        <f t="shared" si="1"/>
        <v>0</v>
      </c>
      <c r="I43" s="327" t="str">
        <f>Rooster!H44</f>
        <v/>
      </c>
      <c r="J43" s="321" t="str">
        <f>IFERROR(VLOOKUP(I43, Locaties!$A$2:$G$15, 7, FALSE), "0")</f>
        <v>0</v>
      </c>
      <c r="K43" s="42">
        <f t="shared" si="2"/>
        <v>0</v>
      </c>
      <c r="L43" s="322" t="str">
        <f>September!L43</f>
        <v/>
      </c>
      <c r="M43" s="85"/>
      <c r="N43" s="42" t="str">
        <f>IFERROR(VLOOKUP(M43, Tarieven!$A$1:$J$150, 10, FALSE), "0")</f>
        <v>0</v>
      </c>
      <c r="O43" s="322" t="str">
        <f>September!O43</f>
        <v/>
      </c>
      <c r="P43" s="334"/>
      <c r="Q43" s="325" t="str">
        <f>IFERROR(VLOOKUP(P43, Tarieven!$A$2:$J$150, 10, FALSE), "0")</f>
        <v>0</v>
      </c>
      <c r="R43" s="138" t="str">
        <f>September!R43</f>
        <v/>
      </c>
      <c r="S43" s="85"/>
      <c r="T43" s="325" t="str">
        <f>IFERROR(VLOOKUP(S43, Tarieven!$A$2:$J$150, 10, FALSE), "0")</f>
        <v>0</v>
      </c>
      <c r="U43" s="77" t="str">
        <f>September!U43</f>
        <v/>
      </c>
      <c r="V43" s="85" t="str">
        <f>September!V43</f>
        <v/>
      </c>
      <c r="W43" s="325" t="str">
        <f>IFERROR(VLOOKUP(V43, Tarieven!$A$2:$J$150, 10, FALSE), "0")</f>
        <v>0</v>
      </c>
      <c r="X43" s="397">
        <f>Jaarbetalingen!AD43</f>
        <v>0</v>
      </c>
      <c r="Y43" s="398">
        <v>0.0</v>
      </c>
      <c r="Z43" s="329">
        <f t="shared" si="3"/>
        <v>0</v>
      </c>
      <c r="AA43" s="32">
        <f t="shared" si="4"/>
        <v>0</v>
      </c>
      <c r="AB43" s="32">
        <f t="shared" si="5"/>
        <v>0</v>
      </c>
      <c r="AC43" s="32">
        <f t="shared" si="6"/>
        <v>0</v>
      </c>
    </row>
    <row r="44" ht="22.5" customHeight="1">
      <c r="A44" s="331"/>
      <c r="B44" s="396"/>
      <c r="C44" s="15"/>
      <c r="D44" s="11"/>
      <c r="E44" s="77"/>
      <c r="F44" s="327"/>
      <c r="G44" s="319" t="str">
        <f>IFERROR(VLOOKUP(F44, Docenten!$A$2:$G$30, 7, FALSE), "0")</f>
        <v>0</v>
      </c>
      <c r="H44" s="320">
        <f t="shared" si="1"/>
        <v>0</v>
      </c>
      <c r="I44" s="327" t="str">
        <f>Rooster!H45</f>
        <v/>
      </c>
      <c r="J44" s="321" t="str">
        <f>IFERROR(VLOOKUP(I44, Locaties!$A$2:$G$15, 7, FALSE), "0")</f>
        <v>0</v>
      </c>
      <c r="K44" s="42">
        <f t="shared" si="2"/>
        <v>0</v>
      </c>
      <c r="L44" s="322" t="str">
        <f>September!L44</f>
        <v/>
      </c>
      <c r="M44" s="85"/>
      <c r="N44" s="42" t="str">
        <f>IFERROR(VLOOKUP(M44, Tarieven!$A$1:$J$150, 10, FALSE), "0")</f>
        <v>0</v>
      </c>
      <c r="O44" s="322" t="str">
        <f>September!O44</f>
        <v/>
      </c>
      <c r="P44" s="334"/>
      <c r="Q44" s="325" t="str">
        <f>IFERROR(VLOOKUP(P44, Tarieven!$A$2:$J$150, 10, FALSE), "0")</f>
        <v>0</v>
      </c>
      <c r="R44" s="138" t="str">
        <f>September!R44</f>
        <v/>
      </c>
      <c r="S44" s="85"/>
      <c r="T44" s="325" t="str">
        <f>IFERROR(VLOOKUP(S44, Tarieven!$A$2:$J$150, 10, FALSE), "0")</f>
        <v>0</v>
      </c>
      <c r="U44" s="77" t="str">
        <f>September!U44</f>
        <v/>
      </c>
      <c r="V44" s="85" t="str">
        <f>September!V44</f>
        <v/>
      </c>
      <c r="W44" s="325" t="str">
        <f>IFERROR(VLOOKUP(V44, Tarieven!$A$2:$J$150, 10, FALSE), "0")</f>
        <v>0</v>
      </c>
      <c r="X44" s="397">
        <f>Jaarbetalingen!AD44</f>
        <v>0</v>
      </c>
      <c r="Y44" s="398">
        <v>0.0</v>
      </c>
      <c r="Z44" s="329">
        <f t="shared" si="3"/>
        <v>0</v>
      </c>
      <c r="AA44" s="32">
        <f t="shared" si="4"/>
        <v>0</v>
      </c>
      <c r="AB44" s="32">
        <f t="shared" si="5"/>
        <v>0</v>
      </c>
      <c r="AC44" s="32">
        <f t="shared" si="6"/>
        <v>0</v>
      </c>
    </row>
    <row r="45" ht="22.5" customHeight="1">
      <c r="A45" s="331" t="str">
        <f>Rooster!A46</f>
        <v/>
      </c>
      <c r="B45" s="396" t="str">
        <f>Rooster!B46</f>
        <v/>
      </c>
      <c r="C45" s="15" t="str">
        <f>Rooster!C46</f>
        <v/>
      </c>
      <c r="D45" s="11" t="str">
        <f>Rooster!D46</f>
        <v/>
      </c>
      <c r="E45" s="77"/>
      <c r="F45" s="327" t="str">
        <f>Rooster!E46</f>
        <v/>
      </c>
      <c r="G45" s="319" t="str">
        <f>IFERROR(VLOOKUP(F45, Docenten!$A$2:$G$30, 7, FALSE), "0")</f>
        <v>0</v>
      </c>
      <c r="H45" s="320">
        <f t="shared" si="1"/>
        <v>0</v>
      </c>
      <c r="I45" s="327" t="str">
        <f>Rooster!H46</f>
        <v/>
      </c>
      <c r="J45" s="321" t="str">
        <f>IFERROR(VLOOKUP(I45, Locaties!$A$2:$G$15, 7, FALSE), "0")</f>
        <v>0</v>
      </c>
      <c r="K45" s="42">
        <f t="shared" si="2"/>
        <v>0</v>
      </c>
      <c r="L45" s="322" t="str">
        <f>September!L45</f>
        <v/>
      </c>
      <c r="M45" s="85"/>
      <c r="N45" s="42" t="str">
        <f>IFERROR(VLOOKUP(M45, Tarieven!$A$1:$J$150, 10, FALSE), "0")</f>
        <v>0</v>
      </c>
      <c r="O45" s="322" t="str">
        <f>September!O45</f>
        <v/>
      </c>
      <c r="P45" s="334"/>
      <c r="Q45" s="325" t="str">
        <f>IFERROR(VLOOKUP(P45, Tarieven!$A$2:$J$150, 10, FALSE), "0")</f>
        <v>0</v>
      </c>
      <c r="R45" s="138" t="str">
        <f>September!R45</f>
        <v/>
      </c>
      <c r="S45" s="85"/>
      <c r="T45" s="325" t="str">
        <f>IFERROR(VLOOKUP(S45, Tarieven!$A$2:$J$150, 10, FALSE), "0")</f>
        <v>0</v>
      </c>
      <c r="U45" s="77" t="str">
        <f>September!U45</f>
        <v/>
      </c>
      <c r="V45" s="85" t="str">
        <f>September!V45</f>
        <v/>
      </c>
      <c r="W45" s="325" t="str">
        <f>IFERROR(VLOOKUP(V45, Tarieven!$A$2:$J$150, 10, FALSE), "0")</f>
        <v>0</v>
      </c>
      <c r="X45" s="397">
        <f>Jaarbetalingen!AD45</f>
        <v>0</v>
      </c>
      <c r="Y45" s="398">
        <v>0.0</v>
      </c>
      <c r="Z45" s="329">
        <f t="shared" si="3"/>
        <v>0</v>
      </c>
      <c r="AA45" s="32">
        <f t="shared" si="4"/>
        <v>0</v>
      </c>
      <c r="AB45" s="32">
        <f t="shared" si="5"/>
        <v>0</v>
      </c>
      <c r="AC45" s="32">
        <f t="shared" si="6"/>
        <v>0</v>
      </c>
    </row>
    <row r="46" ht="22.5" customHeight="1">
      <c r="A46" s="331" t="str">
        <f>Rooster!A47</f>
        <v/>
      </c>
      <c r="B46" s="396" t="str">
        <f>Rooster!B47</f>
        <v/>
      </c>
      <c r="C46" s="15" t="str">
        <f>Rooster!C47</f>
        <v/>
      </c>
      <c r="D46" s="11" t="str">
        <f>Rooster!D47</f>
        <v/>
      </c>
      <c r="E46" s="77"/>
      <c r="F46" s="327" t="str">
        <f>Rooster!E47</f>
        <v/>
      </c>
      <c r="G46" s="319" t="str">
        <f>IFERROR(VLOOKUP(F46, Docenten!$A$2:$G$30, 7, FALSE), "0")</f>
        <v>0</v>
      </c>
      <c r="H46" s="320">
        <f t="shared" si="1"/>
        <v>0</v>
      </c>
      <c r="I46" s="327" t="str">
        <f>Rooster!H47</f>
        <v/>
      </c>
      <c r="J46" s="321" t="str">
        <f>IFERROR(VLOOKUP(I46, Locaties!$A$2:$G$15, 7, FALSE), "0")</f>
        <v>0</v>
      </c>
      <c r="K46" s="42">
        <f t="shared" si="2"/>
        <v>0</v>
      </c>
      <c r="L46" s="322" t="str">
        <f>September!L46</f>
        <v/>
      </c>
      <c r="M46" s="85"/>
      <c r="N46" s="42" t="str">
        <f>IFERROR(VLOOKUP(M46, Tarieven!$A$1:$J$150, 10, FALSE), "0")</f>
        <v>0</v>
      </c>
      <c r="O46" s="322" t="str">
        <f>September!O46</f>
        <v/>
      </c>
      <c r="P46" s="334"/>
      <c r="Q46" s="325" t="str">
        <f>IFERROR(VLOOKUP(P46, Tarieven!$A$2:$J$150, 10, FALSE), "0")</f>
        <v>0</v>
      </c>
      <c r="R46" s="138" t="str">
        <f>September!R46</f>
        <v/>
      </c>
      <c r="S46" s="85"/>
      <c r="T46" s="325" t="str">
        <f>IFERROR(VLOOKUP(S46, Tarieven!$A$2:$J$150, 10, FALSE), "0")</f>
        <v>0</v>
      </c>
      <c r="U46" s="77" t="str">
        <f>September!U46</f>
        <v/>
      </c>
      <c r="V46" s="85" t="str">
        <f>September!V46</f>
        <v/>
      </c>
      <c r="W46" s="325" t="str">
        <f>IFERROR(VLOOKUP(V46, Tarieven!$A$2:$J$150, 10, FALSE), "0")</f>
        <v>0</v>
      </c>
      <c r="X46" s="397">
        <f>Jaarbetalingen!AD46</f>
        <v>0</v>
      </c>
      <c r="Y46" s="398">
        <v>0.0</v>
      </c>
      <c r="Z46" s="329">
        <f t="shared" si="3"/>
        <v>0</v>
      </c>
      <c r="AA46" s="32">
        <f t="shared" si="4"/>
        <v>0</v>
      </c>
      <c r="AB46" s="32">
        <f t="shared" si="5"/>
        <v>0</v>
      </c>
      <c r="AC46" s="32">
        <f t="shared" si="6"/>
        <v>0</v>
      </c>
    </row>
    <row r="47" ht="22.5" customHeight="1">
      <c r="A47" s="331" t="str">
        <f>Rooster!A48</f>
        <v>Donderdag</v>
      </c>
      <c r="B47" s="396">
        <f>Rooster!B48</f>
        <v>0.75</v>
      </c>
      <c r="C47" s="15">
        <f>Rooster!C48</f>
        <v>60</v>
      </c>
      <c r="D47" s="11" t="str">
        <f>Rooster!D48</f>
        <v>Turnen 6+</v>
      </c>
      <c r="E47" s="77"/>
      <c r="F47" s="327" t="str">
        <f>Rooster!E48</f>
        <v>Dion + 3</v>
      </c>
      <c r="G47" s="319">
        <f>IFERROR(VLOOKUP(F47, Docenten!$A$2:$G$30, 7, FALSE), "0")</f>
        <v>34</v>
      </c>
      <c r="H47" s="320">
        <f t="shared" si="1"/>
        <v>34</v>
      </c>
      <c r="I47" s="327" t="str">
        <f>Rooster!H48</f>
        <v>Santpoort Noord</v>
      </c>
      <c r="J47" s="321">
        <f>IFERROR(VLOOKUP(I47, Locaties!$A$2:$G$15, 7, FALSE), "0")</f>
        <v>14.2</v>
      </c>
      <c r="K47" s="42">
        <f t="shared" si="2"/>
        <v>14.2</v>
      </c>
      <c r="L47" s="322" t="str">
        <f>September!L47</f>
        <v/>
      </c>
      <c r="M47" s="85"/>
      <c r="N47" s="42" t="str">
        <f>IFERROR(VLOOKUP(M47, Tarieven!$A$1:$J$150, 10, FALSE), "0")</f>
        <v>0</v>
      </c>
      <c r="O47" s="322" t="str">
        <f>September!O47</f>
        <v/>
      </c>
      <c r="P47" s="334"/>
      <c r="Q47" s="325" t="str">
        <f>IFERROR(VLOOKUP(P47, Tarieven!$A$2:$J$150, 10, FALSE), "0")</f>
        <v>0</v>
      </c>
      <c r="R47" s="138" t="str">
        <f>September!R47</f>
        <v/>
      </c>
      <c r="S47" s="85"/>
      <c r="T47" s="325" t="str">
        <f>IFERROR(VLOOKUP(S47, Tarieven!$A$2:$J$150, 10, FALSE), "0")</f>
        <v>0</v>
      </c>
      <c r="U47" s="77" t="str">
        <f>September!U47</f>
        <v/>
      </c>
      <c r="V47" s="85" t="str">
        <f>September!V47</f>
        <v/>
      </c>
      <c r="W47" s="325" t="str">
        <f>IFERROR(VLOOKUP(V47, Tarieven!$A$2:$J$150, 10, FALSE), "0")</f>
        <v>0</v>
      </c>
      <c r="X47" s="397">
        <f>Jaarbetalingen!AD47</f>
        <v>0</v>
      </c>
      <c r="Y47" s="398">
        <v>0.0</v>
      </c>
      <c r="Z47" s="329">
        <f t="shared" si="3"/>
        <v>0</v>
      </c>
      <c r="AA47" s="32">
        <f t="shared" si="4"/>
        <v>0</v>
      </c>
      <c r="AB47" s="32">
        <f t="shared" si="5"/>
        <v>0</v>
      </c>
      <c r="AC47" s="32">
        <f t="shared" si="6"/>
        <v>0</v>
      </c>
    </row>
    <row r="48" ht="22.5" customHeight="1">
      <c r="A48" s="331" t="str">
        <f>Rooster!A49</f>
        <v>Donderdag</v>
      </c>
      <c r="B48" s="396">
        <f>Rooster!B49</f>
        <v>0.7916666667</v>
      </c>
      <c r="C48" s="15">
        <f>Rooster!C49</f>
        <v>60</v>
      </c>
      <c r="D48" s="11" t="str">
        <f>Rooster!D49</f>
        <v>Turnen 12+</v>
      </c>
      <c r="E48" s="77"/>
      <c r="F48" s="327" t="str">
        <f>Rooster!E49</f>
        <v>Dion + 3</v>
      </c>
      <c r="G48" s="319">
        <f>IFERROR(VLOOKUP(F48, Docenten!$A$2:$G$30, 7, FALSE), "0")</f>
        <v>34</v>
      </c>
      <c r="H48" s="320">
        <f t="shared" si="1"/>
        <v>34</v>
      </c>
      <c r="I48" s="327" t="str">
        <f>Rooster!H49</f>
        <v>Santpoort Noord</v>
      </c>
      <c r="J48" s="321">
        <f>IFERROR(VLOOKUP(I48, Locaties!$A$2:$G$15, 7, FALSE), "0")</f>
        <v>14.2</v>
      </c>
      <c r="K48" s="42">
        <f t="shared" si="2"/>
        <v>14.2</v>
      </c>
      <c r="L48" s="322" t="str">
        <f>September!L48</f>
        <v/>
      </c>
      <c r="M48" s="85"/>
      <c r="N48" s="42" t="str">
        <f>IFERROR(VLOOKUP(M48, Tarieven!$A$1:$J$150, 10, FALSE), "0")</f>
        <v>0</v>
      </c>
      <c r="O48" s="322" t="str">
        <f>September!O48</f>
        <v/>
      </c>
      <c r="P48" s="334"/>
      <c r="Q48" s="325" t="str">
        <f>IFERROR(VLOOKUP(P48, Tarieven!$A$2:$J$150, 10, FALSE), "0")</f>
        <v>0</v>
      </c>
      <c r="R48" s="138" t="str">
        <f>September!R48</f>
        <v/>
      </c>
      <c r="S48" s="85"/>
      <c r="T48" s="325" t="str">
        <f>IFERROR(VLOOKUP(S48, Tarieven!$A$2:$J$150, 10, FALSE), "0")</f>
        <v>0</v>
      </c>
      <c r="U48" s="77" t="str">
        <f>September!U48</f>
        <v/>
      </c>
      <c r="V48" s="85" t="str">
        <f>September!V48</f>
        <v/>
      </c>
      <c r="W48" s="325" t="str">
        <f>IFERROR(VLOOKUP(V48, Tarieven!$A$2:$J$150, 10, FALSE), "0")</f>
        <v>0</v>
      </c>
      <c r="X48" s="397">
        <f>Jaarbetalingen!AD48</f>
        <v>0</v>
      </c>
      <c r="Y48" s="398">
        <v>0.0</v>
      </c>
      <c r="Z48" s="329">
        <f t="shared" si="3"/>
        <v>0</v>
      </c>
      <c r="AA48" s="32">
        <f t="shared" si="4"/>
        <v>0</v>
      </c>
      <c r="AB48" s="32">
        <f t="shared" si="5"/>
        <v>0</v>
      </c>
      <c r="AC48" s="32">
        <f t="shared" si="6"/>
        <v>0</v>
      </c>
    </row>
    <row r="49" ht="22.5" customHeight="1">
      <c r="A49" s="331" t="str">
        <f>Rooster!A50</f>
        <v/>
      </c>
      <c r="B49" s="396" t="str">
        <f>Rooster!B50</f>
        <v/>
      </c>
      <c r="C49" s="15" t="str">
        <f>Rooster!C50</f>
        <v/>
      </c>
      <c r="D49" s="11" t="str">
        <f>Rooster!D50</f>
        <v/>
      </c>
      <c r="E49" s="77"/>
      <c r="F49" s="327" t="str">
        <f>Rooster!E50</f>
        <v/>
      </c>
      <c r="G49" s="319" t="str">
        <f>IFERROR(VLOOKUP(F49, Docenten!$A$2:$G$30, 7, FALSE), "0")</f>
        <v>0</v>
      </c>
      <c r="H49" s="320">
        <f t="shared" si="1"/>
        <v>0</v>
      </c>
      <c r="I49" s="327" t="str">
        <f>Rooster!H50</f>
        <v/>
      </c>
      <c r="J49" s="321" t="str">
        <f>IFERROR(VLOOKUP(I49, Locaties!$A$2:$G$15, 7, FALSE), "0")</f>
        <v>0</v>
      </c>
      <c r="K49" s="42">
        <f t="shared" si="2"/>
        <v>0</v>
      </c>
      <c r="L49" s="322" t="str">
        <f>September!L49</f>
        <v/>
      </c>
      <c r="M49" s="85"/>
      <c r="N49" s="42" t="str">
        <f>IFERROR(VLOOKUP(M49, Tarieven!$A$1:$J$150, 10, FALSE), "0")</f>
        <v>0</v>
      </c>
      <c r="O49" s="322" t="str">
        <f>September!O49</f>
        <v/>
      </c>
      <c r="P49" s="334"/>
      <c r="Q49" s="325" t="str">
        <f>IFERROR(VLOOKUP(P49, Tarieven!$A$2:$J$150, 10, FALSE), "0")</f>
        <v>0</v>
      </c>
      <c r="R49" s="138" t="str">
        <f>September!R49</f>
        <v/>
      </c>
      <c r="S49" s="85"/>
      <c r="T49" s="325" t="str">
        <f>IFERROR(VLOOKUP(S49, Tarieven!$A$2:$J$150, 10, FALSE), "0")</f>
        <v>0</v>
      </c>
      <c r="U49" s="77" t="str">
        <f>September!U49</f>
        <v/>
      </c>
      <c r="V49" s="85" t="str">
        <f>September!V49</f>
        <v/>
      </c>
      <c r="W49" s="325" t="str">
        <f>IFERROR(VLOOKUP(V49, Tarieven!$A$2:$J$150, 10, FALSE), "0")</f>
        <v>0</v>
      </c>
      <c r="X49" s="397">
        <f>Jaarbetalingen!AD49</f>
        <v>0</v>
      </c>
      <c r="Y49" s="398">
        <v>0.0</v>
      </c>
      <c r="Z49" s="329">
        <f t="shared" si="3"/>
        <v>0</v>
      </c>
      <c r="AA49" s="32">
        <f t="shared" si="4"/>
        <v>0</v>
      </c>
      <c r="AB49" s="32">
        <f t="shared" si="5"/>
        <v>0</v>
      </c>
      <c r="AC49" s="32">
        <f t="shared" si="6"/>
        <v>0</v>
      </c>
    </row>
    <row r="50" ht="22.5" customHeight="1">
      <c r="A50" s="331" t="str">
        <f>Rooster!A51</f>
        <v/>
      </c>
      <c r="B50" s="396" t="str">
        <f>Rooster!B51</f>
        <v/>
      </c>
      <c r="C50" s="15" t="str">
        <f>Rooster!C51</f>
        <v/>
      </c>
      <c r="D50" s="11" t="str">
        <f>Rooster!D51</f>
        <v/>
      </c>
      <c r="E50" s="77"/>
      <c r="F50" s="327" t="str">
        <f>Rooster!E51</f>
        <v/>
      </c>
      <c r="G50" s="319" t="str">
        <f>IFERROR(VLOOKUP(F50, Docenten!$A$2:$G$30, 7, FALSE), "0")</f>
        <v>0</v>
      </c>
      <c r="H50" s="320">
        <f t="shared" si="1"/>
        <v>0</v>
      </c>
      <c r="I50" s="327" t="str">
        <f>Rooster!H51</f>
        <v/>
      </c>
      <c r="J50" s="321" t="str">
        <f>IFERROR(VLOOKUP(I50, Locaties!$A$2:$G$15, 7, FALSE), "0")</f>
        <v>0</v>
      </c>
      <c r="K50" s="42">
        <f t="shared" si="2"/>
        <v>0</v>
      </c>
      <c r="L50" s="322" t="str">
        <f>September!L50</f>
        <v/>
      </c>
      <c r="M50" s="85"/>
      <c r="N50" s="42" t="str">
        <f>IFERROR(VLOOKUP(M50, Tarieven!$A$1:$J$150, 10, FALSE), "0")</f>
        <v>0</v>
      </c>
      <c r="O50" s="322" t="str">
        <f>September!O50</f>
        <v/>
      </c>
      <c r="P50" s="334"/>
      <c r="Q50" s="325" t="str">
        <f>IFERROR(VLOOKUP(P50, Tarieven!$A$2:$J$150, 10, FALSE), "0")</f>
        <v>0</v>
      </c>
      <c r="R50" s="138" t="str">
        <f>September!R50</f>
        <v/>
      </c>
      <c r="S50" s="85"/>
      <c r="T50" s="325" t="str">
        <f>IFERROR(VLOOKUP(S50, Tarieven!$A$2:$J$150, 10, FALSE), "0")</f>
        <v>0</v>
      </c>
      <c r="U50" s="77" t="str">
        <f>September!U50</f>
        <v/>
      </c>
      <c r="V50" s="85" t="str">
        <f>September!V50</f>
        <v/>
      </c>
      <c r="W50" s="325" t="str">
        <f>IFERROR(VLOOKUP(V50, Tarieven!$A$2:$J$150, 10, FALSE), "0")</f>
        <v>0</v>
      </c>
      <c r="X50" s="397">
        <f>Jaarbetalingen!AD50</f>
        <v>0</v>
      </c>
      <c r="Y50" s="398">
        <v>0.0</v>
      </c>
      <c r="Z50" s="329">
        <f t="shared" si="3"/>
        <v>0</v>
      </c>
      <c r="AA50" s="32">
        <f t="shared" si="4"/>
        <v>0</v>
      </c>
      <c r="AB50" s="32">
        <f t="shared" si="5"/>
        <v>0</v>
      </c>
      <c r="AC50" s="32">
        <f t="shared" si="6"/>
        <v>0</v>
      </c>
    </row>
    <row r="51" ht="22.5" customHeight="1">
      <c r="A51" s="331" t="str">
        <f>Rooster!A52</f>
        <v/>
      </c>
      <c r="B51" s="396" t="str">
        <f>Rooster!B52</f>
        <v/>
      </c>
      <c r="C51" s="15" t="str">
        <f>Rooster!C52</f>
        <v/>
      </c>
      <c r="D51" s="11" t="str">
        <f>Rooster!D52</f>
        <v/>
      </c>
      <c r="E51" s="77"/>
      <c r="F51" s="327" t="str">
        <f>Rooster!E52</f>
        <v/>
      </c>
      <c r="G51" s="319" t="str">
        <f>IFERROR(VLOOKUP(F51, Docenten!$A$2:$G$30, 7, FALSE), "0")</f>
        <v>0</v>
      </c>
      <c r="H51" s="320">
        <f t="shared" si="1"/>
        <v>0</v>
      </c>
      <c r="I51" s="327" t="str">
        <f>Rooster!H52</f>
        <v/>
      </c>
      <c r="J51" s="321" t="str">
        <f>IFERROR(VLOOKUP(I51, Locaties!$A$2:$G$15, 7, FALSE), "0")</f>
        <v>0</v>
      </c>
      <c r="K51" s="42">
        <f t="shared" si="2"/>
        <v>0</v>
      </c>
      <c r="L51" s="322" t="str">
        <f>September!L51</f>
        <v/>
      </c>
      <c r="M51" s="85"/>
      <c r="N51" s="42" t="str">
        <f>IFERROR(VLOOKUP(M51, Tarieven!$A$1:$J$150, 10, FALSE), "0")</f>
        <v>0</v>
      </c>
      <c r="O51" s="322" t="str">
        <f>September!O51</f>
        <v/>
      </c>
      <c r="P51" s="334"/>
      <c r="Q51" s="325" t="str">
        <f>IFERROR(VLOOKUP(P51, Tarieven!$A$2:$J$150, 10, FALSE), "0")</f>
        <v>0</v>
      </c>
      <c r="R51" s="138" t="str">
        <f>September!R51</f>
        <v/>
      </c>
      <c r="S51" s="85"/>
      <c r="T51" s="325" t="str">
        <f>IFERROR(VLOOKUP(S51, Tarieven!$A$2:$J$150, 10, FALSE), "0")</f>
        <v>0</v>
      </c>
      <c r="U51" s="77" t="str">
        <f>September!U51</f>
        <v/>
      </c>
      <c r="V51" s="85" t="str">
        <f>September!V51</f>
        <v/>
      </c>
      <c r="W51" s="325" t="str">
        <f>IFERROR(VLOOKUP(V51, Tarieven!$A$2:$J$150, 10, FALSE), "0")</f>
        <v>0</v>
      </c>
      <c r="X51" s="397">
        <f>Jaarbetalingen!AD51</f>
        <v>0</v>
      </c>
      <c r="Y51" s="398">
        <v>0.0</v>
      </c>
      <c r="Z51" s="329">
        <f t="shared" si="3"/>
        <v>0</v>
      </c>
      <c r="AA51" s="32">
        <f t="shared" si="4"/>
        <v>0</v>
      </c>
      <c r="AB51" s="32">
        <f t="shared" si="5"/>
        <v>0</v>
      </c>
      <c r="AC51" s="32">
        <f t="shared" si="6"/>
        <v>0</v>
      </c>
    </row>
    <row r="52" ht="22.5" customHeight="1">
      <c r="A52" s="331" t="str">
        <f>Rooster!A53</f>
        <v/>
      </c>
      <c r="B52" s="396" t="str">
        <f>Rooster!B53</f>
        <v/>
      </c>
      <c r="C52" s="15" t="str">
        <f>Rooster!C53</f>
        <v/>
      </c>
      <c r="D52" s="11" t="str">
        <f>Rooster!D53</f>
        <v/>
      </c>
      <c r="E52" s="77"/>
      <c r="F52" s="327" t="str">
        <f>Rooster!E53</f>
        <v/>
      </c>
      <c r="G52" s="319" t="str">
        <f>IFERROR(VLOOKUP(F52, Docenten!$A$2:$G$30, 7, FALSE), "0")</f>
        <v>0</v>
      </c>
      <c r="H52" s="320">
        <f t="shared" si="1"/>
        <v>0</v>
      </c>
      <c r="I52" s="327" t="str">
        <f>Rooster!H53</f>
        <v/>
      </c>
      <c r="J52" s="321" t="str">
        <f>IFERROR(VLOOKUP(I52, Locaties!$A$2:$G$15, 7, FALSE), "0")</f>
        <v>0</v>
      </c>
      <c r="K52" s="42">
        <f t="shared" si="2"/>
        <v>0</v>
      </c>
      <c r="L52" s="322" t="str">
        <f>September!L52</f>
        <v/>
      </c>
      <c r="M52" s="85"/>
      <c r="N52" s="42" t="str">
        <f>IFERROR(VLOOKUP(M52, Tarieven!$A$1:$J$150, 10, FALSE), "0")</f>
        <v>0</v>
      </c>
      <c r="O52" s="322" t="str">
        <f>September!O52</f>
        <v/>
      </c>
      <c r="P52" s="334"/>
      <c r="Q52" s="325" t="str">
        <f>IFERROR(VLOOKUP(P52, Tarieven!$A$2:$J$150, 10, FALSE), "0")</f>
        <v>0</v>
      </c>
      <c r="R52" s="138" t="str">
        <f>September!R52</f>
        <v/>
      </c>
      <c r="S52" s="85"/>
      <c r="T52" s="325" t="str">
        <f>IFERROR(VLOOKUP(S52, Tarieven!$A$2:$J$150, 10, FALSE), "0")</f>
        <v>0</v>
      </c>
      <c r="U52" s="77" t="str">
        <f>September!U52</f>
        <v/>
      </c>
      <c r="V52" s="85" t="str">
        <f>September!V52</f>
        <v/>
      </c>
      <c r="W52" s="325" t="str">
        <f>IFERROR(VLOOKUP(V52, Tarieven!$A$2:$J$150, 10, FALSE), "0")</f>
        <v>0</v>
      </c>
      <c r="X52" s="397">
        <f>Jaarbetalingen!AD52</f>
        <v>0</v>
      </c>
      <c r="Y52" s="398">
        <v>0.0</v>
      </c>
      <c r="Z52" s="329">
        <f t="shared" si="3"/>
        <v>0</v>
      </c>
      <c r="AA52" s="32">
        <f t="shared" si="4"/>
        <v>0</v>
      </c>
      <c r="AB52" s="32">
        <f t="shared" si="5"/>
        <v>0</v>
      </c>
      <c r="AC52" s="32">
        <f t="shared" si="6"/>
        <v>0</v>
      </c>
    </row>
    <row r="53" ht="22.5" customHeight="1">
      <c r="A53" s="331" t="str">
        <f>Rooster!A54</f>
        <v/>
      </c>
      <c r="B53" s="396" t="str">
        <f>Rooster!B54</f>
        <v/>
      </c>
      <c r="C53" s="15" t="str">
        <f>Rooster!C54</f>
        <v/>
      </c>
      <c r="D53" s="11" t="str">
        <f>Rooster!D54</f>
        <v/>
      </c>
      <c r="E53" s="77"/>
      <c r="F53" s="327" t="str">
        <f>Rooster!E54</f>
        <v/>
      </c>
      <c r="G53" s="319" t="str">
        <f>IFERROR(VLOOKUP(F53, Docenten!$A$2:$G$30, 7, FALSE), "0")</f>
        <v>0</v>
      </c>
      <c r="H53" s="320">
        <f t="shared" si="1"/>
        <v>0</v>
      </c>
      <c r="I53" s="327" t="str">
        <f>Rooster!H54</f>
        <v/>
      </c>
      <c r="J53" s="321" t="str">
        <f>IFERROR(VLOOKUP(I53, Locaties!$A$2:$G$15, 7, FALSE), "0")</f>
        <v>0</v>
      </c>
      <c r="K53" s="42">
        <f t="shared" si="2"/>
        <v>0</v>
      </c>
      <c r="L53" s="322" t="str">
        <f>September!L53</f>
        <v/>
      </c>
      <c r="M53" s="85"/>
      <c r="N53" s="42" t="str">
        <f>IFERROR(VLOOKUP(M53, Tarieven!$A$1:$J$150, 10, FALSE), "0")</f>
        <v>0</v>
      </c>
      <c r="O53" s="322" t="str">
        <f>September!O53</f>
        <v/>
      </c>
      <c r="P53" s="334"/>
      <c r="Q53" s="325" t="str">
        <f>IFERROR(VLOOKUP(P53, Tarieven!$A$2:$J$150, 10, FALSE), "0")</f>
        <v>0</v>
      </c>
      <c r="R53" s="138" t="str">
        <f>September!R53</f>
        <v/>
      </c>
      <c r="S53" s="85"/>
      <c r="T53" s="325" t="str">
        <f>IFERROR(VLOOKUP(S53, Tarieven!$A$2:$J$150, 10, FALSE), "0")</f>
        <v>0</v>
      </c>
      <c r="U53" s="77" t="str">
        <f>September!U53</f>
        <v/>
      </c>
      <c r="V53" s="85" t="str">
        <f>September!V53</f>
        <v/>
      </c>
      <c r="W53" s="325" t="str">
        <f>IFERROR(VLOOKUP(V53, Tarieven!$A$2:$J$150, 10, FALSE), "0")</f>
        <v>0</v>
      </c>
      <c r="X53" s="397">
        <f>Jaarbetalingen!AD53</f>
        <v>0</v>
      </c>
      <c r="Y53" s="398">
        <v>0.0</v>
      </c>
      <c r="Z53" s="329">
        <f t="shared" si="3"/>
        <v>0</v>
      </c>
      <c r="AA53" s="32">
        <f t="shared" si="4"/>
        <v>0</v>
      </c>
      <c r="AB53" s="32">
        <f t="shared" si="5"/>
        <v>0</v>
      </c>
      <c r="AC53" s="32">
        <f t="shared" si="6"/>
        <v>0</v>
      </c>
    </row>
    <row r="54" ht="22.5" customHeight="1">
      <c r="A54" s="331" t="str">
        <f>Rooster!A55</f>
        <v/>
      </c>
      <c r="B54" s="396" t="str">
        <f>Rooster!B55</f>
        <v/>
      </c>
      <c r="C54" s="15" t="str">
        <f>Rooster!C55</f>
        <v/>
      </c>
      <c r="D54" s="11" t="str">
        <f>Rooster!D55</f>
        <v/>
      </c>
      <c r="E54" s="77"/>
      <c r="F54" s="327" t="str">
        <f>Rooster!E55</f>
        <v/>
      </c>
      <c r="G54" s="319" t="str">
        <f>IFERROR(VLOOKUP(F54, Docenten!$A$2:$G$30, 7, FALSE), "0")</f>
        <v>0</v>
      </c>
      <c r="H54" s="320">
        <f t="shared" si="1"/>
        <v>0</v>
      </c>
      <c r="I54" s="327" t="str">
        <f>Rooster!H55</f>
        <v/>
      </c>
      <c r="J54" s="321" t="str">
        <f>IFERROR(VLOOKUP(I54, Locaties!$A$2:$G$15, 7, FALSE), "0")</f>
        <v>0</v>
      </c>
      <c r="K54" s="42">
        <f t="shared" si="2"/>
        <v>0</v>
      </c>
      <c r="L54" s="322" t="str">
        <f>September!L54</f>
        <v/>
      </c>
      <c r="M54" s="85"/>
      <c r="N54" s="42" t="str">
        <f>IFERROR(VLOOKUP(M54, Tarieven!$A$1:$J$150, 10, FALSE), "0")</f>
        <v>0</v>
      </c>
      <c r="O54" s="322" t="str">
        <f>September!O54</f>
        <v/>
      </c>
      <c r="P54" s="334"/>
      <c r="Q54" s="325" t="str">
        <f>IFERROR(VLOOKUP(P54, Tarieven!$A$2:$J$150, 10, FALSE), "0")</f>
        <v>0</v>
      </c>
      <c r="R54" s="138" t="str">
        <f>September!R54</f>
        <v/>
      </c>
      <c r="S54" s="85"/>
      <c r="T54" s="325" t="str">
        <f>IFERROR(VLOOKUP(S54, Tarieven!$A$2:$J$150, 10, FALSE), "0")</f>
        <v>0</v>
      </c>
      <c r="U54" s="77" t="str">
        <f>September!U54</f>
        <v/>
      </c>
      <c r="V54" s="85" t="str">
        <f>September!V54</f>
        <v/>
      </c>
      <c r="W54" s="325" t="str">
        <f>IFERROR(VLOOKUP(V54, Tarieven!$A$2:$J$150, 10, FALSE), "0")</f>
        <v>0</v>
      </c>
      <c r="X54" s="397">
        <f>Jaarbetalingen!AD54</f>
        <v>0</v>
      </c>
      <c r="Y54" s="398">
        <v>0.0</v>
      </c>
      <c r="Z54" s="329">
        <f t="shared" si="3"/>
        <v>0</v>
      </c>
      <c r="AA54" s="32">
        <f t="shared" si="4"/>
        <v>0</v>
      </c>
      <c r="AB54" s="32">
        <f t="shared" si="5"/>
        <v>0</v>
      </c>
      <c r="AC54" s="32">
        <f t="shared" si="6"/>
        <v>0</v>
      </c>
    </row>
    <row r="55" ht="22.5" customHeight="1">
      <c r="A55" s="331" t="str">
        <f>Rooster!A56</f>
        <v/>
      </c>
      <c r="B55" s="396" t="str">
        <f>Rooster!B56</f>
        <v/>
      </c>
      <c r="C55" s="15" t="str">
        <f>Rooster!C56</f>
        <v/>
      </c>
      <c r="D55" s="11" t="str">
        <f>Rooster!D56</f>
        <v/>
      </c>
      <c r="E55" s="77"/>
      <c r="F55" s="327" t="str">
        <f>Rooster!E56</f>
        <v/>
      </c>
      <c r="G55" s="319" t="str">
        <f>IFERROR(VLOOKUP(F55, Docenten!$A$2:$G$30, 7, FALSE), "0")</f>
        <v>0</v>
      </c>
      <c r="H55" s="320">
        <f t="shared" si="1"/>
        <v>0</v>
      </c>
      <c r="I55" s="327" t="str">
        <f>Rooster!H56</f>
        <v/>
      </c>
      <c r="J55" s="321" t="str">
        <f>IFERROR(VLOOKUP(I55, Locaties!$A$2:$G$15, 7, FALSE), "0")</f>
        <v>0</v>
      </c>
      <c r="K55" s="42">
        <f t="shared" si="2"/>
        <v>0</v>
      </c>
      <c r="L55" s="322" t="str">
        <f>September!L55</f>
        <v/>
      </c>
      <c r="M55" s="85"/>
      <c r="N55" s="42" t="str">
        <f>IFERROR(VLOOKUP(M55, Tarieven!$A$1:$J$150, 10, FALSE), "0")</f>
        <v>0</v>
      </c>
      <c r="O55" s="322" t="str">
        <f>September!O55</f>
        <v/>
      </c>
      <c r="P55" s="334"/>
      <c r="Q55" s="325" t="str">
        <f>IFERROR(VLOOKUP(P55, Tarieven!$A$2:$J$150, 10, FALSE), "0")</f>
        <v>0</v>
      </c>
      <c r="R55" s="138" t="str">
        <f>September!R55</f>
        <v/>
      </c>
      <c r="S55" s="85"/>
      <c r="T55" s="325" t="str">
        <f>IFERROR(VLOOKUP(S55, Tarieven!$A$2:$J$150, 10, FALSE), "0")</f>
        <v>0</v>
      </c>
      <c r="U55" s="77" t="str">
        <f>September!U55</f>
        <v/>
      </c>
      <c r="V55" s="85" t="str">
        <f>September!V55</f>
        <v/>
      </c>
      <c r="W55" s="325" t="str">
        <f>IFERROR(VLOOKUP(V55, Tarieven!$A$2:$J$150, 10, FALSE), "0")</f>
        <v>0</v>
      </c>
      <c r="X55" s="397">
        <f>Jaarbetalingen!AD55</f>
        <v>0</v>
      </c>
      <c r="Y55" s="398">
        <v>0.0</v>
      </c>
      <c r="Z55" s="329">
        <f t="shared" si="3"/>
        <v>0</v>
      </c>
      <c r="AA55" s="32">
        <f t="shared" si="4"/>
        <v>0</v>
      </c>
      <c r="AB55" s="32">
        <f t="shared" si="5"/>
        <v>0</v>
      </c>
      <c r="AC55" s="32">
        <f t="shared" si="6"/>
        <v>0</v>
      </c>
    </row>
    <row r="56" ht="22.5" customHeight="1">
      <c r="A56" s="331" t="str">
        <f>Rooster!A57</f>
        <v/>
      </c>
      <c r="B56" s="396" t="str">
        <f>Rooster!B57</f>
        <v/>
      </c>
      <c r="C56" s="15" t="str">
        <f>Rooster!C57</f>
        <v/>
      </c>
      <c r="D56" s="11" t="str">
        <f>Rooster!D57</f>
        <v/>
      </c>
      <c r="E56" s="77"/>
      <c r="F56" s="327" t="str">
        <f>Rooster!E57</f>
        <v/>
      </c>
      <c r="G56" s="319" t="str">
        <f>IFERROR(VLOOKUP(F56, Docenten!$A$2:$G$30, 7, FALSE), "0")</f>
        <v>0</v>
      </c>
      <c r="H56" s="320">
        <f t="shared" si="1"/>
        <v>0</v>
      </c>
      <c r="I56" s="327" t="str">
        <f>Rooster!H57</f>
        <v/>
      </c>
      <c r="J56" s="321" t="str">
        <f>IFERROR(VLOOKUP(I56, Locaties!$A$2:$G$15, 7, FALSE), "0")</f>
        <v>0</v>
      </c>
      <c r="K56" s="42">
        <f t="shared" si="2"/>
        <v>0</v>
      </c>
      <c r="L56" s="322" t="str">
        <f>September!L56</f>
        <v/>
      </c>
      <c r="M56" s="85"/>
      <c r="N56" s="42" t="str">
        <f>IFERROR(VLOOKUP(M56, Tarieven!$A$1:$J$150, 10, FALSE), "0")</f>
        <v>0</v>
      </c>
      <c r="O56" s="322" t="str">
        <f>September!O56</f>
        <v/>
      </c>
      <c r="P56" s="334"/>
      <c r="Q56" s="325" t="str">
        <f>IFERROR(VLOOKUP(P56, Tarieven!$A$2:$J$150, 10, FALSE), "0")</f>
        <v>0</v>
      </c>
      <c r="R56" s="138" t="str">
        <f>September!R56</f>
        <v/>
      </c>
      <c r="S56" s="85"/>
      <c r="T56" s="325" t="str">
        <f>IFERROR(VLOOKUP(S56, Tarieven!$A$2:$J$150, 10, FALSE), "0")</f>
        <v>0</v>
      </c>
      <c r="U56" s="77" t="str">
        <f>September!U56</f>
        <v/>
      </c>
      <c r="V56" s="85" t="str">
        <f>September!V56</f>
        <v/>
      </c>
      <c r="W56" s="325" t="str">
        <f>IFERROR(VLOOKUP(V56, Tarieven!$A$2:$J$150, 10, FALSE), "0")</f>
        <v>0</v>
      </c>
      <c r="X56" s="397">
        <f>Jaarbetalingen!AD56</f>
        <v>0</v>
      </c>
      <c r="Y56" s="398">
        <v>0.0</v>
      </c>
      <c r="Z56" s="329">
        <f t="shared" si="3"/>
        <v>0</v>
      </c>
      <c r="AA56" s="32">
        <f t="shared" si="4"/>
        <v>0</v>
      </c>
      <c r="AB56" s="32">
        <f t="shared" si="5"/>
        <v>0</v>
      </c>
      <c r="AC56" s="32">
        <f t="shared" si="6"/>
        <v>0</v>
      </c>
    </row>
    <row r="57" ht="22.5" customHeight="1">
      <c r="A57" s="331" t="str">
        <f>Rooster!A58</f>
        <v/>
      </c>
      <c r="B57" s="396" t="str">
        <f>Rooster!B58</f>
        <v/>
      </c>
      <c r="C57" s="15" t="str">
        <f>Rooster!C58</f>
        <v/>
      </c>
      <c r="D57" s="11" t="str">
        <f>Rooster!D58</f>
        <v/>
      </c>
      <c r="E57" s="77"/>
      <c r="F57" s="327" t="str">
        <f>Rooster!E58</f>
        <v/>
      </c>
      <c r="G57" s="319" t="str">
        <f>IFERROR(VLOOKUP(F57, Docenten!$A$2:$G$30, 7, FALSE), "0")</f>
        <v>0</v>
      </c>
      <c r="H57" s="320">
        <f t="shared" si="1"/>
        <v>0</v>
      </c>
      <c r="I57" s="327" t="str">
        <f>Rooster!H58</f>
        <v/>
      </c>
      <c r="J57" s="321" t="str">
        <f>IFERROR(VLOOKUP(I57, Locaties!$A$2:$G$15, 7, FALSE), "0")</f>
        <v>0</v>
      </c>
      <c r="K57" s="42">
        <f t="shared" si="2"/>
        <v>0</v>
      </c>
      <c r="L57" s="322" t="str">
        <f>September!L57</f>
        <v/>
      </c>
      <c r="M57" s="85"/>
      <c r="N57" s="42" t="str">
        <f>IFERROR(VLOOKUP(M57, Tarieven!$A$1:$J$150, 10, FALSE), "0")</f>
        <v>0</v>
      </c>
      <c r="O57" s="322" t="str">
        <f>September!O57</f>
        <v/>
      </c>
      <c r="P57" s="334"/>
      <c r="Q57" s="325" t="str">
        <f>IFERROR(VLOOKUP(P57, Tarieven!$A$2:$J$150, 10, FALSE), "0")</f>
        <v>0</v>
      </c>
      <c r="R57" s="138" t="str">
        <f>September!R57</f>
        <v/>
      </c>
      <c r="S57" s="85"/>
      <c r="T57" s="325" t="str">
        <f>IFERROR(VLOOKUP(S57, Tarieven!$A$2:$J$150, 10, FALSE), "0")</f>
        <v>0</v>
      </c>
      <c r="U57" s="77" t="str">
        <f>September!U57</f>
        <v/>
      </c>
      <c r="V57" s="85" t="str">
        <f>September!V57</f>
        <v/>
      </c>
      <c r="W57" s="325" t="str">
        <f>IFERROR(VLOOKUP(V57, Tarieven!$A$2:$J$150, 10, FALSE), "0")</f>
        <v>0</v>
      </c>
      <c r="X57" s="397">
        <f>Jaarbetalingen!AD57</f>
        <v>0</v>
      </c>
      <c r="Y57" s="398">
        <v>0.0</v>
      </c>
      <c r="Z57" s="329">
        <f t="shared" si="3"/>
        <v>0</v>
      </c>
      <c r="AA57" s="32">
        <f t="shared" si="4"/>
        <v>0</v>
      </c>
      <c r="AB57" s="32">
        <f t="shared" si="5"/>
        <v>0</v>
      </c>
      <c r="AC57" s="32">
        <f t="shared" si="6"/>
        <v>0</v>
      </c>
    </row>
    <row r="58" ht="22.5" customHeight="1">
      <c r="A58" s="331" t="str">
        <f>Rooster!A59</f>
        <v/>
      </c>
      <c r="B58" s="396" t="str">
        <f>Rooster!B59</f>
        <v/>
      </c>
      <c r="C58" s="15" t="str">
        <f>Rooster!C59</f>
        <v/>
      </c>
      <c r="D58" s="11" t="str">
        <f>Rooster!D59</f>
        <v/>
      </c>
      <c r="E58" s="77"/>
      <c r="F58" s="327" t="str">
        <f>Rooster!E59</f>
        <v/>
      </c>
      <c r="G58" s="319" t="str">
        <f>IFERROR(VLOOKUP(F58, Docenten!$A$2:$G$30, 7, FALSE), "0")</f>
        <v>0</v>
      </c>
      <c r="H58" s="320">
        <f t="shared" si="1"/>
        <v>0</v>
      </c>
      <c r="I58" s="327" t="str">
        <f>Rooster!H59</f>
        <v/>
      </c>
      <c r="J58" s="321" t="str">
        <f>IFERROR(VLOOKUP(I58, Locaties!$A$2:$G$15, 7, FALSE), "0")</f>
        <v>0</v>
      </c>
      <c r="K58" s="42">
        <f t="shared" si="2"/>
        <v>0</v>
      </c>
      <c r="L58" s="322" t="str">
        <f>September!L58</f>
        <v/>
      </c>
      <c r="M58" s="85"/>
      <c r="N58" s="42" t="str">
        <f>IFERROR(VLOOKUP(M58, Tarieven!$A$1:$J$150, 10, FALSE), "0")</f>
        <v>0</v>
      </c>
      <c r="O58" s="322" t="str">
        <f>September!O58</f>
        <v/>
      </c>
      <c r="P58" s="334"/>
      <c r="Q58" s="325" t="str">
        <f>IFERROR(VLOOKUP(P58, Tarieven!$A$2:$J$150, 10, FALSE), "0")</f>
        <v>0</v>
      </c>
      <c r="R58" s="138" t="str">
        <f>September!R58</f>
        <v/>
      </c>
      <c r="S58" s="85"/>
      <c r="T58" s="325" t="str">
        <f>IFERROR(VLOOKUP(S58, Tarieven!$A$2:$J$150, 10, FALSE), "0")</f>
        <v>0</v>
      </c>
      <c r="U58" s="77" t="str">
        <f>September!U58</f>
        <v/>
      </c>
      <c r="V58" s="85" t="str">
        <f>September!V58</f>
        <v/>
      </c>
      <c r="W58" s="325" t="str">
        <f>IFERROR(VLOOKUP(V58, Tarieven!$A$2:$J$150, 10, FALSE), "0")</f>
        <v>0</v>
      </c>
      <c r="X58" s="397">
        <f>Jaarbetalingen!AD58</f>
        <v>0</v>
      </c>
      <c r="Y58" s="398">
        <v>0.0</v>
      </c>
      <c r="Z58" s="329">
        <f t="shared" si="3"/>
        <v>0</v>
      </c>
      <c r="AA58" s="32">
        <f t="shared" si="4"/>
        <v>0</v>
      </c>
      <c r="AB58" s="32">
        <f t="shared" si="5"/>
        <v>0</v>
      </c>
      <c r="AC58" s="32">
        <f t="shared" si="6"/>
        <v>0</v>
      </c>
    </row>
    <row r="59" ht="22.5" customHeight="1">
      <c r="A59" s="331" t="str">
        <f>Rooster!A60</f>
        <v/>
      </c>
      <c r="B59" s="396" t="str">
        <f>Rooster!B60</f>
        <v/>
      </c>
      <c r="C59" s="15" t="str">
        <f>Rooster!C60</f>
        <v/>
      </c>
      <c r="D59" s="11" t="str">
        <f>Rooster!D60</f>
        <v/>
      </c>
      <c r="E59" s="77"/>
      <c r="F59" s="327" t="str">
        <f>Rooster!E60</f>
        <v/>
      </c>
      <c r="G59" s="319" t="str">
        <f>IFERROR(VLOOKUP(F59, Docenten!$A$2:$G$30, 7, FALSE), "0")</f>
        <v>0</v>
      </c>
      <c r="H59" s="320">
        <f t="shared" si="1"/>
        <v>0</v>
      </c>
      <c r="I59" s="327" t="str">
        <f>Rooster!H60</f>
        <v/>
      </c>
      <c r="J59" s="321" t="str">
        <f>IFERROR(VLOOKUP(I59, Locaties!$A$2:$G$15, 7, FALSE), "0")</f>
        <v>0</v>
      </c>
      <c r="K59" s="42">
        <f t="shared" si="2"/>
        <v>0</v>
      </c>
      <c r="L59" s="322" t="str">
        <f>September!L59</f>
        <v/>
      </c>
      <c r="M59" s="85"/>
      <c r="N59" s="42" t="str">
        <f>IFERROR(VLOOKUP(M59, Tarieven!$A$1:$J$150, 10, FALSE), "0")</f>
        <v>0</v>
      </c>
      <c r="O59" s="322" t="str">
        <f>September!O59</f>
        <v/>
      </c>
      <c r="P59" s="334"/>
      <c r="Q59" s="325" t="str">
        <f>IFERROR(VLOOKUP(P59, Tarieven!$A$2:$J$150, 10, FALSE), "0")</f>
        <v>0</v>
      </c>
      <c r="R59" s="138" t="str">
        <f>September!R59</f>
        <v/>
      </c>
      <c r="S59" s="85"/>
      <c r="T59" s="325" t="str">
        <f>IFERROR(VLOOKUP(S59, Tarieven!$A$2:$J$150, 10, FALSE), "0")</f>
        <v>0</v>
      </c>
      <c r="U59" s="77" t="str">
        <f>September!U59</f>
        <v/>
      </c>
      <c r="V59" s="85" t="str">
        <f>September!V59</f>
        <v/>
      </c>
      <c r="W59" s="325" t="str">
        <f>IFERROR(VLOOKUP(V59, Tarieven!$A$2:$J$150, 10, FALSE), "0")</f>
        <v>0</v>
      </c>
      <c r="X59" s="397">
        <f>Jaarbetalingen!AD59</f>
        <v>0</v>
      </c>
      <c r="Y59" s="398">
        <v>0.0</v>
      </c>
      <c r="Z59" s="329">
        <f t="shared" si="3"/>
        <v>0</v>
      </c>
      <c r="AA59" s="32">
        <f t="shared" si="4"/>
        <v>0</v>
      </c>
      <c r="AB59" s="32">
        <f t="shared" si="5"/>
        <v>0</v>
      </c>
      <c r="AC59" s="32">
        <f t="shared" si="6"/>
        <v>0</v>
      </c>
    </row>
    <row r="60" ht="22.5" customHeight="1">
      <c r="A60" s="331" t="str">
        <f>Rooster!A61</f>
        <v/>
      </c>
      <c r="B60" s="396" t="str">
        <f>Rooster!B61</f>
        <v/>
      </c>
      <c r="C60" s="15" t="str">
        <f>Rooster!C61</f>
        <v/>
      </c>
      <c r="D60" s="11" t="str">
        <f>Rooster!D61</f>
        <v/>
      </c>
      <c r="E60" s="77"/>
      <c r="F60" s="327" t="str">
        <f>Rooster!E61</f>
        <v/>
      </c>
      <c r="G60" s="319" t="str">
        <f>IFERROR(VLOOKUP(F60, Docenten!$A$2:$G$30, 7, FALSE), "0")</f>
        <v>0</v>
      </c>
      <c r="H60" s="320">
        <f t="shared" si="1"/>
        <v>0</v>
      </c>
      <c r="I60" s="327" t="str">
        <f>Rooster!H61</f>
        <v/>
      </c>
      <c r="J60" s="321" t="str">
        <f>IFERROR(VLOOKUP(I60, Locaties!$A$2:$G$15, 7, FALSE), "0")</f>
        <v>0</v>
      </c>
      <c r="K60" s="42">
        <f t="shared" si="2"/>
        <v>0</v>
      </c>
      <c r="L60" s="322" t="str">
        <f>September!L60</f>
        <v/>
      </c>
      <c r="M60" s="85"/>
      <c r="N60" s="42" t="str">
        <f>IFERROR(VLOOKUP(M60, Tarieven!$A$1:$J$150, 10, FALSE), "0")</f>
        <v>0</v>
      </c>
      <c r="O60" s="322" t="str">
        <f>September!O60</f>
        <v/>
      </c>
      <c r="P60" s="334"/>
      <c r="Q60" s="325" t="str">
        <f>IFERROR(VLOOKUP(P60, Tarieven!$A$2:$J$150, 10, FALSE), "0")</f>
        <v>0</v>
      </c>
      <c r="R60" s="138" t="str">
        <f>September!R60</f>
        <v/>
      </c>
      <c r="S60" s="85"/>
      <c r="T60" s="325" t="str">
        <f>IFERROR(VLOOKUP(S60, Tarieven!$A$2:$J$150, 10, FALSE), "0")</f>
        <v>0</v>
      </c>
      <c r="U60" s="77" t="str">
        <f>September!U60</f>
        <v/>
      </c>
      <c r="V60" s="85" t="str">
        <f>September!V60</f>
        <v/>
      </c>
      <c r="W60" s="325" t="str">
        <f>IFERROR(VLOOKUP(V60, Tarieven!$A$2:$J$150, 10, FALSE), "0")</f>
        <v>0</v>
      </c>
      <c r="X60" s="397">
        <f>Jaarbetalingen!AD60</f>
        <v>0</v>
      </c>
      <c r="Y60" s="398">
        <v>0.0</v>
      </c>
      <c r="Z60" s="329">
        <f t="shared" si="3"/>
        <v>0</v>
      </c>
      <c r="AA60" s="32">
        <f t="shared" si="4"/>
        <v>0</v>
      </c>
      <c r="AB60" s="32">
        <f t="shared" si="5"/>
        <v>0</v>
      </c>
      <c r="AC60" s="32">
        <f t="shared" si="6"/>
        <v>0</v>
      </c>
    </row>
    <row r="61" ht="22.5" customHeight="1">
      <c r="A61" s="331" t="str">
        <f>Rooster!A62</f>
        <v/>
      </c>
      <c r="B61" s="396" t="str">
        <f>Rooster!B62</f>
        <v/>
      </c>
      <c r="C61" s="15" t="str">
        <f>Rooster!C62</f>
        <v/>
      </c>
      <c r="D61" s="11" t="str">
        <f>Rooster!D62</f>
        <v/>
      </c>
      <c r="E61" s="77"/>
      <c r="F61" s="327" t="str">
        <f>Rooster!E62</f>
        <v/>
      </c>
      <c r="G61" s="319" t="str">
        <f>IFERROR(VLOOKUP(F61, Docenten!$A$2:$G$30, 7, FALSE), "0")</f>
        <v>0</v>
      </c>
      <c r="H61" s="320">
        <f t="shared" si="1"/>
        <v>0</v>
      </c>
      <c r="I61" s="327" t="str">
        <f>Rooster!H62</f>
        <v/>
      </c>
      <c r="J61" s="321" t="str">
        <f>IFERROR(VLOOKUP(I61, Locaties!$A$2:$G$15, 7, FALSE), "0")</f>
        <v>0</v>
      </c>
      <c r="K61" s="42">
        <f t="shared" si="2"/>
        <v>0</v>
      </c>
      <c r="L61" s="322" t="str">
        <f>September!L61</f>
        <v/>
      </c>
      <c r="M61" s="85"/>
      <c r="N61" s="42" t="str">
        <f>IFERROR(VLOOKUP(M61, Tarieven!$A$1:$J$150, 10, FALSE), "0")</f>
        <v>0</v>
      </c>
      <c r="O61" s="322" t="str">
        <f>September!O61</f>
        <v/>
      </c>
      <c r="P61" s="334"/>
      <c r="Q61" s="325" t="str">
        <f>IFERROR(VLOOKUP(P61, Tarieven!$A$2:$J$150, 10, FALSE), "0")</f>
        <v>0</v>
      </c>
      <c r="R61" s="138" t="str">
        <f>September!R61</f>
        <v/>
      </c>
      <c r="S61" s="85"/>
      <c r="T61" s="325" t="str">
        <f>IFERROR(VLOOKUP(S61, Tarieven!$A$2:$J$150, 10, FALSE), "0")</f>
        <v>0</v>
      </c>
      <c r="U61" s="77" t="str">
        <f>September!U61</f>
        <v/>
      </c>
      <c r="V61" s="85" t="str">
        <f>September!V61</f>
        <v/>
      </c>
      <c r="W61" s="325" t="str">
        <f>IFERROR(VLOOKUP(V61, Tarieven!$A$2:$J$150, 10, FALSE), "0")</f>
        <v>0</v>
      </c>
      <c r="X61" s="397">
        <f>Jaarbetalingen!AD61</f>
        <v>0</v>
      </c>
      <c r="Y61" s="398">
        <v>0.0</v>
      </c>
      <c r="Z61" s="329">
        <f t="shared" si="3"/>
        <v>0</v>
      </c>
      <c r="AA61" s="32">
        <f t="shared" si="4"/>
        <v>0</v>
      </c>
      <c r="AB61" s="32">
        <f t="shared" si="5"/>
        <v>0</v>
      </c>
      <c r="AC61" s="32">
        <f t="shared" si="6"/>
        <v>0</v>
      </c>
    </row>
    <row r="62" ht="22.5" customHeight="1">
      <c r="A62" s="331" t="str">
        <f>Rooster!A63</f>
        <v/>
      </c>
      <c r="B62" s="396" t="str">
        <f>Rooster!B63</f>
        <v/>
      </c>
      <c r="C62" s="15" t="str">
        <f>Rooster!C63</f>
        <v/>
      </c>
      <c r="D62" s="11" t="str">
        <f>Rooster!D63</f>
        <v/>
      </c>
      <c r="E62" s="77"/>
      <c r="F62" s="327" t="str">
        <f>Rooster!E63</f>
        <v/>
      </c>
      <c r="G62" s="319" t="str">
        <f>IFERROR(VLOOKUP(F62, Docenten!$A$2:$G$30, 7, FALSE), "0")</f>
        <v>0</v>
      </c>
      <c r="H62" s="320">
        <f t="shared" si="1"/>
        <v>0</v>
      </c>
      <c r="I62" s="327" t="str">
        <f>Rooster!H63</f>
        <v/>
      </c>
      <c r="J62" s="321" t="str">
        <f>IFERROR(VLOOKUP(I62, Locaties!$A$2:$G$15, 7, FALSE), "0")</f>
        <v>0</v>
      </c>
      <c r="K62" s="42">
        <f t="shared" si="2"/>
        <v>0</v>
      </c>
      <c r="L62" s="322" t="str">
        <f>September!L62</f>
        <v/>
      </c>
      <c r="M62" s="85"/>
      <c r="N62" s="42" t="str">
        <f>IFERROR(VLOOKUP(M62, Tarieven!$A$1:$J$150, 10, FALSE), "0")</f>
        <v>0</v>
      </c>
      <c r="O62" s="322" t="str">
        <f>September!O62</f>
        <v/>
      </c>
      <c r="P62" s="334"/>
      <c r="Q62" s="325" t="str">
        <f>IFERROR(VLOOKUP(P62, Tarieven!$A$2:$J$150, 10, FALSE), "0")</f>
        <v>0</v>
      </c>
      <c r="R62" s="138" t="str">
        <f>September!R62</f>
        <v/>
      </c>
      <c r="S62" s="85"/>
      <c r="T62" s="325" t="str">
        <f>IFERROR(VLOOKUP(S62, Tarieven!$A$2:$J$150, 10, FALSE), "0")</f>
        <v>0</v>
      </c>
      <c r="U62" s="77" t="str">
        <f>September!U62</f>
        <v/>
      </c>
      <c r="V62" s="85" t="str">
        <f>September!V62</f>
        <v/>
      </c>
      <c r="W62" s="325" t="str">
        <f>IFERROR(VLOOKUP(V62, Tarieven!$A$2:$J$150, 10, FALSE), "0")</f>
        <v>0</v>
      </c>
      <c r="X62" s="397">
        <f>Jaarbetalingen!AD62</f>
        <v>0</v>
      </c>
      <c r="Y62" s="398">
        <v>0.0</v>
      </c>
      <c r="Z62" s="329">
        <f t="shared" si="3"/>
        <v>0</v>
      </c>
      <c r="AA62" s="32">
        <f t="shared" si="4"/>
        <v>0</v>
      </c>
      <c r="AB62" s="32">
        <f t="shared" si="5"/>
        <v>0</v>
      </c>
      <c r="AC62" s="32">
        <f t="shared" si="6"/>
        <v>0</v>
      </c>
    </row>
    <row r="63" ht="22.5" customHeight="1">
      <c r="A63" s="331" t="str">
        <f>Rooster!A64</f>
        <v/>
      </c>
      <c r="B63" s="396" t="str">
        <f>Rooster!B64</f>
        <v/>
      </c>
      <c r="C63" s="15" t="str">
        <f>Rooster!C64</f>
        <v/>
      </c>
      <c r="D63" s="11" t="str">
        <f>Rooster!D64</f>
        <v/>
      </c>
      <c r="E63" s="77"/>
      <c r="F63" s="327" t="str">
        <f>Rooster!E64</f>
        <v/>
      </c>
      <c r="G63" s="319" t="str">
        <f>IFERROR(VLOOKUP(F63, Docenten!$A$2:$G$30, 7, FALSE), "0")</f>
        <v>0</v>
      </c>
      <c r="H63" s="320">
        <f t="shared" si="1"/>
        <v>0</v>
      </c>
      <c r="I63" s="327" t="str">
        <f>Rooster!H64</f>
        <v/>
      </c>
      <c r="J63" s="321" t="str">
        <f>IFERROR(VLOOKUP(I63, Locaties!$A$2:$G$15, 7, FALSE), "0")</f>
        <v>0</v>
      </c>
      <c r="K63" s="42">
        <f t="shared" si="2"/>
        <v>0</v>
      </c>
      <c r="L63" s="322" t="str">
        <f>September!L63</f>
        <v/>
      </c>
      <c r="M63" s="85"/>
      <c r="N63" s="42" t="str">
        <f>IFERROR(VLOOKUP(M63, Tarieven!$A$1:$J$150, 10, FALSE), "0")</f>
        <v>0</v>
      </c>
      <c r="O63" s="322" t="str">
        <f>September!O63</f>
        <v/>
      </c>
      <c r="P63" s="334"/>
      <c r="Q63" s="325" t="str">
        <f>IFERROR(VLOOKUP(P63, Tarieven!$A$2:$J$150, 10, FALSE), "0")</f>
        <v>0</v>
      </c>
      <c r="R63" s="138" t="str">
        <f>September!R63</f>
        <v/>
      </c>
      <c r="S63" s="85"/>
      <c r="T63" s="325" t="str">
        <f>IFERROR(VLOOKUP(S63, Tarieven!$A$2:$J$150, 10, FALSE), "0")</f>
        <v>0</v>
      </c>
      <c r="U63" s="77" t="str">
        <f>September!U63</f>
        <v/>
      </c>
      <c r="V63" s="85" t="str">
        <f>September!V63</f>
        <v/>
      </c>
      <c r="W63" s="325" t="str">
        <f>IFERROR(VLOOKUP(V63, Tarieven!$A$2:$J$150, 10, FALSE), "0")</f>
        <v>0</v>
      </c>
      <c r="X63" s="397">
        <f>Jaarbetalingen!AD63</f>
        <v>0</v>
      </c>
      <c r="Y63" s="398">
        <v>0.0</v>
      </c>
      <c r="Z63" s="329">
        <f t="shared" si="3"/>
        <v>0</v>
      </c>
      <c r="AA63" s="32">
        <f t="shared" si="4"/>
        <v>0</v>
      </c>
      <c r="AB63" s="32">
        <f t="shared" si="5"/>
        <v>0</v>
      </c>
      <c r="AC63" s="32">
        <f t="shared" si="6"/>
        <v>0</v>
      </c>
    </row>
    <row r="64" ht="22.5" customHeight="1">
      <c r="A64" s="331" t="str">
        <f>Rooster!A65</f>
        <v/>
      </c>
      <c r="B64" s="396" t="str">
        <f>Rooster!B65</f>
        <v/>
      </c>
      <c r="C64" s="15" t="str">
        <f>Rooster!C65</f>
        <v/>
      </c>
      <c r="D64" s="11" t="str">
        <f>Rooster!D65</f>
        <v/>
      </c>
      <c r="E64" s="77"/>
      <c r="F64" s="327" t="str">
        <f>Rooster!E65</f>
        <v/>
      </c>
      <c r="G64" s="319" t="str">
        <f>IFERROR(VLOOKUP(F64, Docenten!$A$2:$G$30, 7, FALSE), "0")</f>
        <v>0</v>
      </c>
      <c r="H64" s="320">
        <f t="shared" si="1"/>
        <v>0</v>
      </c>
      <c r="I64" s="327" t="str">
        <f>Rooster!H65</f>
        <v/>
      </c>
      <c r="J64" s="321" t="str">
        <f>IFERROR(VLOOKUP(I64, Locaties!$A$2:$G$15, 7, FALSE), "0")</f>
        <v>0</v>
      </c>
      <c r="K64" s="42">
        <f t="shared" si="2"/>
        <v>0</v>
      </c>
      <c r="L64" s="322" t="str">
        <f>September!L64</f>
        <v/>
      </c>
      <c r="M64" s="85"/>
      <c r="N64" s="42" t="str">
        <f>IFERROR(VLOOKUP(M64, Tarieven!$A$1:$J$150, 10, FALSE), "0")</f>
        <v>0</v>
      </c>
      <c r="O64" s="322" t="str">
        <f>September!O64</f>
        <v/>
      </c>
      <c r="P64" s="334"/>
      <c r="Q64" s="325" t="str">
        <f>IFERROR(VLOOKUP(P64, Tarieven!$A$2:$J$150, 10, FALSE), "0")</f>
        <v>0</v>
      </c>
      <c r="R64" s="138" t="str">
        <f>September!R64</f>
        <v/>
      </c>
      <c r="S64" s="85"/>
      <c r="T64" s="325" t="str">
        <f>IFERROR(VLOOKUP(S64, Tarieven!$A$2:$J$150, 10, FALSE), "0")</f>
        <v>0</v>
      </c>
      <c r="U64" s="77" t="str">
        <f>September!U64</f>
        <v/>
      </c>
      <c r="V64" s="85" t="str">
        <f>September!V64</f>
        <v/>
      </c>
      <c r="W64" s="325" t="str">
        <f>IFERROR(VLOOKUP(V64, Tarieven!$A$2:$J$150, 10, FALSE), "0")</f>
        <v>0</v>
      </c>
      <c r="X64" s="397">
        <f>Jaarbetalingen!AD64</f>
        <v>0</v>
      </c>
      <c r="Y64" s="398">
        <v>0.0</v>
      </c>
      <c r="Z64" s="329">
        <f t="shared" si="3"/>
        <v>0</v>
      </c>
      <c r="AA64" s="32">
        <f t="shared" si="4"/>
        <v>0</v>
      </c>
      <c r="AB64" s="32">
        <f t="shared" si="5"/>
        <v>0</v>
      </c>
      <c r="AC64" s="32">
        <f t="shared" si="6"/>
        <v>0</v>
      </c>
    </row>
    <row r="65" ht="22.5" customHeight="1">
      <c r="A65" s="331" t="str">
        <f>Rooster!A66</f>
        <v/>
      </c>
      <c r="B65" s="396" t="str">
        <f>Rooster!B66</f>
        <v/>
      </c>
      <c r="C65" s="15" t="str">
        <f>Rooster!C66</f>
        <v/>
      </c>
      <c r="D65" s="11" t="str">
        <f>Rooster!D66</f>
        <v/>
      </c>
      <c r="E65" s="77"/>
      <c r="F65" s="327" t="str">
        <f>Rooster!E66</f>
        <v/>
      </c>
      <c r="G65" s="319" t="str">
        <f>IFERROR(VLOOKUP(F65, Docenten!$A$2:$G$30, 7, FALSE), "0")</f>
        <v>0</v>
      </c>
      <c r="H65" s="320">
        <f t="shared" si="1"/>
        <v>0</v>
      </c>
      <c r="I65" s="327" t="str">
        <f>Rooster!H66</f>
        <v/>
      </c>
      <c r="J65" s="321" t="str">
        <f>IFERROR(VLOOKUP(I65, Locaties!$A$2:$G$15, 7, FALSE), "0")</f>
        <v>0</v>
      </c>
      <c r="K65" s="42">
        <f t="shared" si="2"/>
        <v>0</v>
      </c>
      <c r="L65" s="322" t="str">
        <f>September!L65</f>
        <v/>
      </c>
      <c r="M65" s="85"/>
      <c r="N65" s="42" t="str">
        <f>IFERROR(VLOOKUP(M65, Tarieven!$A$1:$J$150, 10, FALSE), "0")</f>
        <v>0</v>
      </c>
      <c r="O65" s="322" t="str">
        <f>September!O65</f>
        <v/>
      </c>
      <c r="P65" s="334"/>
      <c r="Q65" s="325" t="str">
        <f>IFERROR(VLOOKUP(P65, Tarieven!$A$2:$J$150, 10, FALSE), "0")</f>
        <v>0</v>
      </c>
      <c r="R65" s="138" t="str">
        <f>September!R65</f>
        <v/>
      </c>
      <c r="S65" s="85"/>
      <c r="T65" s="325" t="str">
        <f>IFERROR(VLOOKUP(S65, Tarieven!$A$2:$J$150, 10, FALSE), "0")</f>
        <v>0</v>
      </c>
      <c r="U65" s="77" t="str">
        <f>September!U65</f>
        <v/>
      </c>
      <c r="V65" s="85" t="str">
        <f>September!V65</f>
        <v/>
      </c>
      <c r="W65" s="325" t="str">
        <f>IFERROR(VLOOKUP(V65, Tarieven!$A$2:$J$150, 10, FALSE), "0")</f>
        <v>0</v>
      </c>
      <c r="X65" s="397">
        <f>Jaarbetalingen!AD65</f>
        <v>0</v>
      </c>
      <c r="Y65" s="398">
        <v>0.0</v>
      </c>
      <c r="Z65" s="329">
        <f t="shared" si="3"/>
        <v>0</v>
      </c>
      <c r="AA65" s="32">
        <f t="shared" si="4"/>
        <v>0</v>
      </c>
      <c r="AB65" s="32">
        <f t="shared" si="5"/>
        <v>0</v>
      </c>
      <c r="AC65" s="32">
        <f t="shared" si="6"/>
        <v>0</v>
      </c>
    </row>
    <row r="66" ht="22.5" customHeight="1">
      <c r="A66" s="331" t="str">
        <f>Rooster!A67</f>
        <v/>
      </c>
      <c r="B66" s="396" t="str">
        <f>Rooster!B67</f>
        <v/>
      </c>
      <c r="C66" s="15" t="str">
        <f>Rooster!C67</f>
        <v/>
      </c>
      <c r="D66" s="11" t="str">
        <f>Rooster!D67</f>
        <v/>
      </c>
      <c r="E66" s="77"/>
      <c r="F66" s="327" t="str">
        <f>Rooster!E67</f>
        <v/>
      </c>
      <c r="G66" s="319" t="str">
        <f>IFERROR(VLOOKUP(F66, Docenten!$A$2:$G$30, 7, FALSE), "0")</f>
        <v>0</v>
      </c>
      <c r="H66" s="320">
        <f t="shared" si="1"/>
        <v>0</v>
      </c>
      <c r="I66" s="327" t="str">
        <f>Rooster!H67</f>
        <v/>
      </c>
      <c r="J66" s="321" t="str">
        <f>IFERROR(VLOOKUP(I66, Locaties!$A$2:$G$15, 7, FALSE), "0")</f>
        <v>0</v>
      </c>
      <c r="K66" s="42">
        <f t="shared" si="2"/>
        <v>0</v>
      </c>
      <c r="L66" s="322" t="str">
        <f>September!L66</f>
        <v/>
      </c>
      <c r="M66" s="85"/>
      <c r="N66" s="42" t="str">
        <f>IFERROR(VLOOKUP(M66, Tarieven!$A$1:$J$150, 10, FALSE), "0")</f>
        <v>0</v>
      </c>
      <c r="O66" s="322" t="str">
        <f>September!O66</f>
        <v/>
      </c>
      <c r="P66" s="334"/>
      <c r="Q66" s="325" t="str">
        <f>IFERROR(VLOOKUP(P66, Tarieven!$A$2:$J$150, 10, FALSE), "0")</f>
        <v>0</v>
      </c>
      <c r="R66" s="138" t="str">
        <f>September!R66</f>
        <v/>
      </c>
      <c r="S66" s="85"/>
      <c r="T66" s="325" t="str">
        <f>IFERROR(VLOOKUP(S66, Tarieven!$A$2:$J$150, 10, FALSE), "0")</f>
        <v>0</v>
      </c>
      <c r="U66" s="77" t="str">
        <f>September!U66</f>
        <v/>
      </c>
      <c r="V66" s="85" t="str">
        <f>September!V66</f>
        <v/>
      </c>
      <c r="W66" s="325" t="str">
        <f>IFERROR(VLOOKUP(V66, Tarieven!$A$2:$J$150, 10, FALSE), "0")</f>
        <v>0</v>
      </c>
      <c r="X66" s="397">
        <f>Jaarbetalingen!AD66</f>
        <v>0</v>
      </c>
      <c r="Y66" s="398">
        <v>0.0</v>
      </c>
      <c r="Z66" s="329">
        <f t="shared" si="3"/>
        <v>0</v>
      </c>
      <c r="AA66" s="32">
        <f t="shared" si="4"/>
        <v>0</v>
      </c>
      <c r="AB66" s="32">
        <f t="shared" si="5"/>
        <v>0</v>
      </c>
      <c r="AC66" s="32">
        <f t="shared" si="6"/>
        <v>0</v>
      </c>
    </row>
    <row r="67" ht="22.5" customHeight="1">
      <c r="A67" s="331" t="str">
        <f>Rooster!A68</f>
        <v/>
      </c>
      <c r="B67" s="396" t="str">
        <f>Rooster!B68</f>
        <v/>
      </c>
      <c r="C67" s="15" t="str">
        <f>Rooster!C68</f>
        <v/>
      </c>
      <c r="D67" s="11" t="str">
        <f>Rooster!D68</f>
        <v/>
      </c>
      <c r="E67" s="77"/>
      <c r="F67" s="327" t="str">
        <f>Rooster!E68</f>
        <v/>
      </c>
      <c r="G67" s="319" t="str">
        <f>IFERROR(VLOOKUP(F67, Docenten!$A$2:$G$30, 7, FALSE), "0")</f>
        <v>0</v>
      </c>
      <c r="H67" s="320">
        <f t="shared" si="1"/>
        <v>0</v>
      </c>
      <c r="I67" s="327" t="str">
        <f>Rooster!H68</f>
        <v/>
      </c>
      <c r="J67" s="321" t="str">
        <f>IFERROR(VLOOKUP(I67, Locaties!$A$2:$G$15, 7, FALSE), "0")</f>
        <v>0</v>
      </c>
      <c r="K67" s="42">
        <f t="shared" si="2"/>
        <v>0</v>
      </c>
      <c r="L67" s="322" t="str">
        <f>September!L67</f>
        <v/>
      </c>
      <c r="M67" s="85"/>
      <c r="N67" s="42" t="str">
        <f>IFERROR(VLOOKUP(M67, Tarieven!$A$1:$J$150, 10, FALSE), "0")</f>
        <v>0</v>
      </c>
      <c r="O67" s="322" t="str">
        <f>September!O67</f>
        <v/>
      </c>
      <c r="P67" s="334"/>
      <c r="Q67" s="325" t="str">
        <f>IFERROR(VLOOKUP(P67, Tarieven!$A$2:$J$150, 10, FALSE), "0")</f>
        <v>0</v>
      </c>
      <c r="R67" s="138" t="str">
        <f>September!R67</f>
        <v/>
      </c>
      <c r="S67" s="85"/>
      <c r="T67" s="325" t="str">
        <f>IFERROR(VLOOKUP(S67, Tarieven!$A$2:$J$150, 10, FALSE), "0")</f>
        <v>0</v>
      </c>
      <c r="U67" s="77" t="str">
        <f>September!U67</f>
        <v/>
      </c>
      <c r="V67" s="85" t="str">
        <f>September!V67</f>
        <v/>
      </c>
      <c r="W67" s="325" t="str">
        <f>IFERROR(VLOOKUP(V67, Tarieven!$A$2:$J$150, 10, FALSE), "0")</f>
        <v>0</v>
      </c>
      <c r="X67" s="397">
        <f>Jaarbetalingen!AD67</f>
        <v>0</v>
      </c>
      <c r="Y67" s="398">
        <v>0.0</v>
      </c>
      <c r="Z67" s="329">
        <f t="shared" si="3"/>
        <v>0</v>
      </c>
      <c r="AA67" s="32">
        <f t="shared" si="4"/>
        <v>0</v>
      </c>
      <c r="AB67" s="32">
        <f t="shared" si="5"/>
        <v>0</v>
      </c>
      <c r="AC67" s="32">
        <f t="shared" si="6"/>
        <v>0</v>
      </c>
    </row>
    <row r="68" ht="22.5" customHeight="1">
      <c r="A68" s="331" t="str">
        <f>Rooster!A69</f>
        <v/>
      </c>
      <c r="B68" s="396" t="str">
        <f>Rooster!B69</f>
        <v/>
      </c>
      <c r="C68" s="15" t="str">
        <f>Rooster!C69</f>
        <v/>
      </c>
      <c r="D68" s="11" t="str">
        <f>Rooster!D69</f>
        <v/>
      </c>
      <c r="E68" s="77"/>
      <c r="F68" s="327" t="str">
        <f>Rooster!E69</f>
        <v/>
      </c>
      <c r="G68" s="319" t="str">
        <f>IFERROR(VLOOKUP(F68, Docenten!$A$2:$G$30, 7, FALSE), "0")</f>
        <v>0</v>
      </c>
      <c r="H68" s="320">
        <f t="shared" si="1"/>
        <v>0</v>
      </c>
      <c r="I68" s="327" t="str">
        <f>Rooster!H69</f>
        <v/>
      </c>
      <c r="J68" s="321" t="str">
        <f>IFERROR(VLOOKUP(I68, Locaties!$A$2:$G$15, 7, FALSE), "0")</f>
        <v>0</v>
      </c>
      <c r="K68" s="42">
        <f t="shared" si="2"/>
        <v>0</v>
      </c>
      <c r="L68" s="322" t="str">
        <f>September!L68</f>
        <v/>
      </c>
      <c r="M68" s="85"/>
      <c r="N68" s="42" t="str">
        <f>IFERROR(VLOOKUP(M68, Tarieven!$A$1:$J$150, 10, FALSE), "0")</f>
        <v>0</v>
      </c>
      <c r="O68" s="322" t="str">
        <f>September!O68</f>
        <v/>
      </c>
      <c r="P68" s="334"/>
      <c r="Q68" s="325" t="str">
        <f>IFERROR(VLOOKUP(P68, Tarieven!$A$2:$J$150, 10, FALSE), "0")</f>
        <v>0</v>
      </c>
      <c r="R68" s="138" t="str">
        <f>September!R68</f>
        <v/>
      </c>
      <c r="S68" s="85"/>
      <c r="T68" s="325" t="str">
        <f>IFERROR(VLOOKUP(S68, Tarieven!$A$2:$J$150, 10, FALSE), "0")</f>
        <v>0</v>
      </c>
      <c r="U68" s="77" t="str">
        <f>September!U68</f>
        <v/>
      </c>
      <c r="V68" s="85" t="str">
        <f>September!V68</f>
        <v/>
      </c>
      <c r="W68" s="325" t="str">
        <f>IFERROR(VLOOKUP(V68, Tarieven!$A$2:$J$150, 10, FALSE), "0")</f>
        <v>0</v>
      </c>
      <c r="X68" s="397">
        <f>Jaarbetalingen!AD68</f>
        <v>0</v>
      </c>
      <c r="Y68" s="398">
        <v>0.0</v>
      </c>
      <c r="Z68" s="329">
        <f t="shared" si="3"/>
        <v>0</v>
      </c>
      <c r="AA68" s="32">
        <f t="shared" si="4"/>
        <v>0</v>
      </c>
      <c r="AB68" s="32">
        <f t="shared" si="5"/>
        <v>0</v>
      </c>
      <c r="AC68" s="32">
        <f t="shared" si="6"/>
        <v>0</v>
      </c>
    </row>
    <row r="69" ht="22.5" customHeight="1">
      <c r="A69" s="331" t="str">
        <f>Rooster!A70</f>
        <v/>
      </c>
      <c r="B69" s="396" t="str">
        <f>Rooster!B70</f>
        <v/>
      </c>
      <c r="C69" s="15" t="str">
        <f>Rooster!C70</f>
        <v/>
      </c>
      <c r="D69" s="11" t="str">
        <f>Rooster!D70</f>
        <v/>
      </c>
      <c r="E69" s="77"/>
      <c r="F69" s="327" t="str">
        <f>Rooster!E70</f>
        <v/>
      </c>
      <c r="G69" s="319" t="str">
        <f>IFERROR(VLOOKUP(F69, Docenten!$A$2:$G$30, 7, FALSE), "0")</f>
        <v>0</v>
      </c>
      <c r="H69" s="320">
        <f t="shared" si="1"/>
        <v>0</v>
      </c>
      <c r="I69" s="327" t="str">
        <f>Rooster!H70</f>
        <v/>
      </c>
      <c r="J69" s="321" t="str">
        <f>IFERROR(VLOOKUP(I69, Locaties!$A$2:$G$15, 7, FALSE), "0")</f>
        <v>0</v>
      </c>
      <c r="K69" s="42">
        <f t="shared" si="2"/>
        <v>0</v>
      </c>
      <c r="L69" s="322" t="str">
        <f>September!L69</f>
        <v/>
      </c>
      <c r="M69" s="85"/>
      <c r="N69" s="42" t="str">
        <f>IFERROR(VLOOKUP(M69, Tarieven!$A$1:$J$150, 10, FALSE), "0")</f>
        <v>0</v>
      </c>
      <c r="O69" s="322" t="str">
        <f>September!O69</f>
        <v/>
      </c>
      <c r="P69" s="334"/>
      <c r="Q69" s="325" t="str">
        <f>IFERROR(VLOOKUP(P69, Tarieven!$A$2:$J$150, 10, FALSE), "0")</f>
        <v>0</v>
      </c>
      <c r="R69" s="138" t="str">
        <f>September!R69</f>
        <v/>
      </c>
      <c r="S69" s="85"/>
      <c r="T69" s="325" t="str">
        <f>IFERROR(VLOOKUP(S69, Tarieven!$A$2:$J$150, 10, FALSE), "0")</f>
        <v>0</v>
      </c>
      <c r="U69" s="77" t="str">
        <f>September!U69</f>
        <v/>
      </c>
      <c r="V69" s="85" t="str">
        <f>September!V69</f>
        <v/>
      </c>
      <c r="W69" s="325" t="str">
        <f>IFERROR(VLOOKUP(V69, Tarieven!$A$2:$J$150, 10, FALSE), "0")</f>
        <v>0</v>
      </c>
      <c r="X69" s="397">
        <f>Jaarbetalingen!AD69</f>
        <v>0</v>
      </c>
      <c r="Y69" s="398">
        <v>0.0</v>
      </c>
      <c r="Z69" s="329">
        <f t="shared" si="3"/>
        <v>0</v>
      </c>
      <c r="AA69" s="32">
        <f t="shared" si="4"/>
        <v>0</v>
      </c>
      <c r="AB69" s="32">
        <f t="shared" si="5"/>
        <v>0</v>
      </c>
      <c r="AC69" s="32">
        <f t="shared" si="6"/>
        <v>0</v>
      </c>
    </row>
    <row r="70" ht="22.5" customHeight="1">
      <c r="A70" s="331" t="str">
        <f>Rooster!A71</f>
        <v/>
      </c>
      <c r="B70" s="396" t="str">
        <f>Rooster!B71</f>
        <v/>
      </c>
      <c r="C70" s="15" t="str">
        <f>Rooster!C71</f>
        <v/>
      </c>
      <c r="D70" s="11" t="str">
        <f>Rooster!D71</f>
        <v/>
      </c>
      <c r="E70" s="77"/>
      <c r="F70" s="327" t="str">
        <f>Rooster!E71</f>
        <v/>
      </c>
      <c r="G70" s="319" t="str">
        <f>IFERROR(VLOOKUP(F70, Docenten!$A$2:$G$30, 7, FALSE), "0")</f>
        <v>0</v>
      </c>
      <c r="H70" s="320">
        <f t="shared" si="1"/>
        <v>0</v>
      </c>
      <c r="I70" s="327" t="str">
        <f>Rooster!H71</f>
        <v/>
      </c>
      <c r="J70" s="321" t="str">
        <f>IFERROR(VLOOKUP(I70, Locaties!$A$2:$G$15, 7, FALSE), "0")</f>
        <v>0</v>
      </c>
      <c r="K70" s="42">
        <f t="shared" si="2"/>
        <v>0</v>
      </c>
      <c r="L70" s="322" t="str">
        <f>September!L70</f>
        <v/>
      </c>
      <c r="M70" s="85"/>
      <c r="N70" s="42" t="str">
        <f>IFERROR(VLOOKUP(M70, Tarieven!$A$1:$J$150, 10, FALSE), "0")</f>
        <v>0</v>
      </c>
      <c r="O70" s="322" t="str">
        <f>September!O70</f>
        <v/>
      </c>
      <c r="P70" s="334"/>
      <c r="Q70" s="325" t="str">
        <f>IFERROR(VLOOKUP(P70, Tarieven!$A$2:$J$150, 10, FALSE), "0")</f>
        <v>0</v>
      </c>
      <c r="R70" s="138" t="str">
        <f>September!R70</f>
        <v/>
      </c>
      <c r="S70" s="85"/>
      <c r="T70" s="325" t="str">
        <f>IFERROR(VLOOKUP(S70, Tarieven!$A$2:$J$150, 10, FALSE), "0")</f>
        <v>0</v>
      </c>
      <c r="U70" s="77" t="str">
        <f>September!U70</f>
        <v/>
      </c>
      <c r="V70" s="85" t="str">
        <f>September!V70</f>
        <v/>
      </c>
      <c r="W70" s="325" t="str">
        <f>IFERROR(VLOOKUP(V70, Tarieven!$A$2:$J$150, 10, FALSE), "0")</f>
        <v>0</v>
      </c>
      <c r="X70" s="397">
        <f>Jaarbetalingen!AD70</f>
        <v>0</v>
      </c>
      <c r="Y70" s="398">
        <v>0.0</v>
      </c>
      <c r="Z70" s="329">
        <f t="shared" si="3"/>
        <v>0</v>
      </c>
      <c r="AA70" s="32">
        <f t="shared" si="4"/>
        <v>0</v>
      </c>
      <c r="AB70" s="32">
        <f t="shared" si="5"/>
        <v>0</v>
      </c>
      <c r="AC70" s="32">
        <f t="shared" si="6"/>
        <v>0</v>
      </c>
    </row>
    <row r="71" ht="22.5" customHeight="1">
      <c r="A71" s="331" t="str">
        <f>Rooster!A72</f>
        <v/>
      </c>
      <c r="B71" s="396" t="str">
        <f>Rooster!B72</f>
        <v/>
      </c>
      <c r="C71" s="15" t="str">
        <f>Rooster!C72</f>
        <v/>
      </c>
      <c r="D71" s="11" t="str">
        <f>Rooster!D72</f>
        <v/>
      </c>
      <c r="E71" s="77"/>
      <c r="F71" s="327" t="str">
        <f>Rooster!E72</f>
        <v/>
      </c>
      <c r="G71" s="319" t="str">
        <f>IFERROR(VLOOKUP(F71, Docenten!$A$2:$G$30, 7, FALSE), "0")</f>
        <v>0</v>
      </c>
      <c r="H71" s="320">
        <f t="shared" si="1"/>
        <v>0</v>
      </c>
      <c r="I71" s="327" t="str">
        <f>Rooster!H72</f>
        <v/>
      </c>
      <c r="J71" s="321" t="str">
        <f>IFERROR(VLOOKUP(I71, Locaties!$A$2:$G$15, 7, FALSE), "0")</f>
        <v>0</v>
      </c>
      <c r="K71" s="42">
        <f t="shared" si="2"/>
        <v>0</v>
      </c>
      <c r="L71" s="322" t="str">
        <f>September!L71</f>
        <v/>
      </c>
      <c r="M71" s="85"/>
      <c r="N71" s="42" t="str">
        <f>IFERROR(VLOOKUP(M71, Tarieven!$A$1:$J$150, 10, FALSE), "0")</f>
        <v>0</v>
      </c>
      <c r="O71" s="322" t="str">
        <f>September!O71</f>
        <v/>
      </c>
      <c r="P71" s="334"/>
      <c r="Q71" s="325" t="str">
        <f>IFERROR(VLOOKUP(P71, Tarieven!$A$2:$J$150, 10, FALSE), "0")</f>
        <v>0</v>
      </c>
      <c r="R71" s="138" t="str">
        <f>September!R71</f>
        <v/>
      </c>
      <c r="S71" s="85"/>
      <c r="T71" s="325" t="str">
        <f>IFERROR(VLOOKUP(S71, Tarieven!$A$2:$J$150, 10, FALSE), "0")</f>
        <v>0</v>
      </c>
      <c r="U71" s="77" t="str">
        <f>September!U71</f>
        <v/>
      </c>
      <c r="V71" s="85" t="str">
        <f>September!V71</f>
        <v/>
      </c>
      <c r="W71" s="325" t="str">
        <f>IFERROR(VLOOKUP(V71, Tarieven!$A$2:$J$150, 10, FALSE), "0")</f>
        <v>0</v>
      </c>
      <c r="X71" s="397">
        <f>Jaarbetalingen!AD71</f>
        <v>0</v>
      </c>
      <c r="Y71" s="398">
        <v>0.0</v>
      </c>
      <c r="Z71" s="329">
        <f t="shared" si="3"/>
        <v>0</v>
      </c>
      <c r="AA71" s="32">
        <f t="shared" si="4"/>
        <v>0</v>
      </c>
      <c r="AB71" s="32">
        <f t="shared" si="5"/>
        <v>0</v>
      </c>
      <c r="AC71" s="32">
        <f t="shared" si="6"/>
        <v>0</v>
      </c>
    </row>
    <row r="72" ht="22.5" customHeight="1">
      <c r="A72" s="331" t="str">
        <f>Rooster!A73</f>
        <v/>
      </c>
      <c r="B72" s="396" t="str">
        <f>Rooster!B73</f>
        <v/>
      </c>
      <c r="C72" s="15" t="str">
        <f>Rooster!C73</f>
        <v/>
      </c>
      <c r="D72" s="11" t="str">
        <f>Rooster!D73</f>
        <v/>
      </c>
      <c r="E72" s="77"/>
      <c r="F72" s="327" t="str">
        <f>Rooster!E73</f>
        <v/>
      </c>
      <c r="G72" s="319" t="str">
        <f>IFERROR(VLOOKUP(F72, Docenten!$A$2:$G$30, 7, FALSE), "0")</f>
        <v>0</v>
      </c>
      <c r="H72" s="320">
        <f t="shared" si="1"/>
        <v>0</v>
      </c>
      <c r="I72" s="327" t="str">
        <f>Rooster!H73</f>
        <v/>
      </c>
      <c r="J72" s="321" t="str">
        <f>IFERROR(VLOOKUP(I72, Locaties!$A$2:$G$15, 7, FALSE), "0")</f>
        <v>0</v>
      </c>
      <c r="K72" s="42">
        <f t="shared" si="2"/>
        <v>0</v>
      </c>
      <c r="L72" s="322" t="str">
        <f>September!L72</f>
        <v/>
      </c>
      <c r="M72" s="85"/>
      <c r="N72" s="42" t="str">
        <f>IFERROR(VLOOKUP(M72, Tarieven!$A$1:$J$150, 10, FALSE), "0")</f>
        <v>0</v>
      </c>
      <c r="O72" s="322" t="str">
        <f>September!O72</f>
        <v/>
      </c>
      <c r="P72" s="334"/>
      <c r="Q72" s="325" t="str">
        <f>IFERROR(VLOOKUP(P72, Tarieven!$A$2:$J$150, 10, FALSE), "0")</f>
        <v>0</v>
      </c>
      <c r="R72" s="138" t="str">
        <f>September!R72</f>
        <v/>
      </c>
      <c r="S72" s="85"/>
      <c r="T72" s="325" t="str">
        <f>IFERROR(VLOOKUP(S72, Tarieven!$A$2:$J$150, 10, FALSE), "0")</f>
        <v>0</v>
      </c>
      <c r="U72" s="77" t="str">
        <f>September!U72</f>
        <v/>
      </c>
      <c r="V72" s="85" t="str">
        <f>September!V72</f>
        <v/>
      </c>
      <c r="W72" s="325" t="str">
        <f>IFERROR(VLOOKUP(V72, Tarieven!$A$2:$J$150, 10, FALSE), "0")</f>
        <v>0</v>
      </c>
      <c r="X72" s="397">
        <f>Jaarbetalingen!AD72</f>
        <v>0</v>
      </c>
      <c r="Y72" s="398">
        <v>0.0</v>
      </c>
      <c r="Z72" s="329">
        <f t="shared" si="3"/>
        <v>0</v>
      </c>
      <c r="AA72" s="32">
        <f t="shared" si="4"/>
        <v>0</v>
      </c>
      <c r="AB72" s="32">
        <f t="shared" si="5"/>
        <v>0</v>
      </c>
      <c r="AC72" s="32">
        <f t="shared" si="6"/>
        <v>0</v>
      </c>
    </row>
    <row r="73" ht="22.5" customHeight="1">
      <c r="A73" s="331" t="str">
        <f>Rooster!A74</f>
        <v/>
      </c>
      <c r="B73" s="396" t="str">
        <f>Rooster!B74</f>
        <v/>
      </c>
      <c r="C73" s="15" t="str">
        <f>Rooster!C74</f>
        <v/>
      </c>
      <c r="D73" s="11" t="str">
        <f>Rooster!D74</f>
        <v/>
      </c>
      <c r="E73" s="77"/>
      <c r="F73" s="327" t="str">
        <f>Rooster!E74</f>
        <v/>
      </c>
      <c r="G73" s="319" t="str">
        <f>IFERROR(VLOOKUP(F73, Docenten!$A$2:$G$30, 7, FALSE), "0")</f>
        <v>0</v>
      </c>
      <c r="H73" s="320">
        <f t="shared" si="1"/>
        <v>0</v>
      </c>
      <c r="I73" s="327" t="str">
        <f>Rooster!H74</f>
        <v/>
      </c>
      <c r="J73" s="321" t="str">
        <f>IFERROR(VLOOKUP(I73, Locaties!$A$2:$G$15, 7, FALSE), "0")</f>
        <v>0</v>
      </c>
      <c r="K73" s="42">
        <f t="shared" si="2"/>
        <v>0</v>
      </c>
      <c r="L73" s="322" t="str">
        <f>September!L73</f>
        <v/>
      </c>
      <c r="M73" s="85"/>
      <c r="N73" s="42" t="str">
        <f>IFERROR(VLOOKUP(M73, Tarieven!$A$1:$J$150, 10, FALSE), "0")</f>
        <v>0</v>
      </c>
      <c r="O73" s="322" t="str">
        <f>September!O73</f>
        <v/>
      </c>
      <c r="P73" s="334"/>
      <c r="Q73" s="325" t="str">
        <f>IFERROR(VLOOKUP(P73, Tarieven!$A$2:$J$150, 10, FALSE), "0")</f>
        <v>0</v>
      </c>
      <c r="R73" s="138" t="str">
        <f>September!R73</f>
        <v/>
      </c>
      <c r="S73" s="85"/>
      <c r="T73" s="325" t="str">
        <f>IFERROR(VLOOKUP(S73, Tarieven!$A$2:$J$150, 10, FALSE), "0")</f>
        <v>0</v>
      </c>
      <c r="U73" s="77" t="str">
        <f>September!U73</f>
        <v/>
      </c>
      <c r="V73" s="85" t="str">
        <f>September!V73</f>
        <v/>
      </c>
      <c r="W73" s="325" t="str">
        <f>IFERROR(VLOOKUP(V73, Tarieven!$A$2:$J$150, 10, FALSE), "0")</f>
        <v>0</v>
      </c>
      <c r="X73" s="397">
        <f>Jaarbetalingen!AD73</f>
        <v>0</v>
      </c>
      <c r="Y73" s="398">
        <v>0.0</v>
      </c>
      <c r="Z73" s="329">
        <f t="shared" si="3"/>
        <v>0</v>
      </c>
      <c r="AA73" s="32">
        <f t="shared" si="4"/>
        <v>0</v>
      </c>
      <c r="AB73" s="32">
        <f t="shared" si="5"/>
        <v>0</v>
      </c>
      <c r="AC73" s="32">
        <f t="shared" si="6"/>
        <v>0</v>
      </c>
    </row>
    <row r="74" ht="22.5" customHeight="1">
      <c r="A74" s="331" t="str">
        <f>Rooster!A75</f>
        <v/>
      </c>
      <c r="B74" s="396" t="str">
        <f>Rooster!B75</f>
        <v/>
      </c>
      <c r="C74" s="15" t="str">
        <f>Rooster!C75</f>
        <v/>
      </c>
      <c r="D74" s="11" t="str">
        <f>Rooster!D75</f>
        <v/>
      </c>
      <c r="E74" s="77"/>
      <c r="F74" s="327" t="str">
        <f>Rooster!E75</f>
        <v/>
      </c>
      <c r="G74" s="319" t="str">
        <f>IFERROR(VLOOKUP(F74, Docenten!$A$2:$G$30, 7, FALSE), "0")</f>
        <v>0</v>
      </c>
      <c r="H74" s="320">
        <f t="shared" si="1"/>
        <v>0</v>
      </c>
      <c r="I74" s="327" t="str">
        <f>Rooster!H75</f>
        <v/>
      </c>
      <c r="J74" s="321" t="str">
        <f>IFERROR(VLOOKUP(I74, Locaties!$A$2:$G$15, 7, FALSE), "0")</f>
        <v>0</v>
      </c>
      <c r="K74" s="42">
        <f t="shared" si="2"/>
        <v>0</v>
      </c>
      <c r="L74" s="322" t="str">
        <f>September!L74</f>
        <v/>
      </c>
      <c r="M74" s="85"/>
      <c r="N74" s="42" t="str">
        <f>IFERROR(VLOOKUP(M74, Tarieven!$A$1:$J$150, 10, FALSE), "0")</f>
        <v>0</v>
      </c>
      <c r="O74" s="322" t="str">
        <f>September!O74</f>
        <v/>
      </c>
      <c r="P74" s="334"/>
      <c r="Q74" s="325" t="str">
        <f>IFERROR(VLOOKUP(P74, Tarieven!$A$2:$J$150, 10, FALSE), "0")</f>
        <v>0</v>
      </c>
      <c r="R74" s="138" t="str">
        <f>September!R74</f>
        <v/>
      </c>
      <c r="S74" s="85"/>
      <c r="T74" s="325" t="str">
        <f>IFERROR(VLOOKUP(S74, Tarieven!$A$2:$J$150, 10, FALSE), "0")</f>
        <v>0</v>
      </c>
      <c r="U74" s="77" t="str">
        <f>September!U74</f>
        <v/>
      </c>
      <c r="V74" s="85" t="str">
        <f>September!V74</f>
        <v/>
      </c>
      <c r="W74" s="325" t="str">
        <f>IFERROR(VLOOKUP(V74, Tarieven!$A$2:$J$150, 10, FALSE), "0")</f>
        <v>0</v>
      </c>
      <c r="X74" s="397">
        <f>Jaarbetalingen!AD74</f>
        <v>0</v>
      </c>
      <c r="Y74" s="398">
        <v>0.0</v>
      </c>
      <c r="Z74" s="329">
        <f t="shared" si="3"/>
        <v>0</v>
      </c>
      <c r="AA74" s="32">
        <f t="shared" si="4"/>
        <v>0</v>
      </c>
      <c r="AB74" s="32">
        <f t="shared" si="5"/>
        <v>0</v>
      </c>
      <c r="AC74" s="32">
        <f t="shared" si="6"/>
        <v>0</v>
      </c>
    </row>
    <row r="75" ht="22.5" customHeight="1">
      <c r="A75" s="331" t="str">
        <f>Rooster!A76</f>
        <v/>
      </c>
      <c r="B75" s="396" t="str">
        <f>Rooster!B76</f>
        <v/>
      </c>
      <c r="C75" s="15" t="str">
        <f>Rooster!C76</f>
        <v/>
      </c>
      <c r="D75" s="11" t="str">
        <f>Rooster!D76</f>
        <v/>
      </c>
      <c r="E75" s="77"/>
      <c r="F75" s="327" t="str">
        <f>Rooster!E76</f>
        <v/>
      </c>
      <c r="G75" s="319" t="str">
        <f>IFERROR(VLOOKUP(F75, Docenten!$A$2:$G$30, 7, FALSE), "0")</f>
        <v>0</v>
      </c>
      <c r="H75" s="320">
        <f t="shared" si="1"/>
        <v>0</v>
      </c>
      <c r="I75" s="327" t="str">
        <f>Rooster!H76</f>
        <v/>
      </c>
      <c r="J75" s="321" t="str">
        <f>IFERROR(VLOOKUP(I75, Locaties!$A$2:$G$15, 7, FALSE), "0")</f>
        <v>0</v>
      </c>
      <c r="K75" s="42">
        <f t="shared" si="2"/>
        <v>0</v>
      </c>
      <c r="L75" s="322" t="str">
        <f>September!L75</f>
        <v/>
      </c>
      <c r="M75" s="85"/>
      <c r="N75" s="42" t="str">
        <f>IFERROR(VLOOKUP(M75, Tarieven!$A$1:$J$150, 10, FALSE), "0")</f>
        <v>0</v>
      </c>
      <c r="O75" s="322" t="str">
        <f>September!O75</f>
        <v/>
      </c>
      <c r="P75" s="334"/>
      <c r="Q75" s="325" t="str">
        <f>IFERROR(VLOOKUP(P75, Tarieven!$A$2:$J$150, 10, FALSE), "0")</f>
        <v>0</v>
      </c>
      <c r="R75" s="138" t="str">
        <f>September!R75</f>
        <v/>
      </c>
      <c r="S75" s="85"/>
      <c r="T75" s="325" t="str">
        <f>IFERROR(VLOOKUP(S75, Tarieven!$A$2:$J$150, 10, FALSE), "0")</f>
        <v>0</v>
      </c>
      <c r="U75" s="77" t="str">
        <f>September!U75</f>
        <v/>
      </c>
      <c r="V75" s="85" t="str">
        <f>September!V75</f>
        <v/>
      </c>
      <c r="W75" s="325" t="str">
        <f>IFERROR(VLOOKUP(V75, Tarieven!$A$2:$J$150, 10, FALSE), "0")</f>
        <v>0</v>
      </c>
      <c r="X75" s="397">
        <f>Jaarbetalingen!AD75</f>
        <v>0</v>
      </c>
      <c r="Y75" s="398">
        <v>0.0</v>
      </c>
      <c r="Z75" s="329">
        <f t="shared" si="3"/>
        <v>0</v>
      </c>
      <c r="AA75" s="32">
        <f t="shared" si="4"/>
        <v>0</v>
      </c>
      <c r="AB75" s="32">
        <f t="shared" si="5"/>
        <v>0</v>
      </c>
      <c r="AC75" s="32">
        <f t="shared" si="6"/>
        <v>0</v>
      </c>
    </row>
    <row r="76" ht="22.5" customHeight="1">
      <c r="A76" s="331" t="str">
        <f>Rooster!A77</f>
        <v/>
      </c>
      <c r="B76" s="396" t="str">
        <f>Rooster!B77</f>
        <v/>
      </c>
      <c r="C76" s="15" t="str">
        <f>Rooster!C77</f>
        <v/>
      </c>
      <c r="D76" s="11" t="str">
        <f>Rooster!D77</f>
        <v/>
      </c>
      <c r="E76" s="77"/>
      <c r="F76" s="327" t="str">
        <f>Rooster!E77</f>
        <v/>
      </c>
      <c r="G76" s="319" t="str">
        <f>IFERROR(VLOOKUP(F76, Docenten!$A$2:$G$30, 7, FALSE), "0")</f>
        <v>0</v>
      </c>
      <c r="H76" s="320">
        <f t="shared" si="1"/>
        <v>0</v>
      </c>
      <c r="I76" s="327" t="str">
        <f>Rooster!H77</f>
        <v/>
      </c>
      <c r="J76" s="321" t="str">
        <f>IFERROR(VLOOKUP(I76, Locaties!$A$2:$G$15, 7, FALSE), "0")</f>
        <v>0</v>
      </c>
      <c r="K76" s="42">
        <f t="shared" si="2"/>
        <v>0</v>
      </c>
      <c r="L76" s="322" t="str">
        <f>September!L76</f>
        <v/>
      </c>
      <c r="M76" s="85"/>
      <c r="N76" s="42" t="str">
        <f>IFERROR(VLOOKUP(M76, Tarieven!$A$1:$J$150, 10, FALSE), "0")</f>
        <v>0</v>
      </c>
      <c r="O76" s="322" t="str">
        <f>September!O76</f>
        <v/>
      </c>
      <c r="P76" s="334"/>
      <c r="Q76" s="325" t="str">
        <f>IFERROR(VLOOKUP(P76, Tarieven!$A$2:$J$150, 10, FALSE), "0")</f>
        <v>0</v>
      </c>
      <c r="R76" s="138" t="str">
        <f>September!R76</f>
        <v/>
      </c>
      <c r="S76" s="85"/>
      <c r="T76" s="325" t="str">
        <f>IFERROR(VLOOKUP(S76, Tarieven!$A$2:$J$150, 10, FALSE), "0")</f>
        <v>0</v>
      </c>
      <c r="U76" s="77" t="str">
        <f>September!U76</f>
        <v/>
      </c>
      <c r="V76" s="85" t="str">
        <f>September!V76</f>
        <v/>
      </c>
      <c r="W76" s="325" t="str">
        <f>IFERROR(VLOOKUP(V76, Tarieven!$A$2:$J$150, 10, FALSE), "0")</f>
        <v>0</v>
      </c>
      <c r="X76" s="397">
        <f>Jaarbetalingen!AD76</f>
        <v>0</v>
      </c>
      <c r="Y76" s="398">
        <v>0.0</v>
      </c>
      <c r="Z76" s="329">
        <f t="shared" si="3"/>
        <v>0</v>
      </c>
      <c r="AA76" s="32">
        <f t="shared" si="4"/>
        <v>0</v>
      </c>
      <c r="AB76" s="32">
        <f t="shared" si="5"/>
        <v>0</v>
      </c>
      <c r="AC76" s="32">
        <f t="shared" si="6"/>
        <v>0</v>
      </c>
    </row>
    <row r="77" ht="22.5" customHeight="1">
      <c r="A77" s="331" t="str">
        <f>Rooster!A78</f>
        <v/>
      </c>
      <c r="B77" s="396" t="str">
        <f>Rooster!B78</f>
        <v/>
      </c>
      <c r="C77" s="15" t="str">
        <f>Rooster!C78</f>
        <v/>
      </c>
      <c r="D77" s="11" t="str">
        <f>Rooster!D78</f>
        <v/>
      </c>
      <c r="E77" s="77"/>
      <c r="F77" s="327" t="str">
        <f>Rooster!E78</f>
        <v/>
      </c>
      <c r="G77" s="319" t="str">
        <f>IFERROR(VLOOKUP(F77, Docenten!$A$2:$G$30, 7, FALSE), "0")</f>
        <v>0</v>
      </c>
      <c r="H77" s="320">
        <f t="shared" si="1"/>
        <v>0</v>
      </c>
      <c r="I77" s="327" t="str">
        <f>Rooster!H78</f>
        <v/>
      </c>
      <c r="J77" s="321" t="str">
        <f>IFERROR(VLOOKUP(I77, Locaties!$A$2:$G$15, 7, FALSE), "0")</f>
        <v>0</v>
      </c>
      <c r="K77" s="42">
        <f t="shared" si="2"/>
        <v>0</v>
      </c>
      <c r="L77" s="322" t="str">
        <f>September!L77</f>
        <v/>
      </c>
      <c r="M77" s="85"/>
      <c r="N77" s="42" t="str">
        <f>IFERROR(VLOOKUP(M77, Tarieven!$A$1:$J$150, 10, FALSE), "0")</f>
        <v>0</v>
      </c>
      <c r="O77" s="322" t="str">
        <f>September!O77</f>
        <v/>
      </c>
      <c r="P77" s="334"/>
      <c r="Q77" s="325" t="str">
        <f>IFERROR(VLOOKUP(P77, Tarieven!$A$2:$J$150, 10, FALSE), "0")</f>
        <v>0</v>
      </c>
      <c r="R77" s="138" t="str">
        <f>September!R77</f>
        <v/>
      </c>
      <c r="S77" s="85"/>
      <c r="T77" s="325" t="str">
        <f>IFERROR(VLOOKUP(S77, Tarieven!$A$2:$J$150, 10, FALSE), "0")</f>
        <v>0</v>
      </c>
      <c r="U77" s="77" t="str">
        <f>September!U77</f>
        <v/>
      </c>
      <c r="V77" s="85" t="str">
        <f>September!V77</f>
        <v/>
      </c>
      <c r="W77" s="325" t="str">
        <f>IFERROR(VLOOKUP(V77, Tarieven!$A$2:$J$150, 10, FALSE), "0")</f>
        <v>0</v>
      </c>
      <c r="X77" s="397">
        <f>Jaarbetalingen!AD77</f>
        <v>0</v>
      </c>
      <c r="Y77" s="398">
        <v>0.0</v>
      </c>
      <c r="Z77" s="329">
        <f t="shared" si="3"/>
        <v>0</v>
      </c>
      <c r="AA77" s="32">
        <f t="shared" si="4"/>
        <v>0</v>
      </c>
      <c r="AB77" s="32">
        <f t="shared" si="5"/>
        <v>0</v>
      </c>
      <c r="AC77" s="32">
        <f t="shared" si="6"/>
        <v>0</v>
      </c>
    </row>
    <row r="78" ht="22.5" customHeight="1">
      <c r="A78" s="331" t="str">
        <f>Rooster!A79</f>
        <v/>
      </c>
      <c r="B78" s="396" t="str">
        <f>Rooster!B79</f>
        <v/>
      </c>
      <c r="C78" s="15" t="str">
        <f>Rooster!C79</f>
        <v/>
      </c>
      <c r="D78" s="11" t="str">
        <f>Rooster!D79</f>
        <v/>
      </c>
      <c r="E78" s="77"/>
      <c r="F78" s="327" t="str">
        <f>Rooster!E79</f>
        <v/>
      </c>
      <c r="G78" s="319" t="str">
        <f>IFERROR(VLOOKUP(F78, Docenten!$A$2:$G$30, 7, FALSE), "0")</f>
        <v>0</v>
      </c>
      <c r="H78" s="320">
        <f t="shared" si="1"/>
        <v>0</v>
      </c>
      <c r="I78" s="327" t="str">
        <f>Rooster!H79</f>
        <v/>
      </c>
      <c r="J78" s="321" t="str">
        <f>IFERROR(VLOOKUP(I78, Locaties!$A$2:$G$15, 7, FALSE), "0")</f>
        <v>0</v>
      </c>
      <c r="K78" s="42">
        <f t="shared" si="2"/>
        <v>0</v>
      </c>
      <c r="L78" s="322" t="str">
        <f>September!L78</f>
        <v/>
      </c>
      <c r="M78" s="85"/>
      <c r="N78" s="42" t="str">
        <f>IFERROR(VLOOKUP(M78, Tarieven!$A$1:$J$150, 10, FALSE), "0")</f>
        <v>0</v>
      </c>
      <c r="O78" s="322" t="str">
        <f>September!O78</f>
        <v/>
      </c>
      <c r="P78" s="334"/>
      <c r="Q78" s="325" t="str">
        <f>IFERROR(VLOOKUP(P78, Tarieven!$A$2:$J$150, 10, FALSE), "0")</f>
        <v>0</v>
      </c>
      <c r="R78" s="138" t="str">
        <f>September!R78</f>
        <v/>
      </c>
      <c r="S78" s="85"/>
      <c r="T78" s="325" t="str">
        <f>IFERROR(VLOOKUP(S78, Tarieven!$A$2:$J$150, 10, FALSE), "0")</f>
        <v>0</v>
      </c>
      <c r="U78" s="77" t="str">
        <f>September!U78</f>
        <v/>
      </c>
      <c r="V78" s="85" t="str">
        <f>September!V78</f>
        <v/>
      </c>
      <c r="W78" s="325" t="str">
        <f>IFERROR(VLOOKUP(V78, Tarieven!$A$2:$J$150, 10, FALSE), "0")</f>
        <v>0</v>
      </c>
      <c r="X78" s="397">
        <f>Jaarbetalingen!AD78</f>
        <v>0</v>
      </c>
      <c r="Y78" s="398">
        <v>0.0</v>
      </c>
      <c r="Z78" s="329">
        <f t="shared" si="3"/>
        <v>0</v>
      </c>
      <c r="AA78" s="32">
        <f t="shared" si="4"/>
        <v>0</v>
      </c>
      <c r="AB78" s="32">
        <f t="shared" si="5"/>
        <v>0</v>
      </c>
      <c r="AC78" s="32">
        <f t="shared" si="6"/>
        <v>0</v>
      </c>
    </row>
    <row r="79" ht="22.5" customHeight="1">
      <c r="A79" s="331" t="str">
        <f>Rooster!A80</f>
        <v/>
      </c>
      <c r="B79" s="396" t="str">
        <f>Rooster!B80</f>
        <v/>
      </c>
      <c r="C79" s="15" t="str">
        <f>Rooster!C80</f>
        <v/>
      </c>
      <c r="D79" s="11" t="str">
        <f>Rooster!D80</f>
        <v/>
      </c>
      <c r="E79" s="77"/>
      <c r="F79" s="327" t="str">
        <f>Rooster!E80</f>
        <v/>
      </c>
      <c r="G79" s="319" t="str">
        <f>IFERROR(VLOOKUP(F79, Docenten!$A$2:$G$30, 7, FALSE), "0")</f>
        <v>0</v>
      </c>
      <c r="H79" s="320">
        <f t="shared" si="1"/>
        <v>0</v>
      </c>
      <c r="I79" s="327" t="str">
        <f>Rooster!H80</f>
        <v/>
      </c>
      <c r="J79" s="321" t="str">
        <f>IFERROR(VLOOKUP(I79, Locaties!$A$2:$G$15, 7, FALSE), "0")</f>
        <v>0</v>
      </c>
      <c r="K79" s="42">
        <f t="shared" si="2"/>
        <v>0</v>
      </c>
      <c r="L79" s="322" t="str">
        <f>September!L79</f>
        <v/>
      </c>
      <c r="M79" s="85"/>
      <c r="N79" s="42" t="str">
        <f>IFERROR(VLOOKUP(M79, Tarieven!$A$1:$J$150, 10, FALSE), "0")</f>
        <v>0</v>
      </c>
      <c r="O79" s="322" t="str">
        <f>September!O79</f>
        <v/>
      </c>
      <c r="P79" s="334"/>
      <c r="Q79" s="325" t="str">
        <f>IFERROR(VLOOKUP(P79, Tarieven!$A$2:$J$150, 10, FALSE), "0")</f>
        <v>0</v>
      </c>
      <c r="R79" s="138" t="str">
        <f>September!R79</f>
        <v/>
      </c>
      <c r="S79" s="85"/>
      <c r="T79" s="325" t="str">
        <f>IFERROR(VLOOKUP(S79, Tarieven!$A$2:$J$150, 10, FALSE), "0")</f>
        <v>0</v>
      </c>
      <c r="U79" s="77" t="str">
        <f>September!U79</f>
        <v/>
      </c>
      <c r="V79" s="85" t="str">
        <f>September!V79</f>
        <v/>
      </c>
      <c r="W79" s="325" t="str">
        <f>IFERROR(VLOOKUP(V79, Tarieven!$A$2:$J$150, 10, FALSE), "0")</f>
        <v>0</v>
      </c>
      <c r="X79" s="397">
        <f>Jaarbetalingen!AD79</f>
        <v>0</v>
      </c>
      <c r="Y79" s="398">
        <v>0.0</v>
      </c>
      <c r="Z79" s="329">
        <f t="shared" si="3"/>
        <v>0</v>
      </c>
      <c r="AA79" s="32">
        <f t="shared" si="4"/>
        <v>0</v>
      </c>
      <c r="AB79" s="32">
        <f t="shared" si="5"/>
        <v>0</v>
      </c>
      <c r="AC79" s="32">
        <f t="shared" si="6"/>
        <v>0</v>
      </c>
    </row>
    <row r="80" ht="22.5" customHeight="1">
      <c r="A80" s="331" t="str">
        <f>Rooster!A81</f>
        <v/>
      </c>
      <c r="B80" s="396" t="str">
        <f>Rooster!B81</f>
        <v/>
      </c>
      <c r="C80" s="15" t="str">
        <f>Rooster!C81</f>
        <v/>
      </c>
      <c r="D80" s="11" t="str">
        <f>Rooster!D81</f>
        <v/>
      </c>
      <c r="E80" s="77"/>
      <c r="F80" s="327" t="str">
        <f>Rooster!E81</f>
        <v/>
      </c>
      <c r="G80" s="319" t="str">
        <f>IFERROR(VLOOKUP(F80, Docenten!$A$2:$G$30, 7, FALSE), "0")</f>
        <v>0</v>
      </c>
      <c r="H80" s="320">
        <f t="shared" si="1"/>
        <v>0</v>
      </c>
      <c r="I80" s="327" t="str">
        <f>Rooster!H81</f>
        <v/>
      </c>
      <c r="J80" s="321" t="str">
        <f>IFERROR(VLOOKUP(I80, Locaties!$A$2:$G$15, 7, FALSE), "0")</f>
        <v>0</v>
      </c>
      <c r="K80" s="42">
        <f t="shared" si="2"/>
        <v>0</v>
      </c>
      <c r="L80" s="322" t="str">
        <f>September!L80</f>
        <v/>
      </c>
      <c r="M80" s="85"/>
      <c r="N80" s="42" t="str">
        <f>IFERROR(VLOOKUP(M80, Tarieven!$A$1:$J$150, 10, FALSE), "0")</f>
        <v>0</v>
      </c>
      <c r="O80" s="322" t="str">
        <f>September!O80</f>
        <v/>
      </c>
      <c r="P80" s="334"/>
      <c r="Q80" s="325" t="str">
        <f>IFERROR(VLOOKUP(P80, Tarieven!$A$2:$J$150, 10, FALSE), "0")</f>
        <v>0</v>
      </c>
      <c r="R80" s="138" t="str">
        <f>September!R80</f>
        <v/>
      </c>
      <c r="S80" s="85"/>
      <c r="T80" s="325" t="str">
        <f>IFERROR(VLOOKUP(S80, Tarieven!$A$2:$J$150, 10, FALSE), "0")</f>
        <v>0</v>
      </c>
      <c r="U80" s="77" t="str">
        <f>September!U80</f>
        <v/>
      </c>
      <c r="V80" s="85" t="str">
        <f>September!V80</f>
        <v/>
      </c>
      <c r="W80" s="325" t="str">
        <f>IFERROR(VLOOKUP(V80, Tarieven!$A$2:$J$150, 10, FALSE), "0")</f>
        <v>0</v>
      </c>
      <c r="X80" s="397">
        <f>Jaarbetalingen!AD80</f>
        <v>0</v>
      </c>
      <c r="Y80" s="398">
        <v>0.0</v>
      </c>
      <c r="Z80" s="329">
        <f t="shared" si="3"/>
        <v>0</v>
      </c>
      <c r="AA80" s="32">
        <f t="shared" si="4"/>
        <v>0</v>
      </c>
      <c r="AB80" s="32">
        <f t="shared" si="5"/>
        <v>0</v>
      </c>
      <c r="AC80" s="32">
        <f t="shared" si="6"/>
        <v>0</v>
      </c>
    </row>
    <row r="81" ht="22.5" customHeight="1">
      <c r="A81" s="331" t="str">
        <f>Rooster!A82</f>
        <v/>
      </c>
      <c r="B81" s="396" t="str">
        <f>Rooster!B82</f>
        <v/>
      </c>
      <c r="C81" s="15" t="str">
        <f>Rooster!C82</f>
        <v/>
      </c>
      <c r="D81" s="11" t="str">
        <f>Rooster!D82</f>
        <v/>
      </c>
      <c r="E81" s="77"/>
      <c r="F81" s="327" t="str">
        <f>Rooster!E82</f>
        <v/>
      </c>
      <c r="G81" s="319" t="str">
        <f>IFERROR(VLOOKUP(F81, Docenten!$A$2:$G$30, 7, FALSE), "0")</f>
        <v>0</v>
      </c>
      <c r="H81" s="320">
        <f t="shared" si="1"/>
        <v>0</v>
      </c>
      <c r="I81" s="327" t="str">
        <f>Rooster!H82</f>
        <v/>
      </c>
      <c r="J81" s="321" t="str">
        <f>IFERROR(VLOOKUP(I81, Locaties!$A$2:$G$15, 7, FALSE), "0")</f>
        <v>0</v>
      </c>
      <c r="K81" s="42">
        <f t="shared" si="2"/>
        <v>0</v>
      </c>
      <c r="L81" s="322" t="str">
        <f>September!L81</f>
        <v/>
      </c>
      <c r="M81" s="85"/>
      <c r="N81" s="42" t="str">
        <f>IFERROR(VLOOKUP(M81, Tarieven!$A$1:$J$150, 10, FALSE), "0")</f>
        <v>0</v>
      </c>
      <c r="O81" s="322" t="str">
        <f>September!O81</f>
        <v/>
      </c>
      <c r="P81" s="334"/>
      <c r="Q81" s="325" t="str">
        <f>IFERROR(VLOOKUP(P81, Tarieven!$A$2:$J$150, 10, FALSE), "0")</f>
        <v>0</v>
      </c>
      <c r="R81" s="138" t="str">
        <f>September!R81</f>
        <v/>
      </c>
      <c r="S81" s="85"/>
      <c r="T81" s="325" t="str">
        <f>IFERROR(VLOOKUP(S81, Tarieven!$A$2:$J$150, 10, FALSE), "0")</f>
        <v>0</v>
      </c>
      <c r="U81" s="77" t="str">
        <f>September!U81</f>
        <v/>
      </c>
      <c r="V81" s="85" t="str">
        <f>September!V81</f>
        <v/>
      </c>
      <c r="W81" s="325" t="str">
        <f>IFERROR(VLOOKUP(V81, Tarieven!$A$2:$J$150, 10, FALSE), "0")</f>
        <v>0</v>
      </c>
      <c r="X81" s="397">
        <f>Jaarbetalingen!AD81</f>
        <v>0</v>
      </c>
      <c r="Y81" s="398">
        <v>0.0</v>
      </c>
      <c r="Z81" s="329">
        <f t="shared" si="3"/>
        <v>0</v>
      </c>
      <c r="AA81" s="32">
        <f t="shared" si="4"/>
        <v>0</v>
      </c>
      <c r="AB81" s="32">
        <f t="shared" si="5"/>
        <v>0</v>
      </c>
      <c r="AC81" s="32">
        <f t="shared" si="6"/>
        <v>0</v>
      </c>
    </row>
    <row r="82" ht="22.5" customHeight="1">
      <c r="A82" s="331" t="str">
        <f>Rooster!A83</f>
        <v/>
      </c>
      <c r="B82" s="396" t="str">
        <f>Rooster!B83</f>
        <v/>
      </c>
      <c r="C82" s="15" t="str">
        <f>Rooster!C83</f>
        <v/>
      </c>
      <c r="D82" s="11" t="str">
        <f>Rooster!D83</f>
        <v/>
      </c>
      <c r="E82" s="77"/>
      <c r="F82" s="327" t="str">
        <f>Rooster!E83</f>
        <v/>
      </c>
      <c r="G82" s="319" t="str">
        <f>IFERROR(VLOOKUP(F82, Docenten!$A$2:$G$30, 7, FALSE), "0")</f>
        <v>0</v>
      </c>
      <c r="H82" s="320">
        <f t="shared" si="1"/>
        <v>0</v>
      </c>
      <c r="I82" s="327" t="str">
        <f>Rooster!H83</f>
        <v/>
      </c>
      <c r="J82" s="321" t="str">
        <f>IFERROR(VLOOKUP(I82, Locaties!$A$2:$G$15, 7, FALSE), "0")</f>
        <v>0</v>
      </c>
      <c r="K82" s="42">
        <f t="shared" si="2"/>
        <v>0</v>
      </c>
      <c r="L82" s="322" t="str">
        <f>September!L82</f>
        <v/>
      </c>
      <c r="M82" s="85"/>
      <c r="N82" s="42" t="str">
        <f>IFERROR(VLOOKUP(M82, Tarieven!$A$1:$J$150, 10, FALSE), "0")</f>
        <v>0</v>
      </c>
      <c r="O82" s="322" t="str">
        <f>September!O82</f>
        <v/>
      </c>
      <c r="P82" s="334"/>
      <c r="Q82" s="325" t="str">
        <f>IFERROR(VLOOKUP(P82, Tarieven!$A$2:$J$150, 10, FALSE), "0")</f>
        <v>0</v>
      </c>
      <c r="R82" s="138" t="str">
        <f>September!R82</f>
        <v/>
      </c>
      <c r="S82" s="85"/>
      <c r="T82" s="325" t="str">
        <f>IFERROR(VLOOKUP(S82, Tarieven!$A$2:$J$150, 10, FALSE), "0")</f>
        <v>0</v>
      </c>
      <c r="U82" s="77" t="str">
        <f>September!U82</f>
        <v/>
      </c>
      <c r="V82" s="85" t="str">
        <f>September!V82</f>
        <v/>
      </c>
      <c r="W82" s="325" t="str">
        <f>IFERROR(VLOOKUP(V82, Tarieven!$A$2:$J$150, 10, FALSE), "0")</f>
        <v>0</v>
      </c>
      <c r="X82" s="397">
        <f>Jaarbetalingen!AD82</f>
        <v>0</v>
      </c>
      <c r="Y82" s="398">
        <v>0.0</v>
      </c>
      <c r="Z82" s="329">
        <f t="shared" si="3"/>
        <v>0</v>
      </c>
      <c r="AA82" s="32">
        <f t="shared" si="4"/>
        <v>0</v>
      </c>
      <c r="AB82" s="32">
        <f t="shared" si="5"/>
        <v>0</v>
      </c>
      <c r="AC82" s="32">
        <f t="shared" si="6"/>
        <v>0</v>
      </c>
    </row>
    <row r="83" ht="22.5" customHeight="1">
      <c r="A83" s="331" t="str">
        <f>Rooster!A84</f>
        <v/>
      </c>
      <c r="B83" s="396" t="str">
        <f>Rooster!B84</f>
        <v/>
      </c>
      <c r="C83" s="15" t="str">
        <f>Rooster!C84</f>
        <v/>
      </c>
      <c r="D83" s="11" t="str">
        <f>Rooster!D84</f>
        <v/>
      </c>
      <c r="E83" s="77"/>
      <c r="F83" s="327" t="str">
        <f>Rooster!E84</f>
        <v/>
      </c>
      <c r="G83" s="319" t="str">
        <f>IFERROR(VLOOKUP(F83, Docenten!$A$2:$G$30, 7, FALSE), "0")</f>
        <v>0</v>
      </c>
      <c r="H83" s="320">
        <f t="shared" si="1"/>
        <v>0</v>
      </c>
      <c r="I83" s="327" t="str">
        <f>Rooster!H84</f>
        <v/>
      </c>
      <c r="J83" s="321" t="str">
        <f>IFERROR(VLOOKUP(I83, Locaties!$A$2:$G$15, 7, FALSE), "0")</f>
        <v>0</v>
      </c>
      <c r="K83" s="42">
        <f t="shared" si="2"/>
        <v>0</v>
      </c>
      <c r="L83" s="322" t="str">
        <f>September!L83</f>
        <v/>
      </c>
      <c r="M83" s="85"/>
      <c r="N83" s="42" t="str">
        <f>IFERROR(VLOOKUP(M83, Tarieven!$A$1:$J$150, 10, FALSE), "0")</f>
        <v>0</v>
      </c>
      <c r="O83" s="322" t="str">
        <f>September!O83</f>
        <v/>
      </c>
      <c r="P83" s="334"/>
      <c r="Q83" s="325" t="str">
        <f>IFERROR(VLOOKUP(P83, Tarieven!$A$2:$J$150, 10, FALSE), "0")</f>
        <v>0</v>
      </c>
      <c r="R83" s="138" t="str">
        <f>September!R83</f>
        <v/>
      </c>
      <c r="S83" s="85"/>
      <c r="T83" s="325" t="str">
        <f>IFERROR(VLOOKUP(S83, Tarieven!$A$2:$J$150, 10, FALSE), "0")</f>
        <v>0</v>
      </c>
      <c r="U83" s="77" t="str">
        <f>September!U83</f>
        <v/>
      </c>
      <c r="V83" s="85" t="str">
        <f>September!V83</f>
        <v/>
      </c>
      <c r="W83" s="325" t="str">
        <f>IFERROR(VLOOKUP(V83, Tarieven!$A$2:$J$150, 10, FALSE), "0")</f>
        <v>0</v>
      </c>
      <c r="X83" s="397">
        <f>Jaarbetalingen!AD83</f>
        <v>0</v>
      </c>
      <c r="Y83" s="398">
        <v>0.0</v>
      </c>
      <c r="Z83" s="329">
        <f t="shared" si="3"/>
        <v>0</v>
      </c>
      <c r="AA83" s="32">
        <f t="shared" si="4"/>
        <v>0</v>
      </c>
      <c r="AB83" s="32">
        <f t="shared" si="5"/>
        <v>0</v>
      </c>
      <c r="AC83" s="32">
        <f t="shared" si="6"/>
        <v>0</v>
      </c>
    </row>
    <row r="84" ht="22.5" customHeight="1">
      <c r="A84" s="331" t="str">
        <f>Rooster!A85</f>
        <v/>
      </c>
      <c r="B84" s="396" t="str">
        <f>Rooster!B85</f>
        <v/>
      </c>
      <c r="C84" s="15" t="str">
        <f>Rooster!C85</f>
        <v/>
      </c>
      <c r="D84" s="11" t="str">
        <f>Rooster!D85</f>
        <v/>
      </c>
      <c r="E84" s="77"/>
      <c r="F84" s="327" t="str">
        <f>Rooster!E85</f>
        <v/>
      </c>
      <c r="G84" s="319" t="str">
        <f>IFERROR(VLOOKUP(F84, Docenten!$A$2:$G$30, 7, FALSE), "0")</f>
        <v>0</v>
      </c>
      <c r="H84" s="320">
        <f t="shared" si="1"/>
        <v>0</v>
      </c>
      <c r="I84" s="327" t="str">
        <f>Rooster!H85</f>
        <v/>
      </c>
      <c r="J84" s="321" t="str">
        <f>IFERROR(VLOOKUP(I84, Locaties!$A$2:$G$15, 7, FALSE), "0")</f>
        <v>0</v>
      </c>
      <c r="K84" s="42">
        <f t="shared" si="2"/>
        <v>0</v>
      </c>
      <c r="L84" s="322" t="str">
        <f>September!L84</f>
        <v/>
      </c>
      <c r="M84" s="85"/>
      <c r="N84" s="42" t="str">
        <f>IFERROR(VLOOKUP(M84, Tarieven!$A$1:$J$150, 10, FALSE), "0")</f>
        <v>0</v>
      </c>
      <c r="O84" s="322" t="str">
        <f>September!O84</f>
        <v/>
      </c>
      <c r="P84" s="334"/>
      <c r="Q84" s="325" t="str">
        <f>IFERROR(VLOOKUP(P84, Tarieven!$A$2:$J$150, 10, FALSE), "0")</f>
        <v>0</v>
      </c>
      <c r="R84" s="138" t="str">
        <f>September!R84</f>
        <v/>
      </c>
      <c r="S84" s="85"/>
      <c r="T84" s="325" t="str">
        <f>IFERROR(VLOOKUP(S84, Tarieven!$A$2:$J$150, 10, FALSE), "0")</f>
        <v>0</v>
      </c>
      <c r="U84" s="77" t="str">
        <f>September!U84</f>
        <v/>
      </c>
      <c r="V84" s="85" t="str">
        <f>September!V84</f>
        <v/>
      </c>
      <c r="W84" s="325" t="str">
        <f>IFERROR(VLOOKUP(V84, Tarieven!$A$2:$J$150, 10, FALSE), "0")</f>
        <v>0</v>
      </c>
      <c r="X84" s="397">
        <f>Jaarbetalingen!AD84</f>
        <v>0</v>
      </c>
      <c r="Y84" s="398">
        <v>0.0</v>
      </c>
      <c r="Z84" s="329">
        <f t="shared" si="3"/>
        <v>0</v>
      </c>
      <c r="AA84" s="32">
        <f t="shared" si="4"/>
        <v>0</v>
      </c>
      <c r="AB84" s="32">
        <f t="shared" si="5"/>
        <v>0</v>
      </c>
      <c r="AC84" s="32">
        <f t="shared" si="6"/>
        <v>0</v>
      </c>
    </row>
    <row r="85" ht="22.5" customHeight="1">
      <c r="A85" s="331" t="str">
        <f>Rooster!A86</f>
        <v/>
      </c>
      <c r="B85" s="396" t="str">
        <f>Rooster!B86</f>
        <v/>
      </c>
      <c r="C85" s="15" t="str">
        <f>Rooster!C86</f>
        <v/>
      </c>
      <c r="D85" s="11" t="str">
        <f>Rooster!D86</f>
        <v/>
      </c>
      <c r="E85" s="77"/>
      <c r="F85" s="327" t="str">
        <f>Rooster!E86</f>
        <v/>
      </c>
      <c r="G85" s="319" t="str">
        <f>IFERROR(VLOOKUP(F85, Docenten!$A$2:$G$30, 7, FALSE), "0")</f>
        <v>0</v>
      </c>
      <c r="H85" s="320">
        <f t="shared" si="1"/>
        <v>0</v>
      </c>
      <c r="I85" s="327" t="str">
        <f>Rooster!H86</f>
        <v/>
      </c>
      <c r="J85" s="321" t="str">
        <f>IFERROR(VLOOKUP(I85, Locaties!$A$2:$G$15, 7, FALSE), "0")</f>
        <v>0</v>
      </c>
      <c r="K85" s="42">
        <f t="shared" si="2"/>
        <v>0</v>
      </c>
      <c r="L85" s="322" t="str">
        <f>September!L85</f>
        <v/>
      </c>
      <c r="M85" s="85"/>
      <c r="N85" s="42" t="str">
        <f>IFERROR(VLOOKUP(M85, Tarieven!$A$1:$J$150, 10, FALSE), "0")</f>
        <v>0</v>
      </c>
      <c r="O85" s="322" t="str">
        <f>September!O85</f>
        <v/>
      </c>
      <c r="P85" s="334"/>
      <c r="Q85" s="325" t="str">
        <f>IFERROR(VLOOKUP(P85, Tarieven!$A$2:$J$150, 10, FALSE), "0")</f>
        <v>0</v>
      </c>
      <c r="R85" s="138" t="str">
        <f>September!R85</f>
        <v/>
      </c>
      <c r="S85" s="85"/>
      <c r="T85" s="325" t="str">
        <f>IFERROR(VLOOKUP(S85, Tarieven!$A$2:$J$150, 10, FALSE), "0")</f>
        <v>0</v>
      </c>
      <c r="U85" s="77" t="str">
        <f>September!U85</f>
        <v/>
      </c>
      <c r="V85" s="85" t="str">
        <f>September!V85</f>
        <v/>
      </c>
      <c r="W85" s="325" t="str">
        <f>IFERROR(VLOOKUP(V85, Tarieven!$A$2:$J$150, 10, FALSE), "0")</f>
        <v>0</v>
      </c>
      <c r="X85" s="397">
        <f>Jaarbetalingen!AD85</f>
        <v>0</v>
      </c>
      <c r="Y85" s="398">
        <v>0.0</v>
      </c>
      <c r="Z85" s="329">
        <f t="shared" si="3"/>
        <v>0</v>
      </c>
      <c r="AA85" s="32">
        <f t="shared" si="4"/>
        <v>0</v>
      </c>
      <c r="AB85" s="32">
        <f t="shared" si="5"/>
        <v>0</v>
      </c>
      <c r="AC85" s="32">
        <f t="shared" si="6"/>
        <v>0</v>
      </c>
    </row>
    <row r="86" ht="22.5" customHeight="1">
      <c r="A86" s="331" t="str">
        <f>Rooster!A87</f>
        <v/>
      </c>
      <c r="B86" s="396" t="str">
        <f>Rooster!B87</f>
        <v/>
      </c>
      <c r="C86" s="15" t="str">
        <f>Rooster!C87</f>
        <v/>
      </c>
      <c r="D86" s="11" t="str">
        <f>Rooster!D87</f>
        <v/>
      </c>
      <c r="E86" s="77"/>
      <c r="F86" s="327" t="str">
        <f>Rooster!E87</f>
        <v/>
      </c>
      <c r="G86" s="319" t="str">
        <f>IFERROR(VLOOKUP(F86, Docenten!$A$2:$G$30, 7, FALSE), "0")</f>
        <v>0</v>
      </c>
      <c r="H86" s="320">
        <f t="shared" si="1"/>
        <v>0</v>
      </c>
      <c r="I86" s="327" t="str">
        <f>Rooster!H87</f>
        <v/>
      </c>
      <c r="J86" s="321" t="str">
        <f>IFERROR(VLOOKUP(I86, Locaties!$A$2:$G$15, 7, FALSE), "0")</f>
        <v>0</v>
      </c>
      <c r="K86" s="42">
        <f t="shared" si="2"/>
        <v>0</v>
      </c>
      <c r="L86" s="322" t="str">
        <f>September!L86</f>
        <v/>
      </c>
      <c r="M86" s="85"/>
      <c r="N86" s="42" t="str">
        <f>IFERROR(VLOOKUP(M86, Tarieven!$A$1:$J$150, 10, FALSE), "0")</f>
        <v>0</v>
      </c>
      <c r="O86" s="322" t="str">
        <f>September!O86</f>
        <v/>
      </c>
      <c r="P86" s="334"/>
      <c r="Q86" s="325" t="str">
        <f>IFERROR(VLOOKUP(P86, Tarieven!$A$2:$J$150, 10, FALSE), "0")</f>
        <v>0</v>
      </c>
      <c r="R86" s="138" t="str">
        <f>September!R86</f>
        <v/>
      </c>
      <c r="S86" s="85"/>
      <c r="T86" s="325" t="str">
        <f>IFERROR(VLOOKUP(S86, Tarieven!$A$2:$J$150, 10, FALSE), "0")</f>
        <v>0</v>
      </c>
      <c r="U86" s="77" t="str">
        <f>September!U86</f>
        <v/>
      </c>
      <c r="V86" s="85" t="str">
        <f>September!V86</f>
        <v/>
      </c>
      <c r="W86" s="325" t="str">
        <f>IFERROR(VLOOKUP(V86, Tarieven!$A$2:$J$150, 10, FALSE), "0")</f>
        <v>0</v>
      </c>
      <c r="X86" s="397">
        <f>Jaarbetalingen!AD86</f>
        <v>0</v>
      </c>
      <c r="Y86" s="398">
        <v>0.0</v>
      </c>
      <c r="Z86" s="329">
        <f t="shared" si="3"/>
        <v>0</v>
      </c>
      <c r="AA86" s="32">
        <f t="shared" si="4"/>
        <v>0</v>
      </c>
      <c r="AB86" s="32">
        <f t="shared" si="5"/>
        <v>0</v>
      </c>
      <c r="AC86" s="32">
        <f t="shared" si="6"/>
        <v>0</v>
      </c>
    </row>
    <row r="87" ht="22.5" customHeight="1">
      <c r="A87" s="331" t="str">
        <f>Rooster!A88</f>
        <v/>
      </c>
      <c r="B87" s="396" t="str">
        <f>Rooster!B88</f>
        <v/>
      </c>
      <c r="C87" s="15" t="str">
        <f>Rooster!C88</f>
        <v/>
      </c>
      <c r="D87" s="11" t="str">
        <f>Rooster!D88</f>
        <v/>
      </c>
      <c r="E87" s="77"/>
      <c r="F87" s="327" t="str">
        <f>Rooster!E88</f>
        <v/>
      </c>
      <c r="G87" s="319" t="str">
        <f>IFERROR(VLOOKUP(F87, Docenten!$A$2:$G$30, 7, FALSE), "0")</f>
        <v>0</v>
      </c>
      <c r="H87" s="320">
        <f t="shared" si="1"/>
        <v>0</v>
      </c>
      <c r="I87" s="327" t="str">
        <f>Rooster!H88</f>
        <v/>
      </c>
      <c r="J87" s="321" t="str">
        <f>IFERROR(VLOOKUP(I87, Locaties!$A$2:$G$15, 7, FALSE), "0")</f>
        <v>0</v>
      </c>
      <c r="K87" s="42">
        <f t="shared" si="2"/>
        <v>0</v>
      </c>
      <c r="L87" s="322" t="str">
        <f>September!L87</f>
        <v/>
      </c>
      <c r="M87" s="85"/>
      <c r="N87" s="42" t="str">
        <f>IFERROR(VLOOKUP(M87, Tarieven!$A$1:$J$150, 10, FALSE), "0")</f>
        <v>0</v>
      </c>
      <c r="O87" s="322" t="str">
        <f>September!O87</f>
        <v/>
      </c>
      <c r="P87" s="334"/>
      <c r="Q87" s="325" t="str">
        <f>IFERROR(VLOOKUP(P87, Tarieven!$A$2:$J$150, 10, FALSE), "0")</f>
        <v>0</v>
      </c>
      <c r="R87" s="138" t="str">
        <f>September!R87</f>
        <v/>
      </c>
      <c r="S87" s="85"/>
      <c r="T87" s="325" t="str">
        <f>IFERROR(VLOOKUP(S87, Tarieven!$A$2:$J$150, 10, FALSE), "0")</f>
        <v>0</v>
      </c>
      <c r="U87" s="77" t="str">
        <f>September!U87</f>
        <v/>
      </c>
      <c r="V87" s="85" t="str">
        <f>September!V87</f>
        <v/>
      </c>
      <c r="W87" s="325" t="str">
        <f>IFERROR(VLOOKUP(V87, Tarieven!$A$2:$J$150, 10, FALSE), "0")</f>
        <v>0</v>
      </c>
      <c r="X87" s="397">
        <f>Jaarbetalingen!AD87</f>
        <v>0</v>
      </c>
      <c r="Y87" s="398">
        <v>0.0</v>
      </c>
      <c r="Z87" s="329">
        <f t="shared" si="3"/>
        <v>0</v>
      </c>
      <c r="AA87" s="32">
        <f t="shared" si="4"/>
        <v>0</v>
      </c>
      <c r="AB87" s="32">
        <f t="shared" si="5"/>
        <v>0</v>
      </c>
      <c r="AC87" s="32">
        <f t="shared" si="6"/>
        <v>0</v>
      </c>
    </row>
    <row r="88" ht="22.5" customHeight="1">
      <c r="A88" s="331" t="str">
        <f>Rooster!A89</f>
        <v/>
      </c>
      <c r="B88" s="396" t="str">
        <f>Rooster!B89</f>
        <v/>
      </c>
      <c r="C88" s="15" t="str">
        <f>Rooster!C89</f>
        <v/>
      </c>
      <c r="D88" s="11" t="str">
        <f>Rooster!D89</f>
        <v/>
      </c>
      <c r="E88" s="77"/>
      <c r="F88" s="327" t="str">
        <f>Rooster!E89</f>
        <v/>
      </c>
      <c r="G88" s="319" t="str">
        <f>IFERROR(VLOOKUP(F88, Docenten!$A$2:$G$30, 7, FALSE), "0")</f>
        <v>0</v>
      </c>
      <c r="H88" s="320">
        <f t="shared" si="1"/>
        <v>0</v>
      </c>
      <c r="I88" s="327" t="str">
        <f>Rooster!H89</f>
        <v/>
      </c>
      <c r="J88" s="321" t="str">
        <f>IFERROR(VLOOKUP(I88, Locaties!$A$2:$G$15, 7, FALSE), "0")</f>
        <v>0</v>
      </c>
      <c r="K88" s="42">
        <f t="shared" si="2"/>
        <v>0</v>
      </c>
      <c r="L88" s="322" t="str">
        <f>September!L88</f>
        <v/>
      </c>
      <c r="M88" s="85"/>
      <c r="N88" s="42" t="str">
        <f>IFERROR(VLOOKUP(M88, Tarieven!$A$1:$J$150, 10, FALSE), "0")</f>
        <v>0</v>
      </c>
      <c r="O88" s="322" t="str">
        <f>September!O88</f>
        <v/>
      </c>
      <c r="P88" s="334"/>
      <c r="Q88" s="325" t="str">
        <f>IFERROR(VLOOKUP(P88, Tarieven!$A$2:$J$150, 10, FALSE), "0")</f>
        <v>0</v>
      </c>
      <c r="R88" s="138" t="str">
        <f>September!R88</f>
        <v/>
      </c>
      <c r="S88" s="85"/>
      <c r="T88" s="325" t="str">
        <f>IFERROR(VLOOKUP(S88, Tarieven!$A$2:$J$150, 10, FALSE), "0")</f>
        <v>0</v>
      </c>
      <c r="U88" s="77" t="str">
        <f>September!U88</f>
        <v/>
      </c>
      <c r="V88" s="85" t="str">
        <f>September!V88</f>
        <v/>
      </c>
      <c r="W88" s="325" t="str">
        <f>IFERROR(VLOOKUP(V88, Tarieven!$A$2:$J$150, 10, FALSE), "0")</f>
        <v>0</v>
      </c>
      <c r="X88" s="397">
        <f>Jaarbetalingen!AD88</f>
        <v>0</v>
      </c>
      <c r="Y88" s="398">
        <v>0.0</v>
      </c>
      <c r="Z88" s="329">
        <f t="shared" si="3"/>
        <v>0</v>
      </c>
      <c r="AA88" s="32">
        <f t="shared" si="4"/>
        <v>0</v>
      </c>
      <c r="AB88" s="32">
        <f t="shared" si="5"/>
        <v>0</v>
      </c>
      <c r="AC88" s="32">
        <f t="shared" si="6"/>
        <v>0</v>
      </c>
    </row>
    <row r="89" ht="22.5" customHeight="1">
      <c r="A89" s="331" t="str">
        <f>Rooster!A90</f>
        <v/>
      </c>
      <c r="B89" s="396" t="str">
        <f>Rooster!B90</f>
        <v/>
      </c>
      <c r="C89" s="15" t="str">
        <f>Rooster!C90</f>
        <v/>
      </c>
      <c r="D89" s="11" t="str">
        <f>Rooster!D90</f>
        <v/>
      </c>
      <c r="E89" s="77"/>
      <c r="F89" s="327" t="str">
        <f>Rooster!E90</f>
        <v/>
      </c>
      <c r="G89" s="319" t="str">
        <f>IFERROR(VLOOKUP(F89, Docenten!$A$2:$G$30, 7, FALSE), "0")</f>
        <v>0</v>
      </c>
      <c r="H89" s="320">
        <f t="shared" si="1"/>
        <v>0</v>
      </c>
      <c r="I89" s="327" t="str">
        <f>Rooster!H90</f>
        <v/>
      </c>
      <c r="J89" s="321" t="str">
        <f>IFERROR(VLOOKUP(I89, Locaties!$A$2:$G$15, 7, FALSE), "0")</f>
        <v>0</v>
      </c>
      <c r="K89" s="42">
        <f t="shared" si="2"/>
        <v>0</v>
      </c>
      <c r="L89" s="322" t="str">
        <f>September!L89</f>
        <v/>
      </c>
      <c r="M89" s="85"/>
      <c r="N89" s="42" t="str">
        <f>IFERROR(VLOOKUP(M89, Tarieven!$A$1:$J$150, 10, FALSE), "0")</f>
        <v>0</v>
      </c>
      <c r="O89" s="322" t="str">
        <f>September!O89</f>
        <v/>
      </c>
      <c r="P89" s="334"/>
      <c r="Q89" s="325" t="str">
        <f>IFERROR(VLOOKUP(P89, Tarieven!$A$2:$J$150, 10, FALSE), "0")</f>
        <v>0</v>
      </c>
      <c r="R89" s="138" t="str">
        <f>September!R89</f>
        <v/>
      </c>
      <c r="S89" s="85"/>
      <c r="T89" s="325" t="str">
        <f>IFERROR(VLOOKUP(S89, Tarieven!$A$2:$J$150, 10, FALSE), "0")</f>
        <v>0</v>
      </c>
      <c r="U89" s="77" t="str">
        <f>September!U89</f>
        <v/>
      </c>
      <c r="V89" s="85" t="str">
        <f>September!V89</f>
        <v/>
      </c>
      <c r="W89" s="325" t="str">
        <f>IFERROR(VLOOKUP(V89, Tarieven!$A$2:$J$150, 10, FALSE), "0")</f>
        <v>0</v>
      </c>
      <c r="X89" s="397">
        <f>Jaarbetalingen!AD89</f>
        <v>0</v>
      </c>
      <c r="Y89" s="398">
        <v>0.0</v>
      </c>
      <c r="Z89" s="329">
        <f t="shared" si="3"/>
        <v>0</v>
      </c>
      <c r="AA89" s="32">
        <f t="shared" si="4"/>
        <v>0</v>
      </c>
      <c r="AB89" s="32">
        <f t="shared" si="5"/>
        <v>0</v>
      </c>
      <c r="AC89" s="32">
        <f t="shared" si="6"/>
        <v>0</v>
      </c>
    </row>
    <row r="90" ht="22.5" customHeight="1">
      <c r="A90" s="331" t="str">
        <f>Rooster!A91</f>
        <v/>
      </c>
      <c r="B90" s="396" t="str">
        <f>Rooster!B91</f>
        <v/>
      </c>
      <c r="C90" s="15" t="str">
        <f>Rooster!C91</f>
        <v/>
      </c>
      <c r="D90" s="11" t="str">
        <f>Rooster!D91</f>
        <v/>
      </c>
      <c r="E90" s="77"/>
      <c r="F90" s="327" t="str">
        <f>Rooster!E91</f>
        <v/>
      </c>
      <c r="G90" s="319" t="str">
        <f>IFERROR(VLOOKUP(F90, Docenten!$A$2:$G$30, 7, FALSE), "0")</f>
        <v>0</v>
      </c>
      <c r="H90" s="320">
        <f t="shared" si="1"/>
        <v>0</v>
      </c>
      <c r="I90" s="327" t="str">
        <f>Rooster!H91</f>
        <v/>
      </c>
      <c r="J90" s="321" t="str">
        <f>IFERROR(VLOOKUP(I90, Locaties!$A$2:$G$15, 7, FALSE), "0")</f>
        <v>0</v>
      </c>
      <c r="K90" s="42">
        <f t="shared" si="2"/>
        <v>0</v>
      </c>
      <c r="L90" s="322" t="str">
        <f>September!L90</f>
        <v/>
      </c>
      <c r="M90" s="85"/>
      <c r="N90" s="42" t="str">
        <f>IFERROR(VLOOKUP(M90, Tarieven!$A$1:$J$150, 10, FALSE), "0")</f>
        <v>0</v>
      </c>
      <c r="O90" s="322" t="str">
        <f>September!O90</f>
        <v/>
      </c>
      <c r="P90" s="334"/>
      <c r="Q90" s="325" t="str">
        <f>IFERROR(VLOOKUP(P90, Tarieven!$A$2:$J$150, 10, FALSE), "0")</f>
        <v>0</v>
      </c>
      <c r="R90" s="138" t="str">
        <f>September!R90</f>
        <v/>
      </c>
      <c r="S90" s="85"/>
      <c r="T90" s="325" t="str">
        <f>IFERROR(VLOOKUP(S90, Tarieven!$A$2:$J$150, 10, FALSE), "0")</f>
        <v>0</v>
      </c>
      <c r="U90" s="77" t="str">
        <f>September!U90</f>
        <v/>
      </c>
      <c r="V90" s="85" t="str">
        <f>September!V90</f>
        <v/>
      </c>
      <c r="W90" s="325" t="str">
        <f>IFERROR(VLOOKUP(V90, Tarieven!$A$2:$J$150, 10, FALSE), "0")</f>
        <v>0</v>
      </c>
      <c r="X90" s="397">
        <f>Jaarbetalingen!AD90</f>
        <v>0</v>
      </c>
      <c r="Y90" s="398">
        <v>0.0</v>
      </c>
      <c r="Z90" s="329">
        <f t="shared" si="3"/>
        <v>0</v>
      </c>
      <c r="AA90" s="32">
        <f t="shared" si="4"/>
        <v>0</v>
      </c>
      <c r="AB90" s="32">
        <f t="shared" si="5"/>
        <v>0</v>
      </c>
      <c r="AC90" s="32">
        <f t="shared" si="6"/>
        <v>0</v>
      </c>
    </row>
    <row r="91" ht="22.5" customHeight="1">
      <c r="A91" s="331" t="str">
        <f>Rooster!A92</f>
        <v/>
      </c>
      <c r="B91" s="396" t="str">
        <f>Rooster!B92</f>
        <v/>
      </c>
      <c r="C91" s="15" t="str">
        <f>Rooster!C92</f>
        <v/>
      </c>
      <c r="D91" s="11" t="str">
        <f>Rooster!D92</f>
        <v/>
      </c>
      <c r="E91" s="77"/>
      <c r="F91" s="327" t="str">
        <f>Rooster!E92</f>
        <v/>
      </c>
      <c r="G91" s="319" t="str">
        <f>IFERROR(VLOOKUP(F91, Docenten!$A$2:$G$30, 7, FALSE), "0")</f>
        <v>0</v>
      </c>
      <c r="H91" s="320">
        <f t="shared" si="1"/>
        <v>0</v>
      </c>
      <c r="I91" s="327" t="str">
        <f>Rooster!H92</f>
        <v/>
      </c>
      <c r="J91" s="321" t="str">
        <f>IFERROR(VLOOKUP(I91, Locaties!$A$2:$G$15, 7, FALSE), "0")</f>
        <v>0</v>
      </c>
      <c r="K91" s="42">
        <f t="shared" si="2"/>
        <v>0</v>
      </c>
      <c r="L91" s="322" t="str">
        <f>September!L91</f>
        <v/>
      </c>
      <c r="M91" s="85"/>
      <c r="N91" s="42" t="str">
        <f>IFERROR(VLOOKUP(M91, Tarieven!$A$1:$J$150, 10, FALSE), "0")</f>
        <v>0</v>
      </c>
      <c r="O91" s="322" t="str">
        <f>September!O91</f>
        <v/>
      </c>
      <c r="P91" s="334"/>
      <c r="Q91" s="325" t="str">
        <f>IFERROR(VLOOKUP(P91, Tarieven!$A$2:$J$150, 10, FALSE), "0")</f>
        <v>0</v>
      </c>
      <c r="R91" s="138" t="str">
        <f>September!R91</f>
        <v/>
      </c>
      <c r="S91" s="85"/>
      <c r="T91" s="325" t="str">
        <f>IFERROR(VLOOKUP(S91, Tarieven!$A$2:$J$150, 10, FALSE), "0")</f>
        <v>0</v>
      </c>
      <c r="U91" s="77" t="str">
        <f>September!U91</f>
        <v/>
      </c>
      <c r="V91" s="85" t="str">
        <f>September!V91</f>
        <v/>
      </c>
      <c r="W91" s="325" t="str">
        <f>IFERROR(VLOOKUP(V91, Tarieven!$A$2:$J$150, 10, FALSE), "0")</f>
        <v>0</v>
      </c>
      <c r="X91" s="397">
        <f>Jaarbetalingen!AD91</f>
        <v>0</v>
      </c>
      <c r="Y91" s="398">
        <v>0.0</v>
      </c>
      <c r="Z91" s="329">
        <f t="shared" si="3"/>
        <v>0</v>
      </c>
      <c r="AA91" s="32">
        <f t="shared" si="4"/>
        <v>0</v>
      </c>
      <c r="AB91" s="32">
        <f t="shared" si="5"/>
        <v>0</v>
      </c>
      <c r="AC91" s="32">
        <f t="shared" si="6"/>
        <v>0</v>
      </c>
    </row>
    <row r="92" ht="22.5" customHeight="1">
      <c r="A92" s="331" t="str">
        <f>Rooster!A93</f>
        <v/>
      </c>
      <c r="B92" s="396" t="str">
        <f>Rooster!B93</f>
        <v/>
      </c>
      <c r="C92" s="15" t="str">
        <f>Rooster!C93</f>
        <v/>
      </c>
      <c r="D92" s="11" t="str">
        <f>Rooster!D93</f>
        <v/>
      </c>
      <c r="E92" s="77"/>
      <c r="F92" s="327" t="str">
        <f>Rooster!E93</f>
        <v/>
      </c>
      <c r="G92" s="319" t="str">
        <f>IFERROR(VLOOKUP(F92, Docenten!$A$2:$G$30, 7, FALSE), "0")</f>
        <v>0</v>
      </c>
      <c r="H92" s="320">
        <f t="shared" si="1"/>
        <v>0</v>
      </c>
      <c r="I92" s="327" t="str">
        <f>Rooster!H93</f>
        <v/>
      </c>
      <c r="J92" s="321" t="str">
        <f>IFERROR(VLOOKUP(I92, Locaties!$A$2:$G$15, 7, FALSE), "0")</f>
        <v>0</v>
      </c>
      <c r="K92" s="42">
        <f t="shared" si="2"/>
        <v>0</v>
      </c>
      <c r="L92" s="322" t="str">
        <f>September!L92</f>
        <v/>
      </c>
      <c r="M92" s="85"/>
      <c r="N92" s="42" t="str">
        <f>IFERROR(VLOOKUP(M92, Tarieven!$A$1:$J$150, 10, FALSE), "0")</f>
        <v>0</v>
      </c>
      <c r="O92" s="322" t="str">
        <f>September!O92</f>
        <v/>
      </c>
      <c r="P92" s="334"/>
      <c r="Q92" s="325" t="str">
        <f>IFERROR(VLOOKUP(P92, Tarieven!$A$2:$J$150, 10, FALSE), "0")</f>
        <v>0</v>
      </c>
      <c r="R92" s="138" t="str">
        <f>September!R92</f>
        <v/>
      </c>
      <c r="S92" s="85"/>
      <c r="T92" s="325" t="str">
        <f>IFERROR(VLOOKUP(S92, Tarieven!$A$2:$J$150, 10, FALSE), "0")</f>
        <v>0</v>
      </c>
      <c r="U92" s="77" t="str">
        <f>September!U92</f>
        <v/>
      </c>
      <c r="V92" s="85" t="str">
        <f>September!V92</f>
        <v/>
      </c>
      <c r="W92" s="325" t="str">
        <f>IFERROR(VLOOKUP(V92, Tarieven!$A$2:$J$150, 10, FALSE), "0")</f>
        <v>0</v>
      </c>
      <c r="X92" s="397">
        <f>Jaarbetalingen!AD92</f>
        <v>0</v>
      </c>
      <c r="Y92" s="398">
        <v>0.0</v>
      </c>
      <c r="Z92" s="329">
        <f t="shared" si="3"/>
        <v>0</v>
      </c>
      <c r="AA92" s="32">
        <f t="shared" si="4"/>
        <v>0</v>
      </c>
      <c r="AB92" s="32">
        <f t="shared" si="5"/>
        <v>0</v>
      </c>
      <c r="AC92" s="32">
        <f t="shared" si="6"/>
        <v>0</v>
      </c>
    </row>
    <row r="93" ht="22.5" customHeight="1">
      <c r="A93" s="331" t="str">
        <f>Rooster!A94</f>
        <v/>
      </c>
      <c r="B93" s="396" t="str">
        <f>Rooster!B94</f>
        <v/>
      </c>
      <c r="C93" s="15" t="str">
        <f>Rooster!C94</f>
        <v/>
      </c>
      <c r="D93" s="11" t="str">
        <f>Rooster!D94</f>
        <v/>
      </c>
      <c r="E93" s="77"/>
      <c r="F93" s="327" t="str">
        <f>Rooster!E94</f>
        <v/>
      </c>
      <c r="G93" s="319" t="str">
        <f>IFERROR(VLOOKUP(F93, Docenten!$A$2:$G$30, 7, FALSE), "0")</f>
        <v>0</v>
      </c>
      <c r="H93" s="320">
        <f t="shared" si="1"/>
        <v>0</v>
      </c>
      <c r="I93" s="327" t="str">
        <f>Rooster!H94</f>
        <v/>
      </c>
      <c r="J93" s="321" t="str">
        <f>IFERROR(VLOOKUP(I93, Locaties!$A$2:$G$15, 7, FALSE), "0")</f>
        <v>0</v>
      </c>
      <c r="K93" s="42">
        <f t="shared" si="2"/>
        <v>0</v>
      </c>
      <c r="L93" s="322" t="str">
        <f>September!L93</f>
        <v/>
      </c>
      <c r="M93" s="85"/>
      <c r="N93" s="42" t="str">
        <f>IFERROR(VLOOKUP(M93, Tarieven!$A$1:$J$150, 10, FALSE), "0")</f>
        <v>0</v>
      </c>
      <c r="O93" s="322" t="str">
        <f>September!O93</f>
        <v/>
      </c>
      <c r="P93" s="334"/>
      <c r="Q93" s="325" t="str">
        <f>IFERROR(VLOOKUP(P93, Tarieven!$A$2:$J$150, 10, FALSE), "0")</f>
        <v>0</v>
      </c>
      <c r="R93" s="138" t="str">
        <f>September!R93</f>
        <v/>
      </c>
      <c r="S93" s="85"/>
      <c r="T93" s="325" t="str">
        <f>IFERROR(VLOOKUP(S93, Tarieven!$A$2:$J$150, 10, FALSE), "0")</f>
        <v>0</v>
      </c>
      <c r="U93" s="77" t="str">
        <f>September!U93</f>
        <v/>
      </c>
      <c r="V93" s="85" t="str">
        <f>September!V93</f>
        <v/>
      </c>
      <c r="W93" s="325" t="str">
        <f>IFERROR(VLOOKUP(V93, Tarieven!$A$2:$J$150, 10, FALSE), "0")</f>
        <v>0</v>
      </c>
      <c r="X93" s="397">
        <f>Jaarbetalingen!AD93</f>
        <v>0</v>
      </c>
      <c r="Y93" s="398">
        <v>0.0</v>
      </c>
      <c r="Z93" s="329">
        <f t="shared" si="3"/>
        <v>0</v>
      </c>
      <c r="AA93" s="32">
        <f t="shared" si="4"/>
        <v>0</v>
      </c>
      <c r="AB93" s="32">
        <f t="shared" si="5"/>
        <v>0</v>
      </c>
      <c r="AC93" s="32">
        <f t="shared" si="6"/>
        <v>0</v>
      </c>
    </row>
    <row r="94" ht="22.5" customHeight="1">
      <c r="A94" s="331" t="str">
        <f>Rooster!A95</f>
        <v/>
      </c>
      <c r="B94" s="396" t="str">
        <f>Rooster!B95</f>
        <v/>
      </c>
      <c r="C94" s="15" t="str">
        <f>Rooster!C95</f>
        <v/>
      </c>
      <c r="D94" s="11" t="str">
        <f>Rooster!D95</f>
        <v/>
      </c>
      <c r="E94" s="77"/>
      <c r="F94" s="327" t="str">
        <f>Rooster!E95</f>
        <v/>
      </c>
      <c r="G94" s="319" t="str">
        <f>IFERROR(VLOOKUP(F94, Docenten!$A$2:$G$30, 7, FALSE), "0")</f>
        <v>0</v>
      </c>
      <c r="H94" s="320">
        <f t="shared" si="1"/>
        <v>0</v>
      </c>
      <c r="I94" s="327" t="str">
        <f>Rooster!H95</f>
        <v/>
      </c>
      <c r="J94" s="321" t="str">
        <f>IFERROR(VLOOKUP(I94, Locaties!$A$2:$G$15, 7, FALSE), "0")</f>
        <v>0</v>
      </c>
      <c r="K94" s="42">
        <f t="shared" si="2"/>
        <v>0</v>
      </c>
      <c r="L94" s="322" t="str">
        <f>September!L94</f>
        <v/>
      </c>
      <c r="M94" s="85"/>
      <c r="N94" s="42" t="str">
        <f>IFERROR(VLOOKUP(M94, Tarieven!$A$1:$J$150, 10, FALSE), "0")</f>
        <v>0</v>
      </c>
      <c r="O94" s="322" t="str">
        <f>September!O94</f>
        <v/>
      </c>
      <c r="P94" s="334"/>
      <c r="Q94" s="325" t="str">
        <f>IFERROR(VLOOKUP(P94, Tarieven!$A$2:$J$150, 10, FALSE), "0")</f>
        <v>0</v>
      </c>
      <c r="R94" s="138" t="str">
        <f>September!R94</f>
        <v/>
      </c>
      <c r="S94" s="85"/>
      <c r="T94" s="325" t="str">
        <f>IFERROR(VLOOKUP(S94, Tarieven!$A$2:$J$150, 10, FALSE), "0")</f>
        <v>0</v>
      </c>
      <c r="U94" s="77" t="str">
        <f>September!U94</f>
        <v/>
      </c>
      <c r="V94" s="85" t="str">
        <f>September!V94</f>
        <v/>
      </c>
      <c r="W94" s="325" t="str">
        <f>IFERROR(VLOOKUP(V94, Tarieven!$A$2:$J$150, 10, FALSE), "0")</f>
        <v>0</v>
      </c>
      <c r="X94" s="397">
        <f>Jaarbetalingen!AD94</f>
        <v>0</v>
      </c>
      <c r="Y94" s="398">
        <v>0.0</v>
      </c>
      <c r="Z94" s="329">
        <f t="shared" si="3"/>
        <v>0</v>
      </c>
      <c r="AA94" s="32">
        <f t="shared" si="4"/>
        <v>0</v>
      </c>
      <c r="AB94" s="32">
        <f t="shared" si="5"/>
        <v>0</v>
      </c>
      <c r="AC94" s="32">
        <f t="shared" si="6"/>
        <v>0</v>
      </c>
    </row>
    <row r="95" ht="22.5" customHeight="1">
      <c r="A95" s="331" t="str">
        <f>Rooster!A96</f>
        <v/>
      </c>
      <c r="B95" s="396" t="str">
        <f>Rooster!B96</f>
        <v/>
      </c>
      <c r="C95" s="15" t="str">
        <f>Rooster!C96</f>
        <v/>
      </c>
      <c r="D95" s="11" t="str">
        <f>Rooster!D96</f>
        <v/>
      </c>
      <c r="E95" s="77"/>
      <c r="F95" s="327" t="str">
        <f>Rooster!E96</f>
        <v/>
      </c>
      <c r="G95" s="319" t="str">
        <f>IFERROR(VLOOKUP(F95, Docenten!$A$2:$G$30, 7, FALSE), "0")</f>
        <v>0</v>
      </c>
      <c r="H95" s="320">
        <f t="shared" si="1"/>
        <v>0</v>
      </c>
      <c r="I95" s="327" t="str">
        <f>Rooster!H96</f>
        <v/>
      </c>
      <c r="J95" s="321" t="str">
        <f>IFERROR(VLOOKUP(I95, Locaties!$A$2:$G$15, 7, FALSE), "0")</f>
        <v>0</v>
      </c>
      <c r="K95" s="42">
        <f t="shared" si="2"/>
        <v>0</v>
      </c>
      <c r="L95" s="322" t="str">
        <f>September!L95</f>
        <v/>
      </c>
      <c r="M95" s="85"/>
      <c r="N95" s="42" t="str">
        <f>IFERROR(VLOOKUP(M95, Tarieven!$A$1:$J$150, 10, FALSE), "0")</f>
        <v>0</v>
      </c>
      <c r="O95" s="322" t="str">
        <f>September!O95</f>
        <v/>
      </c>
      <c r="P95" s="334"/>
      <c r="Q95" s="325" t="str">
        <f>IFERROR(VLOOKUP(P95, Tarieven!$A$2:$J$150, 10, FALSE), "0")</f>
        <v>0</v>
      </c>
      <c r="R95" s="138" t="str">
        <f>September!R95</f>
        <v/>
      </c>
      <c r="S95" s="85"/>
      <c r="T95" s="325" t="str">
        <f>IFERROR(VLOOKUP(S95, Tarieven!$A$2:$J$150, 10, FALSE), "0")</f>
        <v>0</v>
      </c>
      <c r="U95" s="77" t="str">
        <f>September!U95</f>
        <v/>
      </c>
      <c r="V95" s="85" t="str">
        <f>September!V95</f>
        <v/>
      </c>
      <c r="W95" s="325" t="str">
        <f>IFERROR(VLOOKUP(V95, Tarieven!$A$2:$J$150, 10, FALSE), "0")</f>
        <v>0</v>
      </c>
      <c r="X95" s="397">
        <f>Jaarbetalingen!AD95</f>
        <v>0</v>
      </c>
      <c r="Y95" s="398">
        <v>0.0</v>
      </c>
      <c r="Z95" s="329">
        <f t="shared" si="3"/>
        <v>0</v>
      </c>
      <c r="AA95" s="32">
        <f t="shared" si="4"/>
        <v>0</v>
      </c>
      <c r="AB95" s="32">
        <f t="shared" si="5"/>
        <v>0</v>
      </c>
      <c r="AC95" s="32">
        <f t="shared" si="6"/>
        <v>0</v>
      </c>
    </row>
    <row r="96" ht="22.5" customHeight="1">
      <c r="A96" s="331" t="str">
        <f>Rooster!A97</f>
        <v/>
      </c>
      <c r="B96" s="396" t="str">
        <f>Rooster!B97</f>
        <v/>
      </c>
      <c r="C96" s="15" t="str">
        <f>Rooster!C97</f>
        <v/>
      </c>
      <c r="D96" s="11" t="str">
        <f>Rooster!D97</f>
        <v/>
      </c>
      <c r="E96" s="77"/>
      <c r="F96" s="327" t="str">
        <f>Rooster!E97</f>
        <v/>
      </c>
      <c r="G96" s="319" t="str">
        <f>IFERROR(VLOOKUP(F96, Docenten!$A$2:$G$30, 7, FALSE), "0")</f>
        <v>0</v>
      </c>
      <c r="H96" s="320">
        <f t="shared" si="1"/>
        <v>0</v>
      </c>
      <c r="I96" s="327" t="str">
        <f>Rooster!H97</f>
        <v/>
      </c>
      <c r="J96" s="321" t="str">
        <f>IFERROR(VLOOKUP(I96, Locaties!$A$2:$G$15, 7, FALSE), "0")</f>
        <v>0</v>
      </c>
      <c r="K96" s="42">
        <f t="shared" si="2"/>
        <v>0</v>
      </c>
      <c r="L96" s="322" t="str">
        <f>September!L96</f>
        <v/>
      </c>
      <c r="M96" s="85"/>
      <c r="N96" s="42" t="str">
        <f>IFERROR(VLOOKUP(M96, Tarieven!$A$1:$J$150, 10, FALSE), "0")</f>
        <v>0</v>
      </c>
      <c r="O96" s="322" t="str">
        <f>September!O96</f>
        <v/>
      </c>
      <c r="P96" s="334"/>
      <c r="Q96" s="325" t="str">
        <f>IFERROR(VLOOKUP(P96, Tarieven!$A$2:$J$150, 10, FALSE), "0")</f>
        <v>0</v>
      </c>
      <c r="R96" s="138" t="str">
        <f>September!R96</f>
        <v/>
      </c>
      <c r="S96" s="85"/>
      <c r="T96" s="325" t="str">
        <f>IFERROR(VLOOKUP(S96, Tarieven!$A$2:$J$150, 10, FALSE), "0")</f>
        <v>0</v>
      </c>
      <c r="U96" s="77" t="str">
        <f>September!U96</f>
        <v/>
      </c>
      <c r="V96" s="85" t="str">
        <f>September!V96</f>
        <v/>
      </c>
      <c r="W96" s="325" t="str">
        <f>IFERROR(VLOOKUP(V96, Tarieven!$A$2:$J$150, 10, FALSE), "0")</f>
        <v>0</v>
      </c>
      <c r="X96" s="397">
        <f>Jaarbetalingen!AD96</f>
        <v>0</v>
      </c>
      <c r="Y96" s="398">
        <v>0.0</v>
      </c>
      <c r="Z96" s="329">
        <f t="shared" si="3"/>
        <v>0</v>
      </c>
      <c r="AA96" s="32">
        <f t="shared" si="4"/>
        <v>0</v>
      </c>
      <c r="AB96" s="32">
        <f t="shared" si="5"/>
        <v>0</v>
      </c>
      <c r="AC96" s="32">
        <f t="shared" si="6"/>
        <v>0</v>
      </c>
    </row>
    <row r="97" ht="22.5" customHeight="1">
      <c r="A97" s="331" t="str">
        <f>Rooster!A98</f>
        <v/>
      </c>
      <c r="B97" s="396" t="str">
        <f>Rooster!B98</f>
        <v/>
      </c>
      <c r="C97" s="15" t="str">
        <f>Rooster!C98</f>
        <v/>
      </c>
      <c r="D97" s="11" t="str">
        <f>Rooster!D98</f>
        <v/>
      </c>
      <c r="E97" s="77"/>
      <c r="F97" s="327" t="str">
        <f>Rooster!E98</f>
        <v/>
      </c>
      <c r="G97" s="319" t="str">
        <f>IFERROR(VLOOKUP(F97, Docenten!$A$2:$G$30, 7, FALSE), "0")</f>
        <v>0</v>
      </c>
      <c r="H97" s="320">
        <f t="shared" si="1"/>
        <v>0</v>
      </c>
      <c r="I97" s="327" t="str">
        <f>Rooster!H98</f>
        <v/>
      </c>
      <c r="J97" s="321" t="str">
        <f>IFERROR(VLOOKUP(I97, Locaties!$A$2:$G$15, 7, FALSE), "0")</f>
        <v>0</v>
      </c>
      <c r="K97" s="42">
        <f t="shared" si="2"/>
        <v>0</v>
      </c>
      <c r="L97" s="322" t="str">
        <f>September!L97</f>
        <v/>
      </c>
      <c r="M97" s="85"/>
      <c r="N97" s="42" t="str">
        <f>IFERROR(VLOOKUP(M97, Tarieven!$A$1:$J$150, 10, FALSE), "0")</f>
        <v>0</v>
      </c>
      <c r="O97" s="322" t="str">
        <f>September!O97</f>
        <v/>
      </c>
      <c r="P97" s="334"/>
      <c r="Q97" s="325" t="str">
        <f>IFERROR(VLOOKUP(P97, Tarieven!$A$2:$J$150, 10, FALSE), "0")</f>
        <v>0</v>
      </c>
      <c r="R97" s="138" t="str">
        <f>September!R97</f>
        <v/>
      </c>
      <c r="S97" s="85"/>
      <c r="T97" s="325" t="str">
        <f>IFERROR(VLOOKUP(S97, Tarieven!$A$2:$J$150, 10, FALSE), "0")</f>
        <v>0</v>
      </c>
      <c r="U97" s="77" t="str">
        <f>September!U97</f>
        <v/>
      </c>
      <c r="V97" s="85" t="str">
        <f>September!V97</f>
        <v/>
      </c>
      <c r="W97" s="325" t="str">
        <f>IFERROR(VLOOKUP(V97, Tarieven!$A$2:$J$150, 10, FALSE), "0")</f>
        <v>0</v>
      </c>
      <c r="X97" s="397">
        <f>Jaarbetalingen!AD97</f>
        <v>0</v>
      </c>
      <c r="Y97" s="398">
        <v>0.0</v>
      </c>
      <c r="Z97" s="329">
        <f t="shared" si="3"/>
        <v>0</v>
      </c>
      <c r="AA97" s="32">
        <f t="shared" si="4"/>
        <v>0</v>
      </c>
      <c r="AB97" s="32">
        <f t="shared" si="5"/>
        <v>0</v>
      </c>
      <c r="AC97" s="32">
        <f t="shared" si="6"/>
        <v>0</v>
      </c>
    </row>
    <row r="98" ht="22.5" customHeight="1">
      <c r="A98" s="331" t="str">
        <f>Rooster!A99</f>
        <v/>
      </c>
      <c r="B98" s="396" t="str">
        <f>Rooster!B99</f>
        <v/>
      </c>
      <c r="C98" s="15" t="str">
        <f>Rooster!C99</f>
        <v/>
      </c>
      <c r="D98" s="11" t="str">
        <f>Rooster!D99</f>
        <v/>
      </c>
      <c r="E98" s="77"/>
      <c r="F98" s="327" t="str">
        <f>Rooster!E99</f>
        <v/>
      </c>
      <c r="G98" s="319" t="str">
        <f>IFERROR(VLOOKUP(F98, Docenten!$A$2:$G$30, 7, FALSE), "0")</f>
        <v>0</v>
      </c>
      <c r="H98" s="320">
        <f t="shared" si="1"/>
        <v>0</v>
      </c>
      <c r="I98" s="327" t="str">
        <f>Rooster!H99</f>
        <v/>
      </c>
      <c r="J98" s="321" t="str">
        <f>IFERROR(VLOOKUP(I98, Locaties!$A$2:$G$15, 7, FALSE), "0")</f>
        <v>0</v>
      </c>
      <c r="K98" s="42">
        <f t="shared" si="2"/>
        <v>0</v>
      </c>
      <c r="L98" s="322" t="str">
        <f>September!L98</f>
        <v/>
      </c>
      <c r="M98" s="85"/>
      <c r="N98" s="42" t="str">
        <f>IFERROR(VLOOKUP(M98, Tarieven!$A$1:$J$150, 10, FALSE), "0")</f>
        <v>0</v>
      </c>
      <c r="O98" s="322" t="str">
        <f>September!O98</f>
        <v/>
      </c>
      <c r="P98" s="334"/>
      <c r="Q98" s="325" t="str">
        <f>IFERROR(VLOOKUP(P98, Tarieven!$A$2:$J$150, 10, FALSE), "0")</f>
        <v>0</v>
      </c>
      <c r="R98" s="138" t="str">
        <f>September!R98</f>
        <v/>
      </c>
      <c r="S98" s="85"/>
      <c r="T98" s="325" t="str">
        <f>IFERROR(VLOOKUP(S98, Tarieven!$A$2:$J$150, 10, FALSE), "0")</f>
        <v>0</v>
      </c>
      <c r="U98" s="77" t="str">
        <f>September!U98</f>
        <v/>
      </c>
      <c r="V98" s="85" t="str">
        <f>September!V98</f>
        <v/>
      </c>
      <c r="W98" s="325" t="str">
        <f>IFERROR(VLOOKUP(V98, Tarieven!$A$2:$J$150, 10, FALSE), "0")</f>
        <v>0</v>
      </c>
      <c r="X98" s="397">
        <f>Jaarbetalingen!AD98</f>
        <v>0</v>
      </c>
      <c r="Y98" s="398">
        <v>0.0</v>
      </c>
      <c r="Z98" s="329">
        <f t="shared" si="3"/>
        <v>0</v>
      </c>
      <c r="AA98" s="32">
        <f t="shared" si="4"/>
        <v>0</v>
      </c>
      <c r="AB98" s="32">
        <f t="shared" si="5"/>
        <v>0</v>
      </c>
      <c r="AC98" s="32">
        <f t="shared" si="6"/>
        <v>0</v>
      </c>
    </row>
    <row r="99" ht="22.5" customHeight="1">
      <c r="A99" s="331" t="str">
        <f>Rooster!A100</f>
        <v/>
      </c>
      <c r="B99" s="396" t="str">
        <f>Rooster!B100</f>
        <v/>
      </c>
      <c r="C99" s="15" t="str">
        <f>Rooster!C100</f>
        <v/>
      </c>
      <c r="D99" s="11" t="str">
        <f>Rooster!D100</f>
        <v/>
      </c>
      <c r="E99" s="77"/>
      <c r="F99" s="327" t="str">
        <f>Rooster!E100</f>
        <v/>
      </c>
      <c r="G99" s="319" t="str">
        <f>IFERROR(VLOOKUP(F99, Docenten!$A$2:$G$30, 7, FALSE), "0")</f>
        <v>0</v>
      </c>
      <c r="H99" s="320">
        <f t="shared" si="1"/>
        <v>0</v>
      </c>
      <c r="I99" s="327" t="str">
        <f>Rooster!H100</f>
        <v/>
      </c>
      <c r="J99" s="321" t="str">
        <f>IFERROR(VLOOKUP(I99, Locaties!$A$2:$G$15, 7, FALSE), "0")</f>
        <v>0</v>
      </c>
      <c r="K99" s="42">
        <f t="shared" si="2"/>
        <v>0</v>
      </c>
      <c r="L99" s="322" t="str">
        <f>September!L99</f>
        <v/>
      </c>
      <c r="M99" s="85"/>
      <c r="N99" s="42" t="str">
        <f>IFERROR(VLOOKUP(M99, Tarieven!$A$1:$J$150, 10, FALSE), "0")</f>
        <v>0</v>
      </c>
      <c r="O99" s="322" t="str">
        <f>September!O99</f>
        <v/>
      </c>
      <c r="P99" s="334"/>
      <c r="Q99" s="325" t="str">
        <f>IFERROR(VLOOKUP(P99, Tarieven!$A$2:$J$150, 10, FALSE), "0")</f>
        <v>0</v>
      </c>
      <c r="R99" s="138" t="str">
        <f>September!R99</f>
        <v/>
      </c>
      <c r="S99" s="85"/>
      <c r="T99" s="325" t="str">
        <f>IFERROR(VLOOKUP(S99, Tarieven!$A$2:$J$150, 10, FALSE), "0")</f>
        <v>0</v>
      </c>
      <c r="U99" s="77" t="str">
        <f>September!U99</f>
        <v/>
      </c>
      <c r="V99" s="85" t="str">
        <f>September!V99</f>
        <v/>
      </c>
      <c r="W99" s="325" t="str">
        <f>IFERROR(VLOOKUP(V99, Tarieven!$A$2:$J$150, 10, FALSE), "0")</f>
        <v>0</v>
      </c>
      <c r="X99" s="397">
        <f>Jaarbetalingen!AD99</f>
        <v>0</v>
      </c>
      <c r="Y99" s="398">
        <v>0.0</v>
      </c>
      <c r="Z99" s="329">
        <f t="shared" si="3"/>
        <v>0</v>
      </c>
      <c r="AA99" s="32">
        <f t="shared" si="4"/>
        <v>0</v>
      </c>
      <c r="AB99" s="32">
        <f t="shared" si="5"/>
        <v>0</v>
      </c>
      <c r="AC99" s="32">
        <f t="shared" si="6"/>
        <v>0</v>
      </c>
    </row>
    <row r="100" ht="22.5" customHeight="1">
      <c r="A100" s="331" t="str">
        <f>Rooster!A101</f>
        <v/>
      </c>
      <c r="B100" s="396" t="str">
        <f>Rooster!B101</f>
        <v/>
      </c>
      <c r="C100" s="15" t="str">
        <f>Rooster!C101</f>
        <v/>
      </c>
      <c r="D100" s="11" t="str">
        <f>Rooster!D101</f>
        <v/>
      </c>
      <c r="E100" s="77"/>
      <c r="F100" s="327" t="str">
        <f>Rooster!E101</f>
        <v/>
      </c>
      <c r="G100" s="319" t="str">
        <f>IFERROR(VLOOKUP(F100, Docenten!$A$2:$G$30, 7, FALSE), "0")</f>
        <v>0</v>
      </c>
      <c r="H100" s="320">
        <f t="shared" si="1"/>
        <v>0</v>
      </c>
      <c r="I100" s="327" t="str">
        <f>Rooster!H101</f>
        <v/>
      </c>
      <c r="J100" s="321" t="str">
        <f>IFERROR(VLOOKUP(I100, Locaties!$A$2:$G$15, 7, FALSE), "0")</f>
        <v>0</v>
      </c>
      <c r="K100" s="42">
        <f t="shared" si="2"/>
        <v>0</v>
      </c>
      <c r="L100" s="322" t="str">
        <f>September!L100</f>
        <v/>
      </c>
      <c r="M100" s="85"/>
      <c r="N100" s="42" t="str">
        <f>IFERROR(VLOOKUP(M100, Tarieven!$A$1:$J$150, 10, FALSE), "0")</f>
        <v>0</v>
      </c>
      <c r="O100" s="322" t="str">
        <f>September!O100</f>
        <v/>
      </c>
      <c r="P100" s="334"/>
      <c r="Q100" s="325" t="str">
        <f>IFERROR(VLOOKUP(P100, Tarieven!$A$2:$J$150, 10, FALSE), "0")</f>
        <v>0</v>
      </c>
      <c r="R100" s="138" t="str">
        <f>September!R100</f>
        <v/>
      </c>
      <c r="S100" s="85"/>
      <c r="T100" s="325" t="str">
        <f>IFERROR(VLOOKUP(S100, Tarieven!$A$2:$J$150, 10, FALSE), "0")</f>
        <v>0</v>
      </c>
      <c r="U100" s="77" t="str">
        <f>September!U100</f>
        <v/>
      </c>
      <c r="V100" s="85" t="str">
        <f>September!V100</f>
        <v/>
      </c>
      <c r="W100" s="325" t="str">
        <f>IFERROR(VLOOKUP(V100, Tarieven!$A$2:$J$150, 10, FALSE), "0")</f>
        <v>0</v>
      </c>
      <c r="X100" s="397">
        <f>Jaarbetalingen!AD100</f>
        <v>0</v>
      </c>
      <c r="Y100" s="398">
        <v>0.0</v>
      </c>
      <c r="Z100" s="329">
        <f t="shared" si="3"/>
        <v>0</v>
      </c>
      <c r="AA100" s="32">
        <f t="shared" si="4"/>
        <v>0</v>
      </c>
      <c r="AB100" s="32">
        <f t="shared" si="5"/>
        <v>0</v>
      </c>
      <c r="AC100" s="32">
        <f t="shared" si="6"/>
        <v>0</v>
      </c>
    </row>
    <row r="101" ht="22.5" customHeight="1">
      <c r="A101" s="331" t="str">
        <f>Rooster!A102</f>
        <v/>
      </c>
      <c r="B101" s="396" t="str">
        <f>Rooster!B102</f>
        <v/>
      </c>
      <c r="C101" s="15" t="str">
        <f>Rooster!C102</f>
        <v/>
      </c>
      <c r="D101" s="11" t="str">
        <f>Rooster!D102</f>
        <v/>
      </c>
      <c r="E101" s="77"/>
      <c r="F101" s="327" t="str">
        <f>Rooster!E102</f>
        <v/>
      </c>
      <c r="G101" s="319" t="str">
        <f>IFERROR(VLOOKUP(F101, Docenten!$A$2:$G$30, 7, FALSE), "0")</f>
        <v>0</v>
      </c>
      <c r="H101" s="320">
        <f t="shared" si="1"/>
        <v>0</v>
      </c>
      <c r="I101" s="327" t="str">
        <f>Rooster!H102</f>
        <v/>
      </c>
      <c r="J101" s="321" t="str">
        <f>IFERROR(VLOOKUP(I101, Locaties!$A$2:$G$15, 7, FALSE), "0")</f>
        <v>0</v>
      </c>
      <c r="K101" s="42">
        <f t="shared" si="2"/>
        <v>0</v>
      </c>
      <c r="L101" s="416">
        <f>SUM(L2:L100)</f>
        <v>93</v>
      </c>
      <c r="M101" s="85"/>
      <c r="N101" s="42" t="str">
        <f>IFERROR(VLOOKUP(M101, Tarieven!$A$1:$J$150, 10, FALSE), "0")</f>
        <v>0</v>
      </c>
      <c r="O101" s="416">
        <f>SUM(O2:O100)</f>
        <v>53</v>
      </c>
      <c r="P101" s="334"/>
      <c r="Q101" s="325" t="str">
        <f>IFERROR(VLOOKUP(P101, Tarieven!$A$2:$J$150, 10, FALSE), "0")</f>
        <v>0</v>
      </c>
      <c r="R101" s="413">
        <f>SUM(R2:R100)</f>
        <v>24</v>
      </c>
      <c r="S101" s="85"/>
      <c r="T101" s="325" t="str">
        <f>IFERROR(VLOOKUP(S101, Tarieven!$A$2:$J$150, 10, FALSE), "0")</f>
        <v>0</v>
      </c>
      <c r="U101" s="413">
        <f>September!U101</f>
        <v>0</v>
      </c>
      <c r="V101" s="85" t="str">
        <f>September!V101</f>
        <v/>
      </c>
      <c r="W101" s="325" t="str">
        <f>IFERROR(VLOOKUP(V101, Tarieven!$A$2:$J$150, 10, FALSE), "0")</f>
        <v>0</v>
      </c>
      <c r="X101" s="413">
        <f>Jaarbetalingen!AD101</f>
        <v>220</v>
      </c>
      <c r="Y101" s="398">
        <v>0.0</v>
      </c>
      <c r="Z101" s="329">
        <f>SUM(Z2:Z100)</f>
        <v>390</v>
      </c>
      <c r="AA101" s="32">
        <f t="shared" si="4"/>
        <v>0</v>
      </c>
      <c r="AB101" s="32">
        <f t="shared" si="5"/>
        <v>0</v>
      </c>
      <c r="AC101" s="32">
        <f t="shared" si="6"/>
        <v>0</v>
      </c>
    </row>
  </sheetData>
  <conditionalFormatting sqref="AG7">
    <cfRule type="cellIs" dxfId="7" priority="1" operator="lessThan">
      <formula>0</formula>
    </cfRule>
  </conditionalFormatting>
  <conditionalFormatting sqref="AC2:AC101">
    <cfRule type="cellIs" dxfId="7" priority="2" operator="lessThan">
      <formula>0</formula>
    </cfRule>
  </conditionalFormatting>
  <dataValidations>
    <dataValidation type="list" allowBlank="1" sqref="A2:A101">
      <formula1>"Maandag,Dinsdag,Woensdag,Donderdag,Vrijdag,Zaterdag,Zondag"</formula1>
    </dataValidation>
    <dataValidation type="custom" allowBlank="1" showDropDown="1" sqref="B2:B101">
      <formula1>OR(TIMEVALUE(TEXT(B2, "hh:mm:ss"))=B2, AND(ISNUMBER(B2), LEFT(CELL("format", B2))="D"))</formula1>
    </dataValidation>
    <dataValidation type="custom" allowBlank="1" showDropDown="1" sqref="L2:L101 N2:N101 AA2:AB101">
      <formula1>AND(ISNUMBER(L2),(NOT(OR(NOT(ISERROR(DATEVALUE(L2))), AND(ISNUMBER(L2), LEFT(CELL("format", L2))="D")))))</formula1>
    </dataValidation>
    <dataValidation type="list" allowBlank="1" sqref="F2:F101 I2:I101 M2:M101 P2:P101 S2:S101 V2:V101">
      <formula1>#REF!</formula1>
    </dataValidation>
    <dataValidation allowBlank="1" showDropDown="1" sqref="D2:D101"/>
    <dataValidation type="custom" allowBlank="1" showDropDown="1" sqref="C2:C101 E2:E101 G2:H101 J2:K101 O2:O101 Q2:R101 T2:U101 W2:Z101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1.22" defaultRowHeight="15.0"/>
  <cols>
    <col customWidth="1" min="1" max="1" width="15.33"/>
    <col customWidth="1" min="2" max="2" width="13.67"/>
    <col customWidth="1" min="3" max="3" width="14.22"/>
    <col customWidth="1" min="4" max="4" width="22.0"/>
    <col customWidth="1" min="5" max="5" width="17.11"/>
    <col customWidth="1" min="6" max="6" width="15.11"/>
    <col customWidth="1" hidden="1" min="7" max="7" width="15.11"/>
    <col customWidth="1" min="8" max="9" width="15.11"/>
    <col customWidth="1" hidden="1" min="10" max="10" width="15.44"/>
    <col customWidth="1" min="11" max="11" width="15.44"/>
    <col customWidth="1" min="12" max="12" width="17.56"/>
    <col customWidth="1" min="13" max="13" width="20.0"/>
    <col customWidth="1" min="14" max="14" width="16.78"/>
    <col customWidth="1" min="15" max="15" width="17.56"/>
    <col customWidth="1" min="16" max="16" width="20.0"/>
    <col customWidth="1" min="17" max="17" width="14.78"/>
    <col customWidth="1" min="18" max="18" width="17.56"/>
    <col customWidth="1" min="19" max="19" width="20.0"/>
    <col customWidth="1" min="20" max="20" width="13.78"/>
    <col customWidth="1" min="21" max="21" width="16.67"/>
    <col customWidth="1" min="22" max="22" width="18.56"/>
    <col customWidth="1" min="23" max="23" width="13.78"/>
    <col customWidth="1" min="24" max="24" width="23.11"/>
    <col customWidth="1" min="25" max="25" width="20.56"/>
    <col customWidth="1" min="26" max="26" width="18.0"/>
    <col customWidth="1" min="27" max="27" width="16.33"/>
    <col customWidth="1" min="28" max="28" width="19.22"/>
    <col customWidth="1" min="29" max="30" width="16.89"/>
    <col customWidth="1" min="31" max="31" width="16.78"/>
    <col customWidth="1" min="32" max="32" width="16.89"/>
    <col customWidth="1" min="33" max="34" width="17.0"/>
  </cols>
  <sheetData>
    <row r="1" ht="22.5" customHeight="1">
      <c r="A1" s="1" t="s">
        <v>94</v>
      </c>
      <c r="B1" s="1" t="s">
        <v>95</v>
      </c>
      <c r="C1" s="1" t="s">
        <v>273</v>
      </c>
      <c r="D1" s="1" t="s">
        <v>98</v>
      </c>
      <c r="E1" s="302" t="s">
        <v>274</v>
      </c>
      <c r="F1" s="302" t="s">
        <v>99</v>
      </c>
      <c r="G1" s="303" t="s">
        <v>100</v>
      </c>
      <c r="H1" s="303" t="s">
        <v>275</v>
      </c>
      <c r="I1" s="304" t="s">
        <v>102</v>
      </c>
      <c r="J1" s="304" t="s">
        <v>103</v>
      </c>
      <c r="K1" s="304" t="s">
        <v>104</v>
      </c>
      <c r="L1" s="305" t="s">
        <v>276</v>
      </c>
      <c r="M1" s="305" t="s">
        <v>298</v>
      </c>
      <c r="N1" s="306" t="s">
        <v>278</v>
      </c>
      <c r="O1" s="307" t="s">
        <v>279</v>
      </c>
      <c r="P1" s="392" t="s">
        <v>300</v>
      </c>
      <c r="Q1" s="308" t="s">
        <v>281</v>
      </c>
      <c r="R1" s="309" t="s">
        <v>282</v>
      </c>
      <c r="S1" s="309" t="s">
        <v>302</v>
      </c>
      <c r="T1" s="310" t="s">
        <v>284</v>
      </c>
      <c r="U1" s="393" t="s">
        <v>285</v>
      </c>
      <c r="V1" s="393" t="s">
        <v>304</v>
      </c>
      <c r="W1" s="311" t="s">
        <v>305</v>
      </c>
      <c r="X1" s="394" t="s">
        <v>306</v>
      </c>
      <c r="Y1" s="395" t="s">
        <v>307</v>
      </c>
      <c r="Z1" s="314" t="s">
        <v>294</v>
      </c>
      <c r="AA1" s="314" t="s">
        <v>295</v>
      </c>
      <c r="AB1" s="1" t="s">
        <v>308</v>
      </c>
      <c r="AC1" s="1" t="s">
        <v>297</v>
      </c>
      <c r="AD1" s="418" t="s">
        <v>319</v>
      </c>
    </row>
    <row r="2" ht="22.5" customHeight="1">
      <c r="A2" s="331" t="str">
        <f>Rooster!A3</f>
        <v/>
      </c>
      <c r="B2" s="396" t="str">
        <f>Rooster!B3</f>
        <v/>
      </c>
      <c r="C2" s="15" t="str">
        <f>Rooster!C3</f>
        <v/>
      </c>
      <c r="D2" s="11" t="str">
        <f>Rooster!D3</f>
        <v/>
      </c>
      <c r="E2" s="77"/>
      <c r="F2" s="327" t="str">
        <f>Rooster!E3</f>
        <v/>
      </c>
      <c r="G2" s="319" t="str">
        <f>IFERROR(VLOOKUP(F2, Docenten!$A$2:$G$30, 7, FALSE), "0")</f>
        <v>0</v>
      </c>
      <c r="H2" s="320">
        <f t="shared" ref="H2:H42" si="1">SUM(G2/60)*C2</f>
        <v>0</v>
      </c>
      <c r="I2" s="327" t="str">
        <f>Rooster!H3</f>
        <v/>
      </c>
      <c r="J2" s="321" t="str">
        <f>IFERROR(VLOOKUP(I2, Locaties!$A$2:$G$15, 7, FALSE), "0")</f>
        <v>0</v>
      </c>
      <c r="K2" s="42">
        <f t="shared" ref="K2:K101" si="2">SUM(J2/60)*C2</f>
        <v>0</v>
      </c>
      <c r="L2" s="322"/>
      <c r="M2" s="70"/>
      <c r="N2" s="321" t="str">
        <f>IFERROR(VLOOKUP(M2, Tarieven!$A$1:$J$150, 10, FALSE), "0")</f>
        <v>0</v>
      </c>
      <c r="O2" s="323"/>
      <c r="P2" s="324"/>
      <c r="Q2" s="325" t="str">
        <f>IFERROR(VLOOKUP(P2, Tarieven!$A$2:$J$150, 10, FALSE), "0")</f>
        <v>0</v>
      </c>
      <c r="R2" s="77"/>
      <c r="S2" s="327" t="str">
        <f>Augustus!S2</f>
        <v/>
      </c>
      <c r="T2" s="325" t="str">
        <f>IFERROR(VLOOKUP(S2, Tarieven!$A$2:$J$150, 10, FALSE), "0")</f>
        <v>0</v>
      </c>
      <c r="U2" s="77"/>
      <c r="V2" s="327"/>
      <c r="W2" s="325" t="str">
        <f>IFERROR(VLOOKUP(V2, Tarieven!$A$2:$J$150, 10, FALSE), "0")</f>
        <v>0</v>
      </c>
      <c r="X2" s="138">
        <f>Augustus!X2</f>
        <v>0</v>
      </c>
      <c r="Y2" s="398">
        <v>0.0</v>
      </c>
      <c r="Z2" s="329">
        <f t="shared" ref="Z2:Z100" si="3">SUM(L2+O2+R2+U2+X2)</f>
        <v>0</v>
      </c>
      <c r="AA2" s="32">
        <f t="shared" ref="AA2:AA101" si="4">SUM(H2+K2)*E2</f>
        <v>0</v>
      </c>
      <c r="AB2" s="32">
        <f t="shared" ref="AB2:AB101" si="5">SUM((L2*N2)+(O2*Q2)+(R2*T2)+(U2*W2)+Y2)</f>
        <v>0</v>
      </c>
      <c r="AC2" s="32">
        <f t="shared" ref="AC2:AC101" si="6">SUM(AB2-AA2)</f>
        <v>0</v>
      </c>
      <c r="AD2" s="419"/>
      <c r="AE2" s="154" t="s">
        <v>309</v>
      </c>
      <c r="AF2" s="154" t="s">
        <v>310</v>
      </c>
      <c r="AG2" s="109" t="s">
        <v>311</v>
      </c>
    </row>
    <row r="3" ht="22.5" customHeight="1">
      <c r="A3" s="331" t="str">
        <f>Rooster!A4</f>
        <v/>
      </c>
      <c r="B3" s="396" t="str">
        <f>Rooster!B4</f>
        <v/>
      </c>
      <c r="C3" s="15" t="str">
        <f>Rooster!C4</f>
        <v/>
      </c>
      <c r="D3" s="11" t="str">
        <f>Rooster!D4</f>
        <v/>
      </c>
      <c r="E3" s="77"/>
      <c r="F3" s="327" t="str">
        <f>Rooster!E4</f>
        <v/>
      </c>
      <c r="G3" s="319" t="str">
        <f>IFERROR(VLOOKUP(F3, Docenten!$A$2:$G$30, 7, FALSE), "0")</f>
        <v>0</v>
      </c>
      <c r="H3" s="320">
        <f t="shared" si="1"/>
        <v>0</v>
      </c>
      <c r="I3" s="327" t="str">
        <f>Rooster!H4</f>
        <v/>
      </c>
      <c r="J3" s="321" t="str">
        <f>IFERROR(VLOOKUP(I3, Locaties!$A$2:$G$15, 7, FALSE), "0")</f>
        <v>0</v>
      </c>
      <c r="K3" s="42">
        <f t="shared" si="2"/>
        <v>0</v>
      </c>
      <c r="L3" s="322"/>
      <c r="M3" s="70"/>
      <c r="N3" s="321" t="str">
        <f>IFERROR(VLOOKUP(M3, Tarieven!$A$1:$J$150, 10, FALSE), "0")</f>
        <v>0</v>
      </c>
      <c r="O3" s="323"/>
      <c r="P3" s="381"/>
      <c r="Q3" s="325" t="str">
        <f>IFERROR(VLOOKUP(P3, Tarieven!$A$2:$J$150, 10, FALSE), "0")</f>
        <v>0</v>
      </c>
      <c r="R3" s="77"/>
      <c r="S3" s="327"/>
      <c r="T3" s="325" t="str">
        <f>IFERROR(VLOOKUP(S3, Tarieven!$A$2:$J$150, 10, FALSE), "0")</f>
        <v>0</v>
      </c>
      <c r="U3" s="77"/>
      <c r="V3" s="85"/>
      <c r="W3" s="325" t="str">
        <f>IFERROR(VLOOKUP(V3, Tarieven!$A$2:$J$150, 10, FALSE), "0")</f>
        <v>0</v>
      </c>
      <c r="X3" s="138">
        <f>Augustus!X3</f>
        <v>0</v>
      </c>
      <c r="Y3" s="398">
        <v>0.0</v>
      </c>
      <c r="Z3" s="329">
        <f t="shared" si="3"/>
        <v>0</v>
      </c>
      <c r="AA3" s="32">
        <f t="shared" si="4"/>
        <v>0</v>
      </c>
      <c r="AB3" s="32">
        <f t="shared" si="5"/>
        <v>0</v>
      </c>
      <c r="AC3" s="32">
        <f t="shared" si="6"/>
        <v>0</v>
      </c>
      <c r="AD3" s="420"/>
      <c r="AE3" s="159" t="s">
        <v>312</v>
      </c>
      <c r="AF3" s="32">
        <f>SUM(AB2:AB101)</f>
        <v>6935.928</v>
      </c>
      <c r="AG3" s="160"/>
    </row>
    <row r="4" ht="22.5" customHeight="1">
      <c r="A4" s="331" t="str">
        <f>Rooster!A5</f>
        <v>Maandag</v>
      </c>
      <c r="B4" s="396">
        <f>Rooster!B5</f>
        <v>0.625</v>
      </c>
      <c r="C4" s="15">
        <f>Rooster!C5</f>
        <v>60</v>
      </c>
      <c r="D4" s="11" t="str">
        <f>Rooster!D5</f>
        <v>Kleuterdans</v>
      </c>
      <c r="E4" s="77"/>
      <c r="F4" s="327" t="str">
        <f>Rooster!E5</f>
        <v>Lotte</v>
      </c>
      <c r="G4" s="319">
        <f>IFERROR(VLOOKUP(F4, Docenten!$A$2:$G$30, 7, FALSE), "0")</f>
        <v>22.5</v>
      </c>
      <c r="H4" s="320">
        <f t="shared" si="1"/>
        <v>22.5</v>
      </c>
      <c r="I4" s="327" t="str">
        <f>Rooster!H5</f>
        <v>Santpoort Zuid</v>
      </c>
      <c r="J4" s="321">
        <f>IFERROR(VLOOKUP(I4, Locaties!$A$2:$G$15, 7, FALSE), "0")</f>
        <v>18.9</v>
      </c>
      <c r="K4" s="42">
        <f t="shared" si="2"/>
        <v>18.9</v>
      </c>
      <c r="L4" s="322"/>
      <c r="M4" s="70"/>
      <c r="N4" s="321" t="str">
        <f>IFERROR(VLOOKUP(M4, Tarieven!$A$1:$J$150, 10, FALSE), "0")</f>
        <v>0</v>
      </c>
      <c r="O4" s="323"/>
      <c r="P4" s="381"/>
      <c r="Q4" s="325" t="str">
        <f>IFERROR(VLOOKUP(P4, Tarieven!$A$2:$J$150, 10, FALSE), "0")</f>
        <v>0</v>
      </c>
      <c r="R4" s="77"/>
      <c r="S4" s="327"/>
      <c r="T4" s="325" t="str">
        <f>IFERROR(VLOOKUP(S4, Tarieven!$A$2:$J$150, 10, FALSE), "0")</f>
        <v>0</v>
      </c>
      <c r="U4" s="77"/>
      <c r="V4" s="85"/>
      <c r="W4" s="325" t="str">
        <f>IFERROR(VLOOKUP(V4, Tarieven!$A$2:$J$150, 10, FALSE), "0")</f>
        <v>0</v>
      </c>
      <c r="X4" s="138">
        <f>Augustus!X4</f>
        <v>0</v>
      </c>
      <c r="Y4" s="398">
        <v>0.0</v>
      </c>
      <c r="Z4" s="329">
        <f t="shared" si="3"/>
        <v>0</v>
      </c>
      <c r="AA4" s="32">
        <f t="shared" si="4"/>
        <v>0</v>
      </c>
      <c r="AB4" s="32">
        <f t="shared" si="5"/>
        <v>0</v>
      </c>
      <c r="AC4" s="32">
        <f t="shared" si="6"/>
        <v>0</v>
      </c>
      <c r="AD4" s="420"/>
      <c r="AE4" s="159" t="s">
        <v>313</v>
      </c>
      <c r="AF4" s="32">
        <f>'Extra activiteiten'!K3</f>
        <v>11430</v>
      </c>
      <c r="AG4" s="159"/>
    </row>
    <row r="5" ht="22.5" customHeight="1">
      <c r="A5" s="331" t="str">
        <f>Rooster!A6</f>
        <v>Maandag</v>
      </c>
      <c r="B5" s="396">
        <f>Rooster!B6</f>
        <v>0.625</v>
      </c>
      <c r="C5" s="15">
        <f>Rooster!C6</f>
        <v>60</v>
      </c>
      <c r="D5" s="11" t="str">
        <f>Rooster!D6</f>
        <v>Streetdance 6+</v>
      </c>
      <c r="E5" s="77">
        <v>5.0</v>
      </c>
      <c r="F5" s="327" t="str">
        <f>Rooster!E6</f>
        <v>Lotte</v>
      </c>
      <c r="G5" s="319">
        <f>IFERROR(VLOOKUP(F5, Docenten!$A$2:$G$30, 7, FALSE), "0")</f>
        <v>22.5</v>
      </c>
      <c r="H5" s="320">
        <f t="shared" si="1"/>
        <v>22.5</v>
      </c>
      <c r="I5" s="327" t="str">
        <f>Rooster!H6</f>
        <v>Santpoort Zuid</v>
      </c>
      <c r="J5" s="321">
        <f>IFERROR(VLOOKUP(I5, Locaties!$A$2:$G$15, 7, FALSE), "0")</f>
        <v>18.9</v>
      </c>
      <c r="K5" s="42">
        <f t="shared" si="2"/>
        <v>18.9</v>
      </c>
      <c r="L5" s="341">
        <v>2.0</v>
      </c>
      <c r="M5" s="106" t="s">
        <v>62</v>
      </c>
      <c r="N5" s="321">
        <f>IFERROR(VLOOKUP(M5, Tarieven!$A$1:$J$150, 10, FALSE), "0")</f>
        <v>28.55</v>
      </c>
      <c r="O5" s="386"/>
      <c r="P5" s="332"/>
      <c r="Q5" s="325" t="str">
        <f>IFERROR(VLOOKUP(P5, Tarieven!$A$2:$J$150, 10, FALSE), "0")</f>
        <v>0</v>
      </c>
      <c r="R5" s="172"/>
      <c r="S5" s="324"/>
      <c r="T5" s="325" t="str">
        <f>IFERROR(VLOOKUP(S5, Tarieven!$A$2:$J$150, 10, FALSE), "0")</f>
        <v>0</v>
      </c>
      <c r="U5" s="77"/>
      <c r="V5" s="85"/>
      <c r="W5" s="325" t="str">
        <f>IFERROR(VLOOKUP(V5, Tarieven!$A$2:$J$150, 10, FALSE), "0")</f>
        <v>0</v>
      </c>
      <c r="X5" s="138">
        <f>Augustus!X5</f>
        <v>0</v>
      </c>
      <c r="Y5" s="398">
        <v>0.0</v>
      </c>
      <c r="Z5" s="329">
        <f t="shared" si="3"/>
        <v>2</v>
      </c>
      <c r="AA5" s="32">
        <f t="shared" si="4"/>
        <v>207</v>
      </c>
      <c r="AB5" s="32">
        <f t="shared" si="5"/>
        <v>57.1</v>
      </c>
      <c r="AC5" s="32">
        <f t="shared" si="6"/>
        <v>-149.9</v>
      </c>
      <c r="AD5" s="420"/>
      <c r="AE5" s="159" t="s">
        <v>314</v>
      </c>
      <c r="AF5" s="32">
        <f>SUM(September[Kosten per maand])</f>
        <v>4064.65</v>
      </c>
      <c r="AG5" s="159"/>
    </row>
    <row r="6" ht="22.5" customHeight="1">
      <c r="A6" s="331" t="str">
        <f>Rooster!A7</f>
        <v>Maandag</v>
      </c>
      <c r="B6" s="396">
        <f>Rooster!B7</f>
        <v>0.6666666667</v>
      </c>
      <c r="C6" s="15">
        <f>Rooster!C7</f>
        <v>60</v>
      </c>
      <c r="D6" s="11" t="str">
        <f>Rooster!D7</f>
        <v>Urban-Pop-Show 10+</v>
      </c>
      <c r="E6" s="77">
        <v>5.0</v>
      </c>
      <c r="F6" s="327" t="str">
        <f>Rooster!E7</f>
        <v>Lotte</v>
      </c>
      <c r="G6" s="319">
        <f>IFERROR(VLOOKUP(F6, Docenten!$A$2:$G$30, 7, FALSE), "0")</f>
        <v>22.5</v>
      </c>
      <c r="H6" s="320">
        <f t="shared" si="1"/>
        <v>22.5</v>
      </c>
      <c r="I6" s="327" t="str">
        <f>Rooster!H7</f>
        <v>Santpoort Zuid</v>
      </c>
      <c r="J6" s="321">
        <f>IFERROR(VLOOKUP(I6, Locaties!$A$2:$G$15, 7, FALSE), "0")</f>
        <v>18.9</v>
      </c>
      <c r="K6" s="42">
        <f t="shared" si="2"/>
        <v>18.9</v>
      </c>
      <c r="L6" s="352">
        <v>1.0</v>
      </c>
      <c r="M6" s="96" t="s">
        <v>62</v>
      </c>
      <c r="N6" s="321">
        <f>IFERROR(VLOOKUP(M6, Tarieven!$A$1:$J$150, 10, FALSE), "0")</f>
        <v>28.55</v>
      </c>
      <c r="O6" s="379">
        <v>3.0</v>
      </c>
      <c r="P6" s="380" t="s">
        <v>54</v>
      </c>
      <c r="Q6" s="325">
        <f>IFERROR(VLOOKUP(P6, Tarieven!$A$2:$J$150, 10, FALSE), "0")</f>
        <v>31</v>
      </c>
      <c r="R6" s="421">
        <v>1.0</v>
      </c>
      <c r="S6" s="363" t="s">
        <v>54</v>
      </c>
      <c r="T6" s="325">
        <f>IFERROR(VLOOKUP(S6, Tarieven!$A$2:$J$150, 10, FALSE), "0")</f>
        <v>31</v>
      </c>
      <c r="U6" s="77"/>
      <c r="V6" s="85"/>
      <c r="W6" s="325" t="str">
        <f>IFERROR(VLOOKUP(V6, Tarieven!$A$2:$J$150, 10, FALSE), "0")</f>
        <v>0</v>
      </c>
      <c r="X6" s="138">
        <f>Augustus!X6</f>
        <v>4</v>
      </c>
      <c r="Y6" s="398">
        <v>0.0</v>
      </c>
      <c r="Z6" s="329">
        <f t="shared" si="3"/>
        <v>9</v>
      </c>
      <c r="AA6" s="32">
        <f t="shared" si="4"/>
        <v>207</v>
      </c>
      <c r="AB6" s="32">
        <f t="shared" si="5"/>
        <v>152.55</v>
      </c>
      <c r="AC6" s="32">
        <f t="shared" si="6"/>
        <v>-54.45</v>
      </c>
      <c r="AD6" s="420"/>
      <c r="AE6" s="159" t="s">
        <v>315</v>
      </c>
      <c r="AF6" s="408">
        <f>Kosten!C69</f>
        <v>10354.65</v>
      </c>
      <c r="AG6" s="159" t="s">
        <v>316</v>
      </c>
    </row>
    <row r="7" ht="22.5" customHeight="1">
      <c r="A7" s="331" t="str">
        <f>Rooster!A8</f>
        <v>Maandag</v>
      </c>
      <c r="B7" s="396">
        <f>Rooster!B8</f>
        <v>0.7083333333</v>
      </c>
      <c r="C7" s="15">
        <f>Rooster!C8</f>
        <v>60</v>
      </c>
      <c r="D7" s="11" t="str">
        <f>Rooster!D8</f>
        <v>Urban-Pop-Show 12+</v>
      </c>
      <c r="E7" s="77">
        <v>5.0</v>
      </c>
      <c r="F7" s="327" t="str">
        <f>Rooster!E8</f>
        <v>Nova</v>
      </c>
      <c r="G7" s="319">
        <f>IFERROR(VLOOKUP(F7, Docenten!$A$2:$G$30, 7, FALSE), "0")</f>
        <v>22.5</v>
      </c>
      <c r="H7" s="320">
        <f t="shared" si="1"/>
        <v>22.5</v>
      </c>
      <c r="I7" s="327" t="str">
        <f>Rooster!H8</f>
        <v>Santpoort Zuid</v>
      </c>
      <c r="J7" s="321">
        <f>IFERROR(VLOOKUP(I7, Locaties!$A$2:$G$15, 7, FALSE), "0")</f>
        <v>18.9</v>
      </c>
      <c r="K7" s="42">
        <f t="shared" si="2"/>
        <v>18.9</v>
      </c>
      <c r="L7" s="341">
        <v>1.0</v>
      </c>
      <c r="M7" s="106" t="s">
        <v>54</v>
      </c>
      <c r="N7" s="321">
        <f>IFERROR(VLOOKUP(M7, Tarieven!$A$1:$J$150, 10, FALSE), "0")</f>
        <v>31</v>
      </c>
      <c r="O7" s="341">
        <v>1.0</v>
      </c>
      <c r="P7" s="357" t="s">
        <v>62</v>
      </c>
      <c r="Q7" s="325">
        <f>IFERROR(VLOOKUP(P7, Tarieven!$A$2:$J$150, 10, FALSE), "0")</f>
        <v>28.55</v>
      </c>
      <c r="R7" s="211">
        <v>1.0</v>
      </c>
      <c r="S7" s="357" t="s">
        <v>84</v>
      </c>
      <c r="T7" s="325">
        <f>IFERROR(VLOOKUP(S7, Tarieven!$A$2:$J$150, 10, FALSE), "0")</f>
        <v>289.5</v>
      </c>
      <c r="U7" s="77"/>
      <c r="V7" s="85"/>
      <c r="W7" s="325" t="str">
        <f>IFERROR(VLOOKUP(V7, Tarieven!$A$2:$J$150, 10, FALSE), "0")</f>
        <v>0</v>
      </c>
      <c r="X7" s="138">
        <f>Augustus!X7</f>
        <v>11</v>
      </c>
      <c r="Y7" s="398">
        <v>0.0</v>
      </c>
      <c r="Z7" s="329">
        <f t="shared" si="3"/>
        <v>14</v>
      </c>
      <c r="AA7" s="32">
        <f t="shared" si="4"/>
        <v>207</v>
      </c>
      <c r="AB7" s="32">
        <f t="shared" si="5"/>
        <v>349.05</v>
      </c>
      <c r="AC7" s="32">
        <f t="shared" si="6"/>
        <v>142.05</v>
      </c>
      <c r="AD7" s="420"/>
      <c r="AE7" s="410" t="s">
        <v>317</v>
      </c>
      <c r="AF7" s="411">
        <f>SUM(AF3+AF4)-AF5-AF6</f>
        <v>3946.628</v>
      </c>
      <c r="AG7" s="412">
        <f>'Doel vs Werkelijkheid'!B2</f>
        <v>3000</v>
      </c>
    </row>
    <row r="8" ht="22.5" customHeight="1">
      <c r="A8" s="331" t="str">
        <f>Rooster!A9</f>
        <v>Maandag</v>
      </c>
      <c r="B8" s="396">
        <f>Rooster!B9</f>
        <v>0.75</v>
      </c>
      <c r="C8" s="15">
        <f>Rooster!C9</f>
        <v>60</v>
      </c>
      <c r="D8" s="11" t="str">
        <f>Rooster!D9</f>
        <v>Selectie Show</v>
      </c>
      <c r="E8" s="77">
        <v>5.0</v>
      </c>
      <c r="F8" s="327" t="str">
        <f>Rooster!E9</f>
        <v>Nova</v>
      </c>
      <c r="G8" s="319">
        <f>IFERROR(VLOOKUP(F8, Docenten!$A$2:$G$30, 7, FALSE), "0")</f>
        <v>22.5</v>
      </c>
      <c r="H8" s="320">
        <f t="shared" si="1"/>
        <v>22.5</v>
      </c>
      <c r="I8" s="327" t="str">
        <f>Rooster!H9</f>
        <v>Santpoort Zuid</v>
      </c>
      <c r="J8" s="321">
        <f>IFERROR(VLOOKUP(I8, Locaties!$A$2:$G$15, 7, FALSE), "0")</f>
        <v>18.9</v>
      </c>
      <c r="K8" s="42">
        <f t="shared" si="2"/>
        <v>18.9</v>
      </c>
      <c r="L8" s="352">
        <v>2.0</v>
      </c>
      <c r="M8" s="96" t="s">
        <v>71</v>
      </c>
      <c r="N8" s="321">
        <f>IFERROR(VLOOKUP(M8, Tarieven!$A$1:$J$150, 10, FALSE), "0")</f>
        <v>28.93333333</v>
      </c>
      <c r="O8" s="352">
        <v>3.0</v>
      </c>
      <c r="P8" s="361" t="s">
        <v>62</v>
      </c>
      <c r="Q8" s="325">
        <f>IFERROR(VLOOKUP(P8, Tarieven!$A$2:$J$150, 10, FALSE), "0")</f>
        <v>28.55</v>
      </c>
      <c r="R8" s="95">
        <v>2.0</v>
      </c>
      <c r="S8" s="96" t="s">
        <v>78</v>
      </c>
      <c r="T8" s="325">
        <f>IFERROR(VLOOKUP(S8, Tarieven!$A$2:$J$150, 10, FALSE), "0")</f>
        <v>27</v>
      </c>
      <c r="U8" s="77"/>
      <c r="V8" s="85"/>
      <c r="W8" s="325" t="str">
        <f>IFERROR(VLOOKUP(V8, Tarieven!$A$2:$J$150, 10, FALSE), "0")</f>
        <v>0</v>
      </c>
      <c r="X8" s="138">
        <f>Augustus!X8</f>
        <v>4</v>
      </c>
      <c r="Y8" s="398">
        <v>0.0</v>
      </c>
      <c r="Z8" s="329">
        <f t="shared" si="3"/>
        <v>11</v>
      </c>
      <c r="AA8" s="32">
        <f t="shared" si="4"/>
        <v>207</v>
      </c>
      <c r="AB8" s="32">
        <f t="shared" si="5"/>
        <v>197.5166667</v>
      </c>
      <c r="AC8" s="32">
        <f t="shared" si="6"/>
        <v>-9.483333333</v>
      </c>
      <c r="AD8" s="419"/>
      <c r="AE8" s="160"/>
      <c r="AF8" s="160"/>
      <c r="AG8" s="160"/>
    </row>
    <row r="9" ht="22.5" customHeight="1">
      <c r="A9" s="331" t="str">
        <f>Rooster!A10</f>
        <v>Maandag</v>
      </c>
      <c r="B9" s="396">
        <f>Rooster!B10</f>
        <v>0.7916666667</v>
      </c>
      <c r="C9" s="15">
        <f>Rooster!C10</f>
        <v>60</v>
      </c>
      <c r="D9" s="11" t="str">
        <f>Rooster!D10</f>
        <v>Commercial 16+</v>
      </c>
      <c r="E9" s="77">
        <v>5.0</v>
      </c>
      <c r="F9" s="327" t="str">
        <f>Rooster!E10</f>
        <v>Nova</v>
      </c>
      <c r="G9" s="319">
        <f>IFERROR(VLOOKUP(F9, Docenten!$A$2:$G$30, 7, FALSE), "0")</f>
        <v>22.5</v>
      </c>
      <c r="H9" s="320">
        <f t="shared" si="1"/>
        <v>22.5</v>
      </c>
      <c r="I9" s="327" t="str">
        <f>Rooster!H10</f>
        <v>Santpoort Zuid</v>
      </c>
      <c r="J9" s="321">
        <f>IFERROR(VLOOKUP(I9, Locaties!$A$2:$G$15, 7, FALSE), "0")</f>
        <v>18.9</v>
      </c>
      <c r="K9" s="42">
        <f t="shared" si="2"/>
        <v>18.9</v>
      </c>
      <c r="L9" s="341">
        <v>3.0</v>
      </c>
      <c r="M9" s="106" t="s">
        <v>71</v>
      </c>
      <c r="N9" s="321">
        <f>IFERROR(VLOOKUP(M9, Tarieven!$A$1:$J$150, 10, FALSE), "0")</f>
        <v>28.93333333</v>
      </c>
      <c r="O9" s="369">
        <v>1.0</v>
      </c>
      <c r="P9" s="370" t="s">
        <v>54</v>
      </c>
      <c r="Q9" s="325">
        <f>IFERROR(VLOOKUP(P9, Tarieven!$A$2:$J$150, 10, FALSE), "0")</f>
        <v>31</v>
      </c>
      <c r="R9" s="211">
        <v>3.0</v>
      </c>
      <c r="S9" s="357" t="s">
        <v>62</v>
      </c>
      <c r="T9" s="325">
        <f>IFERROR(VLOOKUP(S9, Tarieven!$A$2:$J$150, 10, FALSE), "0")</f>
        <v>28.55</v>
      </c>
      <c r="U9" s="77"/>
      <c r="V9" s="85"/>
      <c r="W9" s="325" t="str">
        <f>IFERROR(VLOOKUP(V9, Tarieven!$A$2:$J$150, 10, FALSE), "0")</f>
        <v>0</v>
      </c>
      <c r="X9" s="138">
        <f>Augustus!X9</f>
        <v>5</v>
      </c>
      <c r="Y9" s="398">
        <v>0.0</v>
      </c>
      <c r="Z9" s="329">
        <f t="shared" si="3"/>
        <v>12</v>
      </c>
      <c r="AA9" s="32">
        <f t="shared" si="4"/>
        <v>207</v>
      </c>
      <c r="AB9" s="32">
        <f t="shared" si="5"/>
        <v>203.45</v>
      </c>
      <c r="AC9" s="32">
        <f t="shared" si="6"/>
        <v>-3.55</v>
      </c>
      <c r="AD9" s="419"/>
      <c r="AE9" s="159" t="s">
        <v>19</v>
      </c>
      <c r="AF9" s="413">
        <f>Z101</f>
        <v>387</v>
      </c>
      <c r="AG9" s="160"/>
    </row>
    <row r="10" ht="22.5" customHeight="1">
      <c r="A10" s="331" t="str">
        <f>Rooster!A11</f>
        <v>Maandag</v>
      </c>
      <c r="B10" s="396">
        <f>Rooster!B11</f>
        <v>0.8333333333</v>
      </c>
      <c r="C10" s="15">
        <f>Rooster!C11</f>
        <v>60</v>
      </c>
      <c r="D10" s="11" t="str">
        <f>Rooster!D11</f>
        <v>Commercial 20+</v>
      </c>
      <c r="E10" s="77">
        <v>5.0</v>
      </c>
      <c r="F10" s="327" t="str">
        <f>Rooster!E11</f>
        <v>Nova</v>
      </c>
      <c r="G10" s="319">
        <f>IFERROR(VLOOKUP(F10, Docenten!$A$2:$G$30, 7, FALSE), "0")</f>
        <v>22.5</v>
      </c>
      <c r="H10" s="320">
        <f t="shared" si="1"/>
        <v>22.5</v>
      </c>
      <c r="I10" s="327" t="str">
        <f>Rooster!H11</f>
        <v>Santpoort Zuid</v>
      </c>
      <c r="J10" s="321">
        <f>IFERROR(VLOOKUP(I10, Locaties!$A$2:$G$15, 7, FALSE), "0")</f>
        <v>18.9</v>
      </c>
      <c r="K10" s="42">
        <f t="shared" si="2"/>
        <v>18.9</v>
      </c>
      <c r="L10" s="352">
        <v>4.0</v>
      </c>
      <c r="M10" s="96" t="s">
        <v>114</v>
      </c>
      <c r="N10" s="321">
        <f>IFERROR(VLOOKUP(M10, Tarieven!$A$1:$J$150, 10, FALSE), "0")</f>
        <v>27.255</v>
      </c>
      <c r="O10" s="352">
        <v>3.0</v>
      </c>
      <c r="P10" s="353" t="s">
        <v>109</v>
      </c>
      <c r="Q10" s="325">
        <f>IFERROR(VLOOKUP(P10, Tarieven!$A$2:$J$150, 10, FALSE), "0")</f>
        <v>25.596</v>
      </c>
      <c r="R10" s="95">
        <v>1.0</v>
      </c>
      <c r="S10" s="96" t="s">
        <v>134</v>
      </c>
      <c r="T10" s="432">
        <v>50.0</v>
      </c>
      <c r="U10" s="77"/>
      <c r="V10" s="85"/>
      <c r="W10" s="325" t="str">
        <f>IFERROR(VLOOKUP(V10, Tarieven!$A$2:$J$150, 10, FALSE), "0")</f>
        <v>0</v>
      </c>
      <c r="X10" s="138">
        <f>Augustus!X10</f>
        <v>8</v>
      </c>
      <c r="Y10" s="398">
        <v>0.0</v>
      </c>
      <c r="Z10" s="329">
        <f t="shared" si="3"/>
        <v>16</v>
      </c>
      <c r="AA10" s="32">
        <f t="shared" si="4"/>
        <v>207</v>
      </c>
      <c r="AB10" s="32">
        <f t="shared" si="5"/>
        <v>235.808</v>
      </c>
      <c r="AC10" s="32">
        <f t="shared" si="6"/>
        <v>28.808</v>
      </c>
      <c r="AD10" s="419"/>
      <c r="AE10" s="330"/>
      <c r="AF10" s="330"/>
    </row>
    <row r="11" ht="22.5" customHeight="1">
      <c r="A11" s="331" t="str">
        <f>Rooster!A12</f>
        <v>Maandag</v>
      </c>
      <c r="B11" s="396">
        <f>Rooster!B12</f>
        <v>0.875</v>
      </c>
      <c r="C11" s="15">
        <f>Rooster!C12</f>
        <v>60</v>
      </c>
      <c r="D11" s="11" t="str">
        <f>Rooster!D12</f>
        <v>Jazz 20+</v>
      </c>
      <c r="E11" s="77">
        <v>5.0</v>
      </c>
      <c r="F11" s="327" t="str">
        <f>Rooster!E12</f>
        <v>Nova</v>
      </c>
      <c r="G11" s="319">
        <f>IFERROR(VLOOKUP(F11, Docenten!$A$2:$G$30, 7, FALSE), "0")</f>
        <v>22.5</v>
      </c>
      <c r="H11" s="320">
        <f t="shared" si="1"/>
        <v>22.5</v>
      </c>
      <c r="I11" s="327" t="str">
        <f>Rooster!H12</f>
        <v>Santpoort Zuid</v>
      </c>
      <c r="J11" s="321">
        <f>IFERROR(VLOOKUP(I11, Locaties!$A$2:$G$15, 7, FALSE), "0")</f>
        <v>18.9</v>
      </c>
      <c r="K11" s="42">
        <f t="shared" si="2"/>
        <v>18.9</v>
      </c>
      <c r="L11" s="341">
        <v>4.0</v>
      </c>
      <c r="M11" s="106" t="s">
        <v>114</v>
      </c>
      <c r="N11" s="321">
        <f>IFERROR(VLOOKUP(M11, Tarieven!$A$1:$J$150, 10, FALSE), "0")</f>
        <v>27.255</v>
      </c>
      <c r="O11" s="343"/>
      <c r="P11" s="374"/>
      <c r="Q11" s="325" t="str">
        <f>IFERROR(VLOOKUP(P11, Tarieven!$A$2:$J$150, 10, FALSE), "0")</f>
        <v>0</v>
      </c>
      <c r="R11" s="197"/>
      <c r="S11" s="332"/>
      <c r="T11" s="325" t="str">
        <f>IFERROR(VLOOKUP(S11, Tarieven!$A$2:$J$150, 10, FALSE), "0")</f>
        <v>0</v>
      </c>
      <c r="U11" s="77"/>
      <c r="V11" s="85"/>
      <c r="W11" s="325" t="str">
        <f>IFERROR(VLOOKUP(V11, Tarieven!$A$2:$J$150, 10, FALSE), "0")</f>
        <v>0</v>
      </c>
      <c r="X11" s="138">
        <f>Augustus!X11</f>
        <v>4</v>
      </c>
      <c r="Y11" s="398">
        <v>0.0</v>
      </c>
      <c r="Z11" s="329">
        <f t="shared" si="3"/>
        <v>8</v>
      </c>
      <c r="AA11" s="32">
        <f t="shared" si="4"/>
        <v>207</v>
      </c>
      <c r="AB11" s="32">
        <f t="shared" si="5"/>
        <v>109.02</v>
      </c>
      <c r="AC11" s="32">
        <f t="shared" si="6"/>
        <v>-97.98</v>
      </c>
      <c r="AD11" s="419"/>
      <c r="AE11" s="330"/>
      <c r="AF11" s="330"/>
    </row>
    <row r="12" ht="22.5" customHeight="1">
      <c r="A12" s="331" t="str">
        <f>Rooster!A13</f>
        <v>Maandag</v>
      </c>
      <c r="B12" s="396">
        <f>Rooster!B13</f>
        <v>0.6666666667</v>
      </c>
      <c r="C12" s="15">
        <f>Rooster!C13</f>
        <v>60</v>
      </c>
      <c r="D12" s="11" t="str">
        <f>Rooster!D13</f>
        <v>Streetdance 6+</v>
      </c>
      <c r="E12" s="77">
        <v>5.0</v>
      </c>
      <c r="F12" s="327" t="str">
        <f>Rooster!E13</f>
        <v>Julia</v>
      </c>
      <c r="G12" s="319">
        <f>IFERROR(VLOOKUP(F12, Docenten!$A$2:$G$30, 7, FALSE), "0")</f>
        <v>15</v>
      </c>
      <c r="H12" s="320">
        <f t="shared" si="1"/>
        <v>15</v>
      </c>
      <c r="I12" s="327" t="str">
        <f>Rooster!H13</f>
        <v>Santpoort Noord</v>
      </c>
      <c r="J12" s="321">
        <f>IFERROR(VLOOKUP(I12, Locaties!$A$2:$G$15, 7, FALSE), "0")</f>
        <v>14.2</v>
      </c>
      <c r="K12" s="42">
        <f t="shared" si="2"/>
        <v>14.2</v>
      </c>
      <c r="L12" s="352">
        <v>3.0</v>
      </c>
      <c r="M12" s="96" t="s">
        <v>54</v>
      </c>
      <c r="N12" s="321">
        <f>IFERROR(VLOOKUP(M12, Tarieven!$A$1:$J$150, 10, FALSE), "0")</f>
        <v>31</v>
      </c>
      <c r="O12" s="433"/>
      <c r="P12" s="384"/>
      <c r="Q12" s="325" t="str">
        <f>IFERROR(VLOOKUP(P12, Tarieven!$A$2:$J$150, 10, FALSE), "0")</f>
        <v>0</v>
      </c>
      <c r="R12" s="434"/>
      <c r="S12" s="125"/>
      <c r="T12" s="325" t="str">
        <f>IFERROR(VLOOKUP(S12, Tarieven!$A$2:$J$150, 10, FALSE), "0")</f>
        <v>0</v>
      </c>
      <c r="U12" s="77"/>
      <c r="V12" s="85"/>
      <c r="W12" s="325" t="str">
        <f>IFERROR(VLOOKUP(V12, Tarieven!$A$2:$J$150, 10, FALSE), "0")</f>
        <v>0</v>
      </c>
      <c r="X12" s="138">
        <f>Augustus!X12</f>
        <v>2</v>
      </c>
      <c r="Y12" s="398">
        <v>0.0</v>
      </c>
      <c r="Z12" s="329">
        <f t="shared" si="3"/>
        <v>5</v>
      </c>
      <c r="AA12" s="32">
        <f t="shared" si="4"/>
        <v>146</v>
      </c>
      <c r="AB12" s="32">
        <f t="shared" si="5"/>
        <v>93</v>
      </c>
      <c r="AC12" s="32">
        <f t="shared" si="6"/>
        <v>-53</v>
      </c>
      <c r="AD12" s="419"/>
      <c r="AE12" s="330"/>
      <c r="AF12" s="330"/>
    </row>
    <row r="13" ht="22.5" customHeight="1">
      <c r="A13" s="331" t="str">
        <f>Rooster!A14</f>
        <v>Maandag</v>
      </c>
      <c r="B13" s="396">
        <f>Rooster!B14</f>
        <v>0.7083333333</v>
      </c>
      <c r="C13" s="15">
        <f>Rooster!C14</f>
        <v>60</v>
      </c>
      <c r="D13" s="11" t="str">
        <f>Rooster!D14</f>
        <v>Streetdance 8+</v>
      </c>
      <c r="E13" s="77">
        <v>5.0</v>
      </c>
      <c r="F13" s="327" t="str">
        <f>Rooster!E14</f>
        <v>Julia</v>
      </c>
      <c r="G13" s="319">
        <f>IFERROR(VLOOKUP(F13, Docenten!$A$2:$G$30, 7, FALSE), "0")</f>
        <v>15</v>
      </c>
      <c r="H13" s="320">
        <f t="shared" si="1"/>
        <v>15</v>
      </c>
      <c r="I13" s="327" t="str">
        <f>Rooster!H14</f>
        <v>Santpoort Noord</v>
      </c>
      <c r="J13" s="321">
        <f>IFERROR(VLOOKUP(I13, Locaties!$A$2:$G$15, 7, FALSE), "0")</f>
        <v>14.2</v>
      </c>
      <c r="K13" s="42">
        <f t="shared" si="2"/>
        <v>14.2</v>
      </c>
      <c r="L13" s="352">
        <v>5.0</v>
      </c>
      <c r="M13" s="357" t="s">
        <v>62</v>
      </c>
      <c r="N13" s="321">
        <f>IFERROR(VLOOKUP(M13, Tarieven!$A$1:$J$150, 10, FALSE), "0")</f>
        <v>28.55</v>
      </c>
      <c r="O13" s="341">
        <v>1.0</v>
      </c>
      <c r="P13" s="377" t="s">
        <v>54</v>
      </c>
      <c r="Q13" s="325">
        <f>IFERROR(VLOOKUP(P13, Tarieven!$A$2:$J$150, 10, FALSE), "0")</f>
        <v>31</v>
      </c>
      <c r="R13" s="219"/>
      <c r="S13" s="344"/>
      <c r="T13" s="325" t="str">
        <f>IFERROR(VLOOKUP(S13, Tarieven!$A$2:$J$150, 10, FALSE), "0")</f>
        <v>0</v>
      </c>
      <c r="U13" s="77"/>
      <c r="V13" s="85"/>
      <c r="W13" s="325" t="str">
        <f>IFERROR(VLOOKUP(V13, Tarieven!$A$2:$J$150, 10, FALSE), "0")</f>
        <v>0</v>
      </c>
      <c r="X13" s="138">
        <f>Augustus!X13</f>
        <v>13</v>
      </c>
      <c r="Y13" s="398">
        <v>0.0</v>
      </c>
      <c r="Z13" s="329">
        <f t="shared" si="3"/>
        <v>19</v>
      </c>
      <c r="AA13" s="32">
        <f t="shared" si="4"/>
        <v>146</v>
      </c>
      <c r="AB13" s="32">
        <f t="shared" si="5"/>
        <v>173.75</v>
      </c>
      <c r="AC13" s="32">
        <f t="shared" si="6"/>
        <v>27.75</v>
      </c>
      <c r="AD13" s="419"/>
      <c r="AE13" s="330"/>
      <c r="AF13" s="330"/>
    </row>
    <row r="14" ht="22.5" customHeight="1">
      <c r="A14" s="331" t="str">
        <f>Rooster!A15</f>
        <v>Dinsdag</v>
      </c>
      <c r="B14" s="396">
        <f>Rooster!B15</f>
        <v>0.6666666667</v>
      </c>
      <c r="C14" s="15">
        <f>Rooster!C15</f>
        <v>60</v>
      </c>
      <c r="D14" s="11" t="str">
        <f>Rooster!D15</f>
        <v>Modern 8+</v>
      </c>
      <c r="E14" s="77">
        <v>5.0</v>
      </c>
      <c r="F14" s="327" t="str">
        <f>Rooster!E15</f>
        <v>Eigenaar</v>
      </c>
      <c r="G14" s="319">
        <f>IFERROR(VLOOKUP(F14, Docenten!$A$2:$G$30, 7, FALSE), "0")</f>
        <v>0</v>
      </c>
      <c r="H14" s="320">
        <f t="shared" si="1"/>
        <v>0</v>
      </c>
      <c r="I14" s="327" t="str">
        <f>Rooster!H15</f>
        <v>Santpoort Zuid</v>
      </c>
      <c r="J14" s="321">
        <f>IFERROR(VLOOKUP(I14, Locaties!$A$2:$G$15, 7, FALSE), "0")</f>
        <v>18.9</v>
      </c>
      <c r="K14" s="42">
        <f t="shared" si="2"/>
        <v>18.9</v>
      </c>
      <c r="L14" s="435">
        <v>3.0</v>
      </c>
      <c r="M14" s="96" t="s">
        <v>157</v>
      </c>
      <c r="N14" s="321">
        <f>IFERROR(VLOOKUP(M14, Tarieven!$A$1:$J$150, 10, FALSE), "0")</f>
        <v>44.45</v>
      </c>
      <c r="O14" s="379">
        <v>4.0</v>
      </c>
      <c r="P14" s="380" t="s">
        <v>62</v>
      </c>
      <c r="Q14" s="325">
        <f>IFERROR(VLOOKUP(P14, Tarieven!$A$2:$J$150, 10, FALSE), "0")</f>
        <v>28.55</v>
      </c>
      <c r="R14" s="421">
        <v>1.0</v>
      </c>
      <c r="S14" s="363" t="s">
        <v>87</v>
      </c>
      <c r="T14" s="325">
        <f>IFERROR(VLOOKUP(S14, Tarieven!$A$2:$J$150, 10, FALSE), "0")</f>
        <v>32.25</v>
      </c>
      <c r="U14" s="77"/>
      <c r="V14" s="85"/>
      <c r="W14" s="325" t="str">
        <f>IFERROR(VLOOKUP(V14, Tarieven!$A$2:$J$150, 10, FALSE), "0")</f>
        <v>0</v>
      </c>
      <c r="X14" s="138">
        <f>Augustus!X14</f>
        <v>8</v>
      </c>
      <c r="Y14" s="398">
        <v>0.0</v>
      </c>
      <c r="Z14" s="329">
        <f t="shared" si="3"/>
        <v>16</v>
      </c>
      <c r="AA14" s="32">
        <f t="shared" si="4"/>
        <v>94.5</v>
      </c>
      <c r="AB14" s="32">
        <f t="shared" si="5"/>
        <v>279.8</v>
      </c>
      <c r="AC14" s="32">
        <f t="shared" si="6"/>
        <v>185.3</v>
      </c>
      <c r="AD14" s="419"/>
    </row>
    <row r="15" ht="22.5" customHeight="1">
      <c r="A15" s="331" t="str">
        <f>Rooster!A16</f>
        <v>Dinsdag</v>
      </c>
      <c r="B15" s="396">
        <f>Rooster!B16</f>
        <v>0.7083333333</v>
      </c>
      <c r="C15" s="15">
        <f>Rooster!C16</f>
        <v>60</v>
      </c>
      <c r="D15" s="11" t="str">
        <f>Rooster!D16</f>
        <v>Selectie show 8+</v>
      </c>
      <c r="E15" s="77">
        <v>5.0</v>
      </c>
      <c r="F15" s="327" t="str">
        <f>Rooster!E16</f>
        <v>Eigenaar</v>
      </c>
      <c r="G15" s="319">
        <f>IFERROR(VLOOKUP(F15, Docenten!$A$2:$G$30, 7, FALSE), "0")</f>
        <v>0</v>
      </c>
      <c r="H15" s="320">
        <f t="shared" si="1"/>
        <v>0</v>
      </c>
      <c r="I15" s="327" t="str">
        <f>Rooster!H16</f>
        <v>Santpoort Zuid</v>
      </c>
      <c r="J15" s="321">
        <f>IFERROR(VLOOKUP(I15, Locaties!$A$2:$G$15, 7, FALSE), "0")</f>
        <v>18.9</v>
      </c>
      <c r="K15" s="42">
        <f t="shared" si="2"/>
        <v>18.9</v>
      </c>
      <c r="L15" s="341">
        <v>2.0</v>
      </c>
      <c r="M15" s="106" t="s">
        <v>157</v>
      </c>
      <c r="N15" s="321">
        <f>IFERROR(VLOOKUP(M15, Tarieven!$A$1:$J$150, 10, FALSE), "0")</f>
        <v>44.45</v>
      </c>
      <c r="O15" s="369">
        <v>2.0</v>
      </c>
      <c r="P15" s="370" t="s">
        <v>62</v>
      </c>
      <c r="Q15" s="325">
        <f>IFERROR(VLOOKUP(P15, Tarieven!$A$2:$J$150, 10, FALSE), "0")</f>
        <v>28.55</v>
      </c>
      <c r="R15" s="172">
        <v>1.0</v>
      </c>
      <c r="S15" s="324" t="s">
        <v>141</v>
      </c>
      <c r="T15" s="325">
        <f>IFERROR(VLOOKUP(S15, Tarieven!$A$2:$J$150, 10, FALSE), "0")</f>
        <v>29.03333333</v>
      </c>
      <c r="U15" s="77"/>
      <c r="V15" s="85"/>
      <c r="W15" s="325" t="str">
        <f>IFERROR(VLOOKUP(V15, Tarieven!$A$2:$J$150, 10, FALSE), "0")</f>
        <v>0</v>
      </c>
      <c r="X15" s="138">
        <f>Augustus!X15</f>
        <v>7</v>
      </c>
      <c r="Y15" s="398">
        <v>0.0</v>
      </c>
      <c r="Z15" s="329">
        <f t="shared" si="3"/>
        <v>12</v>
      </c>
      <c r="AA15" s="32">
        <f t="shared" si="4"/>
        <v>94.5</v>
      </c>
      <c r="AB15" s="32">
        <f t="shared" si="5"/>
        <v>175.0333333</v>
      </c>
      <c r="AC15" s="32">
        <f t="shared" si="6"/>
        <v>80.53333333</v>
      </c>
      <c r="AD15" s="419"/>
    </row>
    <row r="16" ht="22.5" customHeight="1">
      <c r="A16" s="331" t="str">
        <f>Rooster!A17</f>
        <v>Dinsdag</v>
      </c>
      <c r="B16" s="396">
        <f>Rooster!B17</f>
        <v>0.75</v>
      </c>
      <c r="C16" s="15">
        <f>Rooster!C17</f>
        <v>90</v>
      </c>
      <c r="D16" s="11" t="str">
        <f>Rooster!D17</f>
        <v>Selectie Cheer</v>
      </c>
      <c r="E16" s="77">
        <v>5.0</v>
      </c>
      <c r="F16" s="327" t="str">
        <f>Rooster!E17</f>
        <v>Eigenaar</v>
      </c>
      <c r="G16" s="319">
        <f>IFERROR(VLOOKUP(F16, Docenten!$A$2:$G$30, 7, FALSE), "0")</f>
        <v>0</v>
      </c>
      <c r="H16" s="320">
        <f t="shared" si="1"/>
        <v>0</v>
      </c>
      <c r="I16" s="327" t="str">
        <f>Rooster!H17</f>
        <v>Santpoort Zuid</v>
      </c>
      <c r="J16" s="321">
        <f>IFERROR(VLOOKUP(I16, Locaties!$A$2:$G$15, 7, FALSE), "0")</f>
        <v>18.9</v>
      </c>
      <c r="K16" s="42">
        <f t="shared" si="2"/>
        <v>28.35</v>
      </c>
      <c r="L16" s="360">
        <v>2.0</v>
      </c>
      <c r="M16" s="361" t="s">
        <v>92</v>
      </c>
      <c r="N16" s="321">
        <f>IFERROR(VLOOKUP(M16, Tarieven!$A$1:$J$150, 10, FALSE), "0")</f>
        <v>31.53333333</v>
      </c>
      <c r="O16" s="379">
        <v>1.0</v>
      </c>
      <c r="P16" s="380" t="s">
        <v>89</v>
      </c>
      <c r="Q16" s="325">
        <f>IFERROR(VLOOKUP(P16, Tarieven!$A$2:$J$150, 10, FALSE), "0")</f>
        <v>34.25</v>
      </c>
      <c r="R16" s="436"/>
      <c r="S16" s="372"/>
      <c r="T16" s="325" t="str">
        <f>IFERROR(VLOOKUP(S16, Tarieven!$A$2:$J$150, 10, FALSE), "0")</f>
        <v>0</v>
      </c>
      <c r="U16" s="77"/>
      <c r="V16" s="85"/>
      <c r="W16" s="325" t="str">
        <f>IFERROR(VLOOKUP(V16, Tarieven!$A$2:$J$150, 10, FALSE), "0")</f>
        <v>0</v>
      </c>
      <c r="X16" s="138">
        <f>Augustus!X16</f>
        <v>8</v>
      </c>
      <c r="Y16" s="398">
        <v>0.0</v>
      </c>
      <c r="Z16" s="329">
        <f t="shared" si="3"/>
        <v>11</v>
      </c>
      <c r="AA16" s="32">
        <f t="shared" si="4"/>
        <v>141.75</v>
      </c>
      <c r="AB16" s="32">
        <f t="shared" si="5"/>
        <v>97.31666667</v>
      </c>
      <c r="AC16" s="32">
        <f t="shared" si="6"/>
        <v>-44.43333333</v>
      </c>
      <c r="AD16" s="419"/>
    </row>
    <row r="17" ht="22.5" customHeight="1">
      <c r="A17" s="331" t="str">
        <f>Rooster!A18</f>
        <v>Dinsdag</v>
      </c>
      <c r="B17" s="396">
        <f>Rooster!B18</f>
        <v>0.8125</v>
      </c>
      <c r="C17" s="15">
        <f>Rooster!C18</f>
        <v>60</v>
      </c>
      <c r="D17" s="11" t="str">
        <f>Rooster!D18</f>
        <v>Hiphop 15+</v>
      </c>
      <c r="E17" s="77">
        <v>5.0</v>
      </c>
      <c r="F17" s="327" t="str">
        <f>Rooster!E18</f>
        <v>Eigenaar</v>
      </c>
      <c r="G17" s="319">
        <f>IFERROR(VLOOKUP(F17, Docenten!$A$2:$G$30, 7, FALSE), "0")</f>
        <v>0</v>
      </c>
      <c r="H17" s="320">
        <f t="shared" si="1"/>
        <v>0</v>
      </c>
      <c r="I17" s="327" t="str">
        <f>Rooster!H18</f>
        <v>Santpoort Zuid</v>
      </c>
      <c r="J17" s="321">
        <f>IFERROR(VLOOKUP(I17, Locaties!$A$2:$G$15, 7, FALSE), "0")</f>
        <v>18.9</v>
      </c>
      <c r="K17" s="42">
        <f t="shared" si="2"/>
        <v>18.9</v>
      </c>
      <c r="L17" s="341">
        <v>1.0</v>
      </c>
      <c r="M17" s="106" t="s">
        <v>62</v>
      </c>
      <c r="N17" s="321">
        <f>IFERROR(VLOOKUP(M17, Tarieven!$A$1:$J$150, 10, FALSE), "0")</f>
        <v>28.55</v>
      </c>
      <c r="O17" s="369">
        <v>3.0</v>
      </c>
      <c r="P17" s="370" t="s">
        <v>71</v>
      </c>
      <c r="Q17" s="325">
        <f>IFERROR(VLOOKUP(P17, Tarieven!$A$2:$J$150, 10, FALSE), "0")</f>
        <v>28.93333333</v>
      </c>
      <c r="R17" s="172">
        <v>1.0</v>
      </c>
      <c r="S17" s="324" t="s">
        <v>54</v>
      </c>
      <c r="T17" s="325">
        <f>IFERROR(VLOOKUP(S17, Tarieven!$A$2:$J$150, 10, FALSE), "0")</f>
        <v>31</v>
      </c>
      <c r="U17" s="77"/>
      <c r="V17" s="85"/>
      <c r="W17" s="325" t="str">
        <f>IFERROR(VLOOKUP(V17, Tarieven!$A$2:$J$150, 10, FALSE), "0")</f>
        <v>0</v>
      </c>
      <c r="X17" s="143">
        <f>Augustus!X17</f>
        <v>9</v>
      </c>
      <c r="Y17" s="398">
        <v>0.0</v>
      </c>
      <c r="Z17" s="329">
        <f t="shared" si="3"/>
        <v>14</v>
      </c>
      <c r="AA17" s="32">
        <f t="shared" si="4"/>
        <v>94.5</v>
      </c>
      <c r="AB17" s="32">
        <f t="shared" si="5"/>
        <v>146.35</v>
      </c>
      <c r="AC17" s="32">
        <f t="shared" si="6"/>
        <v>51.85</v>
      </c>
      <c r="AD17" s="419"/>
    </row>
    <row r="18" ht="22.5" customHeight="1">
      <c r="A18" s="331" t="str">
        <f>Rooster!A19</f>
        <v>Woensdag</v>
      </c>
      <c r="B18" s="396">
        <f>Rooster!B19</f>
        <v>0.6041666667</v>
      </c>
      <c r="C18" s="15">
        <f>Rooster!C19</f>
        <v>60</v>
      </c>
      <c r="D18" s="11" t="str">
        <f>Rooster!D19</f>
        <v>Streetdance 6+</v>
      </c>
      <c r="E18" s="77">
        <v>4.0</v>
      </c>
      <c r="F18" s="327" t="str">
        <f>Rooster!E19</f>
        <v>Julia</v>
      </c>
      <c r="G18" s="319">
        <f>IFERROR(VLOOKUP(F18, Docenten!$A$2:$G$30, 7, FALSE), "0")</f>
        <v>15</v>
      </c>
      <c r="H18" s="320">
        <f t="shared" si="1"/>
        <v>15</v>
      </c>
      <c r="I18" s="327" t="str">
        <f>Rooster!H19</f>
        <v>Santpoort Noord</v>
      </c>
      <c r="J18" s="321">
        <f>IFERROR(VLOOKUP(I18, Locaties!$A$2:$G$15, 7, FALSE), "0")</f>
        <v>14.2</v>
      </c>
      <c r="K18" s="42">
        <f t="shared" si="2"/>
        <v>14.2</v>
      </c>
      <c r="L18" s="352">
        <v>4.0</v>
      </c>
      <c r="M18" s="96" t="s">
        <v>54</v>
      </c>
      <c r="N18" s="321">
        <f>IFERROR(VLOOKUP(M18, Tarieven!$A$1:$J$150, 10, FALSE), "0")</f>
        <v>31</v>
      </c>
      <c r="O18" s="360">
        <v>1.0</v>
      </c>
      <c r="P18" s="353" t="s">
        <v>87</v>
      </c>
      <c r="Q18" s="325">
        <f>IFERROR(VLOOKUP(P18, Tarieven!$A$2:$J$150, 10, FALSE), "0")</f>
        <v>32.25</v>
      </c>
      <c r="R18" s="421">
        <v>1.0</v>
      </c>
      <c r="S18" s="363" t="s">
        <v>157</v>
      </c>
      <c r="T18" s="325">
        <f>IFERROR(VLOOKUP(S18, Tarieven!$A$2:$J$150, 10, FALSE), "0")</f>
        <v>44.45</v>
      </c>
      <c r="U18" s="77"/>
      <c r="V18" s="85"/>
      <c r="W18" s="325" t="str">
        <f>IFERROR(VLOOKUP(V18, Tarieven!$A$2:$J$150, 10, FALSE), "0")</f>
        <v>0</v>
      </c>
      <c r="X18" s="138">
        <f>Augustus!X18</f>
        <v>9</v>
      </c>
      <c r="Y18" s="398">
        <v>0.0</v>
      </c>
      <c r="Z18" s="329">
        <f t="shared" si="3"/>
        <v>15</v>
      </c>
      <c r="AA18" s="32">
        <f t="shared" si="4"/>
        <v>116.8</v>
      </c>
      <c r="AB18" s="32">
        <f t="shared" si="5"/>
        <v>200.7</v>
      </c>
      <c r="AC18" s="32">
        <f t="shared" si="6"/>
        <v>83.9</v>
      </c>
      <c r="AD18" s="419"/>
    </row>
    <row r="19" ht="22.5" customHeight="1">
      <c r="A19" s="331" t="str">
        <f>Rooster!A20</f>
        <v>Woensdag</v>
      </c>
      <c r="B19" s="396">
        <f>Rooster!B20</f>
        <v>0.6458333333</v>
      </c>
      <c r="C19" s="15">
        <f>Rooster!C20</f>
        <v>60</v>
      </c>
      <c r="D19" s="11" t="str">
        <f>Rooster!D20</f>
        <v>Streetdance 8+</v>
      </c>
      <c r="E19" s="77">
        <v>4.0</v>
      </c>
      <c r="F19" s="327" t="str">
        <f>Rooster!E20</f>
        <v>Julia</v>
      </c>
      <c r="G19" s="319">
        <f>IFERROR(VLOOKUP(F19, Docenten!$A$2:$G$30, 7, FALSE), "0")</f>
        <v>15</v>
      </c>
      <c r="H19" s="320">
        <f t="shared" si="1"/>
        <v>15</v>
      </c>
      <c r="I19" s="327" t="str">
        <f>Rooster!H20</f>
        <v>Santpoort Noord</v>
      </c>
      <c r="J19" s="321">
        <f>IFERROR(VLOOKUP(I19, Locaties!$A$2:$G$15, 7, FALSE), "0")</f>
        <v>14.2</v>
      </c>
      <c r="K19" s="42">
        <f t="shared" si="2"/>
        <v>14.2</v>
      </c>
      <c r="L19" s="341">
        <v>3.0</v>
      </c>
      <c r="M19" s="106" t="s">
        <v>54</v>
      </c>
      <c r="N19" s="321">
        <f>IFERROR(VLOOKUP(M19, Tarieven!$A$1:$J$150, 10, FALSE), "0")</f>
        <v>31</v>
      </c>
      <c r="O19" s="341">
        <v>1.0</v>
      </c>
      <c r="P19" s="377" t="s">
        <v>87</v>
      </c>
      <c r="Q19" s="325">
        <f>IFERROR(VLOOKUP(P19, Tarieven!$A$2:$J$150, 10, FALSE), "0")</f>
        <v>32.25</v>
      </c>
      <c r="R19" s="172">
        <v>1.0</v>
      </c>
      <c r="S19" s="324" t="s">
        <v>157</v>
      </c>
      <c r="T19" s="325">
        <f>IFERROR(VLOOKUP(S19, Tarieven!$A$2:$J$150, 10, FALSE), "0")</f>
        <v>44.45</v>
      </c>
      <c r="U19" s="77"/>
      <c r="V19" s="85"/>
      <c r="W19" s="325" t="str">
        <f>IFERROR(VLOOKUP(V19, Tarieven!$A$2:$J$150, 10, FALSE), "0")</f>
        <v>0</v>
      </c>
      <c r="X19" s="138">
        <f>Augustus!X19</f>
        <v>11</v>
      </c>
      <c r="Y19" s="398">
        <v>0.0</v>
      </c>
      <c r="Z19" s="329">
        <f t="shared" si="3"/>
        <v>16</v>
      </c>
      <c r="AA19" s="32">
        <f t="shared" si="4"/>
        <v>116.8</v>
      </c>
      <c r="AB19" s="32">
        <f t="shared" si="5"/>
        <v>169.7</v>
      </c>
      <c r="AC19" s="32">
        <f t="shared" si="6"/>
        <v>52.9</v>
      </c>
      <c r="AD19" s="419"/>
    </row>
    <row r="20" ht="22.5" customHeight="1">
      <c r="A20" s="331" t="str">
        <f>Rooster!A21</f>
        <v>Woensdag</v>
      </c>
      <c r="B20" s="396">
        <f>Rooster!B21</f>
        <v>0.6875</v>
      </c>
      <c r="C20" s="15">
        <f>Rooster!C21</f>
        <v>60</v>
      </c>
      <c r="D20" s="11" t="str">
        <f>Rooster!D21</f>
        <v>Modern 11+</v>
      </c>
      <c r="E20" s="77">
        <v>4.0</v>
      </c>
      <c r="F20" s="327" t="str">
        <f>Rooster!E21</f>
        <v>Julia</v>
      </c>
      <c r="G20" s="319">
        <f>IFERROR(VLOOKUP(F20, Docenten!$A$2:$G$30, 7, FALSE), "0")</f>
        <v>15</v>
      </c>
      <c r="H20" s="320">
        <f t="shared" si="1"/>
        <v>15</v>
      </c>
      <c r="I20" s="327" t="str">
        <f>Rooster!H21</f>
        <v>Santpoort Noord</v>
      </c>
      <c r="J20" s="321">
        <f>IFERROR(VLOOKUP(I20, Locaties!$A$2:$G$15, 7, FALSE), "0")</f>
        <v>14.2</v>
      </c>
      <c r="K20" s="42">
        <f t="shared" si="2"/>
        <v>14.2</v>
      </c>
      <c r="L20" s="352">
        <v>1.0</v>
      </c>
      <c r="M20" s="96" t="s">
        <v>54</v>
      </c>
      <c r="N20" s="321">
        <f>IFERROR(VLOOKUP(M20, Tarieven!$A$1:$J$150, 10, FALSE), "0")</f>
        <v>31</v>
      </c>
      <c r="O20" s="352">
        <v>3.0</v>
      </c>
      <c r="P20" s="353" t="s">
        <v>62</v>
      </c>
      <c r="Q20" s="325">
        <f>IFERROR(VLOOKUP(P20, Tarieven!$A$2:$J$150, 10, FALSE), "0")</f>
        <v>28.55</v>
      </c>
      <c r="R20" s="421">
        <v>1.0</v>
      </c>
      <c r="S20" s="363" t="s">
        <v>87</v>
      </c>
      <c r="T20" s="325">
        <f>IFERROR(VLOOKUP(S20, Tarieven!$A$2:$J$150, 10, FALSE), "0")</f>
        <v>32.25</v>
      </c>
      <c r="U20" s="77"/>
      <c r="V20" s="85"/>
      <c r="W20" s="325" t="str">
        <f>IFERROR(VLOOKUP(V20, Tarieven!$A$2:$J$150, 10, FALSE), "0")</f>
        <v>0</v>
      </c>
      <c r="X20" s="138">
        <f>Augustus!X20</f>
        <v>9</v>
      </c>
      <c r="Y20" s="398">
        <v>0.0</v>
      </c>
      <c r="Z20" s="329">
        <f t="shared" si="3"/>
        <v>14</v>
      </c>
      <c r="AA20" s="32">
        <f t="shared" si="4"/>
        <v>116.8</v>
      </c>
      <c r="AB20" s="32">
        <f t="shared" si="5"/>
        <v>148.9</v>
      </c>
      <c r="AC20" s="32">
        <f t="shared" si="6"/>
        <v>32.1</v>
      </c>
      <c r="AD20" s="419"/>
    </row>
    <row r="21" ht="22.5" customHeight="1">
      <c r="A21" s="331" t="str">
        <f>Rooster!A22</f>
        <v>Woensdag</v>
      </c>
      <c r="B21" s="396">
        <f>Rooster!B22</f>
        <v>0.7291666667</v>
      </c>
      <c r="C21" s="15">
        <f>Rooster!C22</f>
        <v>60</v>
      </c>
      <c r="D21" s="11" t="str">
        <f>Rooster!D22</f>
        <v>Selectie Hiphop 11+</v>
      </c>
      <c r="E21" s="77">
        <v>4.0</v>
      </c>
      <c r="F21" s="327" t="str">
        <f>Rooster!E22</f>
        <v>Eigenaar</v>
      </c>
      <c r="G21" s="319">
        <f>IFERROR(VLOOKUP(F21, Docenten!$A$2:$G$30, 7, FALSE), "0")</f>
        <v>0</v>
      </c>
      <c r="H21" s="320">
        <f t="shared" si="1"/>
        <v>0</v>
      </c>
      <c r="I21" s="327" t="str">
        <f>Rooster!H22</f>
        <v>Santpoort Noord</v>
      </c>
      <c r="J21" s="321">
        <f>IFERROR(VLOOKUP(I21, Locaties!$A$2:$G$15, 7, FALSE), "0")</f>
        <v>14.2</v>
      </c>
      <c r="K21" s="42">
        <f t="shared" si="2"/>
        <v>14.2</v>
      </c>
      <c r="L21" s="341">
        <v>1.0</v>
      </c>
      <c r="M21" s="106" t="s">
        <v>89</v>
      </c>
      <c r="N21" s="321">
        <f>IFERROR(VLOOKUP(M21, Tarieven!$A$1:$J$150, 10, FALSE), "0")</f>
        <v>34.25</v>
      </c>
      <c r="O21" s="343"/>
      <c r="P21" s="374"/>
      <c r="Q21" s="325" t="str">
        <f>IFERROR(VLOOKUP(P21, Tarieven!$A$2:$J$150, 10, FALSE), "0")</f>
        <v>0</v>
      </c>
      <c r="R21" s="251"/>
      <c r="S21" s="113"/>
      <c r="T21" s="325" t="str">
        <f>IFERROR(VLOOKUP(S21, Tarieven!$A$2:$J$150, 10, FALSE), "0")</f>
        <v>0</v>
      </c>
      <c r="U21" s="77"/>
      <c r="V21" s="85"/>
      <c r="W21" s="325" t="str">
        <f>IFERROR(VLOOKUP(V21, Tarieven!$A$2:$J$150, 10, FALSE), "0")</f>
        <v>0</v>
      </c>
      <c r="X21" s="138">
        <f>Augustus!X21</f>
        <v>11</v>
      </c>
      <c r="Y21" s="398">
        <v>0.0</v>
      </c>
      <c r="Z21" s="329">
        <f t="shared" si="3"/>
        <v>12</v>
      </c>
      <c r="AA21" s="32">
        <f t="shared" si="4"/>
        <v>56.8</v>
      </c>
      <c r="AB21" s="32">
        <f t="shared" si="5"/>
        <v>34.25</v>
      </c>
      <c r="AC21" s="32">
        <f t="shared" si="6"/>
        <v>-22.55</v>
      </c>
      <c r="AD21" s="419"/>
    </row>
    <row r="22" ht="22.5" customHeight="1">
      <c r="A22" s="331" t="str">
        <f>Rooster!A23</f>
        <v>Woensdag</v>
      </c>
      <c r="B22" s="396">
        <f>Rooster!B23</f>
        <v>0.7708333333</v>
      </c>
      <c r="C22" s="15">
        <f>Rooster!C23</f>
        <v>60</v>
      </c>
      <c r="D22" s="11" t="str">
        <f>Rooster!D23</f>
        <v>Show 12+</v>
      </c>
      <c r="E22" s="77">
        <v>4.0</v>
      </c>
      <c r="F22" s="327" t="str">
        <f>Rooster!E23</f>
        <v>Eigenaar</v>
      </c>
      <c r="G22" s="319">
        <f>IFERROR(VLOOKUP(F22, Docenten!$A$2:$G$30, 7, FALSE), "0")</f>
        <v>0</v>
      </c>
      <c r="H22" s="320">
        <f t="shared" si="1"/>
        <v>0</v>
      </c>
      <c r="I22" s="327" t="str">
        <f>Rooster!H23</f>
        <v>Santpoort Noord</v>
      </c>
      <c r="J22" s="321">
        <f>IFERROR(VLOOKUP(I22, Locaties!$A$2:$G$15, 7, FALSE), "0")</f>
        <v>14.2</v>
      </c>
      <c r="K22" s="42">
        <f t="shared" si="2"/>
        <v>14.2</v>
      </c>
      <c r="L22" s="360">
        <v>1.0</v>
      </c>
      <c r="M22" s="361" t="s">
        <v>54</v>
      </c>
      <c r="N22" s="321">
        <f>IFERROR(VLOOKUP(M22, Tarieven!$A$1:$J$150, 10, FALSE), "0")</f>
        <v>31</v>
      </c>
      <c r="O22" s="360">
        <v>4.0</v>
      </c>
      <c r="P22" s="353" t="s">
        <v>48</v>
      </c>
      <c r="Q22" s="325">
        <f>IFERROR(VLOOKUP(P22, Tarieven!$A$2:$J$150, 10, FALSE), "0")</f>
        <v>279</v>
      </c>
      <c r="R22" s="95">
        <v>1.0</v>
      </c>
      <c r="S22" s="96" t="s">
        <v>46</v>
      </c>
      <c r="T22" s="432">
        <v>260.0</v>
      </c>
      <c r="U22" s="77"/>
      <c r="V22" s="327"/>
      <c r="W22" s="325" t="str">
        <f>IFERROR(VLOOKUP(V22, Tarieven!$A$2:$J$150, 10, FALSE), "0")</f>
        <v>0</v>
      </c>
      <c r="X22" s="138">
        <f>Augustus!X22</f>
        <v>9</v>
      </c>
      <c r="Y22" s="398">
        <v>0.0</v>
      </c>
      <c r="Z22" s="329">
        <f t="shared" si="3"/>
        <v>15</v>
      </c>
      <c r="AA22" s="32">
        <f t="shared" si="4"/>
        <v>56.8</v>
      </c>
      <c r="AB22" s="32">
        <f t="shared" si="5"/>
        <v>1407</v>
      </c>
      <c r="AC22" s="32">
        <f t="shared" si="6"/>
        <v>1350.2</v>
      </c>
      <c r="AD22" s="419"/>
    </row>
    <row r="23" ht="22.5" customHeight="1">
      <c r="A23" s="331" t="str">
        <f>Rooster!A24</f>
        <v/>
      </c>
      <c r="B23" s="396" t="str">
        <f>Rooster!B24</f>
        <v/>
      </c>
      <c r="C23" s="15" t="str">
        <f>Rooster!C24</f>
        <v/>
      </c>
      <c r="D23" s="11" t="str">
        <f>Rooster!D24</f>
        <v/>
      </c>
      <c r="E23" s="77">
        <v>4.0</v>
      </c>
      <c r="F23" s="327" t="str">
        <f>Rooster!E24</f>
        <v/>
      </c>
      <c r="G23" s="319" t="str">
        <f>IFERROR(VLOOKUP(F23, Docenten!$A$2:$G$30, 7, FALSE), "0")</f>
        <v>0</v>
      </c>
      <c r="H23" s="320">
        <f t="shared" si="1"/>
        <v>0</v>
      </c>
      <c r="I23" s="327" t="str">
        <f>Rooster!H24</f>
        <v/>
      </c>
      <c r="J23" s="321" t="str">
        <f>IFERROR(VLOOKUP(I23, Locaties!$A$2:$G$15, 7, FALSE), "0")</f>
        <v>0</v>
      </c>
      <c r="K23" s="42">
        <f t="shared" si="2"/>
        <v>0</v>
      </c>
      <c r="L23" s="373"/>
      <c r="M23" s="113"/>
      <c r="N23" s="321" t="str">
        <f>IFERROR(VLOOKUP(M23, Tarieven!$A$1:$J$150, 10, FALSE), "0")</f>
        <v>0</v>
      </c>
      <c r="O23" s="386"/>
      <c r="P23" s="387"/>
      <c r="Q23" s="325" t="str">
        <f>IFERROR(VLOOKUP(P23, Tarieven!$A$2:$J$150, 10, FALSE), "0")</f>
        <v>0</v>
      </c>
      <c r="R23" s="197"/>
      <c r="S23" s="332"/>
      <c r="T23" s="325" t="str">
        <f>IFERROR(VLOOKUP(S23, Tarieven!$A$2:$J$150, 10, FALSE), "0")</f>
        <v>0</v>
      </c>
      <c r="U23" s="77"/>
      <c r="V23" s="85"/>
      <c r="W23" s="325" t="str">
        <f>IFERROR(VLOOKUP(V23, Tarieven!$A$2:$J$150, 10, FALSE), "0")</f>
        <v>0</v>
      </c>
      <c r="X23" s="138">
        <f>Augustus!X23</f>
        <v>0</v>
      </c>
      <c r="Y23" s="398">
        <v>0.0</v>
      </c>
      <c r="Z23" s="329">
        <f t="shared" si="3"/>
        <v>0</v>
      </c>
      <c r="AA23" s="32">
        <f t="shared" si="4"/>
        <v>0</v>
      </c>
      <c r="AB23" s="32">
        <f t="shared" si="5"/>
        <v>0</v>
      </c>
      <c r="AC23" s="32">
        <f t="shared" si="6"/>
        <v>0</v>
      </c>
      <c r="AD23" s="419"/>
    </row>
    <row r="24" ht="22.5" customHeight="1">
      <c r="A24" s="331" t="str">
        <f>Rooster!A25</f>
        <v>Donderdag</v>
      </c>
      <c r="B24" s="396">
        <f>Rooster!B25</f>
        <v>0.6458333333</v>
      </c>
      <c r="C24" s="15">
        <f>Rooster!C25</f>
        <v>60</v>
      </c>
      <c r="D24" s="11" t="str">
        <f>Rooster!D25</f>
        <v>Showdance 6+</v>
      </c>
      <c r="E24" s="77">
        <v>4.0</v>
      </c>
      <c r="F24" s="327" t="str">
        <f>Rooster!E25</f>
        <v>Eigenaar</v>
      </c>
      <c r="G24" s="319">
        <f>IFERROR(VLOOKUP(F24, Docenten!$A$2:$G$30, 7, FALSE), "0")</f>
        <v>0</v>
      </c>
      <c r="H24" s="320">
        <f t="shared" si="1"/>
        <v>0</v>
      </c>
      <c r="I24" s="327" t="str">
        <f>Rooster!H25</f>
        <v>Santpoort Zuid</v>
      </c>
      <c r="J24" s="321">
        <f>IFERROR(VLOOKUP(I24, Locaties!$A$2:$G$15, 7, FALSE), "0")</f>
        <v>18.9</v>
      </c>
      <c r="K24" s="42">
        <f t="shared" si="2"/>
        <v>18.9</v>
      </c>
      <c r="L24" s="352">
        <v>3.0</v>
      </c>
      <c r="M24" s="96" t="s">
        <v>54</v>
      </c>
      <c r="N24" s="321">
        <f>IFERROR(VLOOKUP(M24, Tarieven!$A$1:$J$150, 10, FALSE), "0")</f>
        <v>31</v>
      </c>
      <c r="O24" s="379">
        <v>3.0</v>
      </c>
      <c r="P24" s="380" t="s">
        <v>62</v>
      </c>
      <c r="Q24" s="325">
        <f>IFERROR(VLOOKUP(P24, Tarieven!$A$2:$J$150, 10, FALSE), "0")</f>
        <v>28.55</v>
      </c>
      <c r="R24" s="421"/>
      <c r="S24" s="363"/>
      <c r="T24" s="325" t="str">
        <f>IFERROR(VLOOKUP(S24, Tarieven!$A$2:$J$150, 10, FALSE), "0")</f>
        <v>0</v>
      </c>
      <c r="U24" s="77"/>
      <c r="V24" s="85"/>
      <c r="W24" s="325" t="str">
        <f>IFERROR(VLOOKUP(V24, Tarieven!$A$2:$J$150, 10, FALSE), "0")</f>
        <v>0</v>
      </c>
      <c r="X24" s="138">
        <f>Augustus!X24</f>
        <v>4</v>
      </c>
      <c r="Y24" s="398">
        <v>0.0</v>
      </c>
      <c r="Z24" s="329">
        <f t="shared" si="3"/>
        <v>10</v>
      </c>
      <c r="AA24" s="32">
        <f t="shared" si="4"/>
        <v>75.6</v>
      </c>
      <c r="AB24" s="32">
        <f t="shared" si="5"/>
        <v>178.65</v>
      </c>
      <c r="AC24" s="32">
        <f t="shared" si="6"/>
        <v>103.05</v>
      </c>
      <c r="AD24" s="419"/>
    </row>
    <row r="25" ht="22.5" customHeight="1">
      <c r="A25" s="331" t="str">
        <f>Rooster!A26</f>
        <v>Donderdag</v>
      </c>
      <c r="B25" s="396">
        <f>Rooster!B26</f>
        <v>0.6875</v>
      </c>
      <c r="C25" s="15">
        <f>Rooster!C26</f>
        <v>60</v>
      </c>
      <c r="D25" s="11" t="str">
        <f>Rooster!D26</f>
        <v>Showdance 8+</v>
      </c>
      <c r="E25" s="77">
        <v>4.0</v>
      </c>
      <c r="F25" s="327" t="str">
        <f>Rooster!E26</f>
        <v>Eigenaar</v>
      </c>
      <c r="G25" s="319">
        <f>IFERROR(VLOOKUP(F25, Docenten!$A$2:$G$30, 7, FALSE), "0")</f>
        <v>0</v>
      </c>
      <c r="H25" s="320">
        <f t="shared" si="1"/>
        <v>0</v>
      </c>
      <c r="I25" s="327" t="str">
        <f>Rooster!H26</f>
        <v>Santpoort Zuid</v>
      </c>
      <c r="J25" s="321">
        <f>IFERROR(VLOOKUP(I25, Locaties!$A$2:$G$15, 7, FALSE), "0")</f>
        <v>18.9</v>
      </c>
      <c r="K25" s="42">
        <f t="shared" si="2"/>
        <v>18.9</v>
      </c>
      <c r="L25" s="341">
        <v>3.0</v>
      </c>
      <c r="M25" s="106" t="s">
        <v>54</v>
      </c>
      <c r="N25" s="321">
        <f>IFERROR(VLOOKUP(M25, Tarieven!$A$1:$J$150, 10, FALSE), "0")</f>
        <v>31</v>
      </c>
      <c r="O25" s="369">
        <v>2.0</v>
      </c>
      <c r="P25" s="370" t="s">
        <v>157</v>
      </c>
      <c r="Q25" s="325">
        <f>IFERROR(VLOOKUP(P25, Tarieven!$A$2:$J$150, 10, FALSE), "0")</f>
        <v>44.45</v>
      </c>
      <c r="R25" s="172">
        <v>1.0</v>
      </c>
      <c r="S25" s="324" t="s">
        <v>87</v>
      </c>
      <c r="T25" s="325">
        <f>IFERROR(VLOOKUP(S25, Tarieven!$A$2:$J$150, 10, FALSE), "0")</f>
        <v>32.25</v>
      </c>
      <c r="U25" s="77"/>
      <c r="V25" s="85"/>
      <c r="W25" s="325" t="str">
        <f>IFERROR(VLOOKUP(V25, Tarieven!$A$2:$J$150, 10, FALSE), "0")</f>
        <v>0</v>
      </c>
      <c r="X25" s="138">
        <f>Augustus!X25</f>
        <v>4</v>
      </c>
      <c r="Y25" s="398">
        <v>0.0</v>
      </c>
      <c r="Z25" s="329">
        <f t="shared" si="3"/>
        <v>10</v>
      </c>
      <c r="AA25" s="32">
        <f t="shared" si="4"/>
        <v>75.6</v>
      </c>
      <c r="AB25" s="32">
        <f t="shared" si="5"/>
        <v>214.15</v>
      </c>
      <c r="AC25" s="32">
        <f t="shared" si="6"/>
        <v>138.55</v>
      </c>
      <c r="AD25" s="419"/>
    </row>
    <row r="26" ht="22.5" customHeight="1">
      <c r="A26" s="331" t="str">
        <f>Rooster!A27</f>
        <v>Donderdag</v>
      </c>
      <c r="B26" s="396">
        <f>Rooster!B27</f>
        <v>0.7291666667</v>
      </c>
      <c r="C26" s="15">
        <f>Rooster!C27</f>
        <v>60</v>
      </c>
      <c r="D26" s="11" t="str">
        <f>Rooster!D27</f>
        <v>Modern 14+</v>
      </c>
      <c r="E26" s="77">
        <v>4.0</v>
      </c>
      <c r="F26" s="327" t="str">
        <f>Rooster!E27</f>
        <v>Eigenaar</v>
      </c>
      <c r="G26" s="319">
        <f>IFERROR(VLOOKUP(F26, Docenten!$A$2:$G$30, 7, FALSE), "0")</f>
        <v>0</v>
      </c>
      <c r="H26" s="320">
        <f t="shared" si="1"/>
        <v>0</v>
      </c>
      <c r="I26" s="327" t="str">
        <f>Rooster!H27</f>
        <v>Santpoort Zuid</v>
      </c>
      <c r="J26" s="321">
        <f>IFERROR(VLOOKUP(I26, Locaties!$A$2:$G$15, 7, FALSE), "0")</f>
        <v>18.9</v>
      </c>
      <c r="K26" s="42">
        <f t="shared" si="2"/>
        <v>18.9</v>
      </c>
      <c r="L26" s="352">
        <v>2.0</v>
      </c>
      <c r="M26" s="96" t="s">
        <v>71</v>
      </c>
      <c r="N26" s="321">
        <f>IFERROR(VLOOKUP(M26, Tarieven!$A$1:$J$150, 10, FALSE), "0")</f>
        <v>28.93333333</v>
      </c>
      <c r="O26" s="379"/>
      <c r="P26" s="380"/>
      <c r="Q26" s="325" t="str">
        <f>IFERROR(VLOOKUP(P26, Tarieven!$A$2:$J$150, 10, FALSE), "0")</f>
        <v>0</v>
      </c>
      <c r="R26" s="421">
        <v>2.0</v>
      </c>
      <c r="S26" s="363" t="s">
        <v>92</v>
      </c>
      <c r="T26" s="325">
        <f>IFERROR(VLOOKUP(S26, Tarieven!$A$2:$J$150, 10, FALSE), "0")</f>
        <v>31.53333333</v>
      </c>
      <c r="U26" s="77"/>
      <c r="V26" s="85"/>
      <c r="W26" s="325" t="str">
        <f>IFERROR(VLOOKUP(V26, Tarieven!$A$2:$J$150, 10, FALSE), "0")</f>
        <v>0</v>
      </c>
      <c r="X26" s="138">
        <f>Augustus!X26</f>
        <v>7</v>
      </c>
      <c r="Y26" s="398">
        <v>0.0</v>
      </c>
      <c r="Z26" s="329">
        <f t="shared" si="3"/>
        <v>11</v>
      </c>
      <c r="AA26" s="32">
        <f t="shared" si="4"/>
        <v>75.6</v>
      </c>
      <c r="AB26" s="32">
        <f t="shared" si="5"/>
        <v>120.9333333</v>
      </c>
      <c r="AC26" s="32">
        <f t="shared" si="6"/>
        <v>45.33333333</v>
      </c>
      <c r="AD26" s="419"/>
    </row>
    <row r="27" ht="22.5" customHeight="1">
      <c r="A27" s="331" t="str">
        <f>Rooster!A28</f>
        <v>Donderdag</v>
      </c>
      <c r="B27" s="396">
        <f>Rooster!B28</f>
        <v>0.7708333333</v>
      </c>
      <c r="C27" s="15">
        <f>Rooster!C28</f>
        <v>60</v>
      </c>
      <c r="D27" s="11" t="str">
        <f>Rooster!D28</f>
        <v>Commercial 14+</v>
      </c>
      <c r="E27" s="77">
        <v>4.0</v>
      </c>
      <c r="F27" s="327" t="str">
        <f>Rooster!E28</f>
        <v>Nova</v>
      </c>
      <c r="G27" s="319">
        <f>IFERROR(VLOOKUP(F27, Docenten!$A$2:$G$30, 7, FALSE), "0")</f>
        <v>22.5</v>
      </c>
      <c r="H27" s="320">
        <f t="shared" si="1"/>
        <v>22.5</v>
      </c>
      <c r="I27" s="327" t="str">
        <f>Rooster!H28</f>
        <v>Santpoort Zuid</v>
      </c>
      <c r="J27" s="321">
        <f>IFERROR(VLOOKUP(I27, Locaties!$A$2:$G$15, 7, FALSE), "0")</f>
        <v>18.9</v>
      </c>
      <c r="K27" s="42">
        <f t="shared" si="2"/>
        <v>18.9</v>
      </c>
      <c r="L27" s="341">
        <v>2.0</v>
      </c>
      <c r="M27" s="106" t="s">
        <v>92</v>
      </c>
      <c r="N27" s="321">
        <f>IFERROR(VLOOKUP(M27, Tarieven!$A$1:$J$150, 10, FALSE), "0")</f>
        <v>31.53333333</v>
      </c>
      <c r="O27" s="368">
        <v>3.0</v>
      </c>
      <c r="P27" s="399" t="s">
        <v>71</v>
      </c>
      <c r="Q27" s="325">
        <f>IFERROR(VLOOKUP(P27, Tarieven!$A$2:$J$150, 10, FALSE), "0")</f>
        <v>28.93333333</v>
      </c>
      <c r="R27" s="172">
        <v>2.0</v>
      </c>
      <c r="S27" s="324" t="s">
        <v>62</v>
      </c>
      <c r="T27" s="325">
        <f>IFERROR(VLOOKUP(S27, Tarieven!$A$2:$J$150, 10, FALSE), "0")</f>
        <v>28.55</v>
      </c>
      <c r="U27" s="77"/>
      <c r="V27" s="85"/>
      <c r="W27" s="325" t="str">
        <f>IFERROR(VLOOKUP(V27, Tarieven!$A$2:$J$150, 10, FALSE), "0")</f>
        <v>0</v>
      </c>
      <c r="X27" s="138">
        <f>Augustus!X27</f>
        <v>10</v>
      </c>
      <c r="Y27" s="398">
        <v>0.0</v>
      </c>
      <c r="Z27" s="329">
        <f t="shared" si="3"/>
        <v>17</v>
      </c>
      <c r="AA27" s="32">
        <f t="shared" si="4"/>
        <v>165.6</v>
      </c>
      <c r="AB27" s="32">
        <f t="shared" si="5"/>
        <v>206.9666667</v>
      </c>
      <c r="AC27" s="32">
        <f t="shared" si="6"/>
        <v>41.36666667</v>
      </c>
      <c r="AD27" s="419"/>
    </row>
    <row r="28" ht="22.5" customHeight="1">
      <c r="A28" s="331" t="str">
        <f>Rooster!A29</f>
        <v>Donderdag</v>
      </c>
      <c r="B28" s="396">
        <f>Rooster!B29</f>
        <v>0.8125</v>
      </c>
      <c r="C28" s="15">
        <f>Rooster!C29</f>
        <v>60</v>
      </c>
      <c r="D28" s="11" t="str">
        <f>Rooster!D29</f>
        <v>Selectie Hiphop 16+</v>
      </c>
      <c r="E28" s="77">
        <v>4.0</v>
      </c>
      <c r="F28" s="327" t="str">
        <f>Rooster!E29</f>
        <v>Nova</v>
      </c>
      <c r="G28" s="319">
        <f>IFERROR(VLOOKUP(F28, Docenten!$A$2:$G$30, 7, FALSE), "0")</f>
        <v>22.5</v>
      </c>
      <c r="H28" s="320">
        <f t="shared" si="1"/>
        <v>22.5</v>
      </c>
      <c r="I28" s="327" t="str">
        <f>Rooster!H29</f>
        <v>Santpoort Zuid</v>
      </c>
      <c r="J28" s="321">
        <f>IFERROR(VLOOKUP(I28, Locaties!$A$2:$G$15, 7, FALSE), "0")</f>
        <v>18.9</v>
      </c>
      <c r="K28" s="42">
        <f t="shared" si="2"/>
        <v>18.9</v>
      </c>
      <c r="L28" s="360">
        <v>2.0</v>
      </c>
      <c r="M28" s="361" t="s">
        <v>62</v>
      </c>
      <c r="N28" s="321">
        <f>IFERROR(VLOOKUP(M28, Tarieven!$A$1:$J$150, 10, FALSE), "0")</f>
        <v>28.55</v>
      </c>
      <c r="O28" s="379">
        <v>2.0</v>
      </c>
      <c r="P28" s="363" t="s">
        <v>71</v>
      </c>
      <c r="Q28" s="325">
        <f>IFERROR(VLOOKUP(P28, Tarieven!$A$2:$J$150, 10, FALSE), "0")</f>
        <v>28.93333333</v>
      </c>
      <c r="R28" s="421">
        <v>2.0</v>
      </c>
      <c r="S28" s="363" t="s">
        <v>78</v>
      </c>
      <c r="T28" s="325">
        <f>IFERROR(VLOOKUP(S28, Tarieven!$A$2:$J$150, 10, FALSE), "0")</f>
        <v>27</v>
      </c>
      <c r="U28" s="77"/>
      <c r="V28" s="85"/>
      <c r="W28" s="325" t="str">
        <f>IFERROR(VLOOKUP(V28, Tarieven!$A$2:$J$150, 10, FALSE), "0")</f>
        <v>0</v>
      </c>
      <c r="X28" s="138">
        <f>Augustus!X28</f>
        <v>8</v>
      </c>
      <c r="Y28" s="398">
        <v>0.0</v>
      </c>
      <c r="Z28" s="329">
        <f t="shared" si="3"/>
        <v>14</v>
      </c>
      <c r="AA28" s="32">
        <f t="shared" si="4"/>
        <v>165.6</v>
      </c>
      <c r="AB28" s="32">
        <f t="shared" si="5"/>
        <v>168.9666667</v>
      </c>
      <c r="AC28" s="32">
        <f t="shared" si="6"/>
        <v>3.366666667</v>
      </c>
      <c r="AD28" s="419"/>
    </row>
    <row r="29" ht="22.5" customHeight="1">
      <c r="A29" s="331" t="str">
        <f>Rooster!A30</f>
        <v>Donderdag</v>
      </c>
      <c r="B29" s="396">
        <f>Rooster!B30</f>
        <v>0.8541666667</v>
      </c>
      <c r="C29" s="15">
        <f>Rooster!C30</f>
        <v>60</v>
      </c>
      <c r="D29" s="11" t="str">
        <f>Rooster!D30</f>
        <v>Modern 16+</v>
      </c>
      <c r="E29" s="77">
        <v>4.0</v>
      </c>
      <c r="F29" s="327" t="str">
        <f>Rooster!E30</f>
        <v>Nova</v>
      </c>
      <c r="G29" s="319">
        <f>IFERROR(VLOOKUP(F29, Docenten!$A$2:$G$30, 7, FALSE), "0")</f>
        <v>22.5</v>
      </c>
      <c r="H29" s="320">
        <f t="shared" si="1"/>
        <v>22.5</v>
      </c>
      <c r="I29" s="327" t="str">
        <f>Rooster!H30</f>
        <v>Santpoort Zuid</v>
      </c>
      <c r="J29" s="321">
        <f>IFERROR(VLOOKUP(I29, Locaties!$A$2:$G$15, 7, FALSE), "0")</f>
        <v>18.9</v>
      </c>
      <c r="K29" s="42">
        <f t="shared" si="2"/>
        <v>18.9</v>
      </c>
      <c r="L29" s="369"/>
      <c r="M29" s="324"/>
      <c r="N29" s="321" t="str">
        <f>IFERROR(VLOOKUP(M29, Tarieven!$A$1:$J$150, 10, FALSE), "0")</f>
        <v>0</v>
      </c>
      <c r="O29" s="369">
        <v>1.0</v>
      </c>
      <c r="P29" s="324" t="s">
        <v>71</v>
      </c>
      <c r="Q29" s="325">
        <f>IFERROR(VLOOKUP(P29, Tarieven!$A$2:$J$150, 10, FALSE), "0")</f>
        <v>28.93333333</v>
      </c>
      <c r="R29" s="172">
        <v>1.0</v>
      </c>
      <c r="S29" s="324" t="s">
        <v>54</v>
      </c>
      <c r="T29" s="325">
        <f>IFERROR(VLOOKUP(S29, Tarieven!$A$2:$J$150, 10, FALSE), "0")</f>
        <v>31</v>
      </c>
      <c r="U29" s="77"/>
      <c r="V29" s="85"/>
      <c r="W29" s="325" t="str">
        <f>IFERROR(VLOOKUP(V29, Tarieven!$A$2:$J$150, 10, FALSE), "0")</f>
        <v>0</v>
      </c>
      <c r="X29" s="143">
        <f>Augustus!X29</f>
        <v>5</v>
      </c>
      <c r="Y29" s="398">
        <v>0.0</v>
      </c>
      <c r="Z29" s="329">
        <f t="shared" si="3"/>
        <v>7</v>
      </c>
      <c r="AA29" s="32">
        <f t="shared" si="4"/>
        <v>165.6</v>
      </c>
      <c r="AB29" s="32">
        <f t="shared" si="5"/>
        <v>59.93333333</v>
      </c>
      <c r="AC29" s="32">
        <f t="shared" si="6"/>
        <v>-105.6666667</v>
      </c>
      <c r="AD29" s="419"/>
    </row>
    <row r="30" ht="22.5" customHeight="1">
      <c r="A30" s="331" t="str">
        <f>Rooster!A31</f>
        <v>Vrijdag</v>
      </c>
      <c r="B30" s="396">
        <f>Rooster!B31</f>
        <v>0.625</v>
      </c>
      <c r="C30" s="15">
        <f>Rooster!C31</f>
        <v>60</v>
      </c>
      <c r="D30" s="11" t="str">
        <f>Rooster!D31</f>
        <v>Selectie Hiphop 8+</v>
      </c>
      <c r="E30" s="77">
        <v>4.0</v>
      </c>
      <c r="F30" s="327" t="str">
        <f>Rooster!E31</f>
        <v>Eigenaar</v>
      </c>
      <c r="G30" s="319">
        <f>IFERROR(VLOOKUP(F30, Docenten!$A$2:$G$30, 7, FALSE), "0")</f>
        <v>0</v>
      </c>
      <c r="H30" s="320">
        <f t="shared" si="1"/>
        <v>0</v>
      </c>
      <c r="I30" s="327" t="str">
        <f>Rooster!H31</f>
        <v>Santpoort Zuid</v>
      </c>
      <c r="J30" s="321">
        <f>IFERROR(VLOOKUP(I30, Locaties!$A$2:$G$15, 7, FALSE), "0")</f>
        <v>18.9</v>
      </c>
      <c r="K30" s="42">
        <f t="shared" si="2"/>
        <v>18.9</v>
      </c>
      <c r="L30" s="379">
        <v>3.0</v>
      </c>
      <c r="M30" s="363" t="s">
        <v>157</v>
      </c>
      <c r="N30" s="321">
        <f>IFERROR(VLOOKUP(M30, Tarieven!$A$1:$J$150, 10, FALSE), "0")</f>
        <v>44.45</v>
      </c>
      <c r="O30" s="379">
        <v>5.0</v>
      </c>
      <c r="P30" s="380" t="s">
        <v>62</v>
      </c>
      <c r="Q30" s="325">
        <f>IFERROR(VLOOKUP(P30, Tarieven!$A$2:$J$150, 10, FALSE), "0")</f>
        <v>28.55</v>
      </c>
      <c r="R30" s="421">
        <v>1.0</v>
      </c>
      <c r="S30" s="363" t="s">
        <v>141</v>
      </c>
      <c r="T30" s="325">
        <f>IFERROR(VLOOKUP(S30, Tarieven!$A$2:$J$150, 10, FALSE), "0")</f>
        <v>29.03333333</v>
      </c>
      <c r="U30" s="77"/>
      <c r="V30" s="85"/>
      <c r="W30" s="325" t="str">
        <f>IFERROR(VLOOKUP(V30, Tarieven!$A$2:$J$150, 10, FALSE), "0")</f>
        <v>0</v>
      </c>
      <c r="X30" s="143">
        <f>Augustus!X30</f>
        <v>4</v>
      </c>
      <c r="Y30" s="398">
        <v>0.0</v>
      </c>
      <c r="Z30" s="329">
        <f t="shared" si="3"/>
        <v>13</v>
      </c>
      <c r="AA30" s="32">
        <f t="shared" si="4"/>
        <v>75.6</v>
      </c>
      <c r="AB30" s="32">
        <f t="shared" si="5"/>
        <v>305.1333333</v>
      </c>
      <c r="AC30" s="32">
        <f t="shared" si="6"/>
        <v>229.5333333</v>
      </c>
      <c r="AD30" s="419"/>
    </row>
    <row r="31" ht="22.5" customHeight="1">
      <c r="A31" s="331" t="str">
        <f>Rooster!A32</f>
        <v>Vrijdag</v>
      </c>
      <c r="B31" s="396">
        <f>Rooster!B32</f>
        <v>0.6666666667</v>
      </c>
      <c r="C31" s="15">
        <f>Rooster!C32</f>
        <v>60</v>
      </c>
      <c r="D31" s="11" t="str">
        <f>Rooster!D32</f>
        <v>Cheer 8+</v>
      </c>
      <c r="E31" s="77">
        <v>4.0</v>
      </c>
      <c r="F31" s="327" t="str">
        <f>Rooster!E32</f>
        <v>Eigenaar</v>
      </c>
      <c r="G31" s="319">
        <f>IFERROR(VLOOKUP(F31, Docenten!$A$2:$G$30, 7, FALSE), "0")</f>
        <v>0</v>
      </c>
      <c r="H31" s="320">
        <f t="shared" si="1"/>
        <v>0</v>
      </c>
      <c r="I31" s="327" t="str">
        <f>Rooster!H32</f>
        <v>Santpoort Zuid</v>
      </c>
      <c r="J31" s="321">
        <f>IFERROR(VLOOKUP(I31, Locaties!$A$2:$G$15, 7, FALSE), "0")</f>
        <v>18.9</v>
      </c>
      <c r="K31" s="42">
        <f t="shared" si="2"/>
        <v>18.9</v>
      </c>
      <c r="L31" s="369">
        <v>4.0</v>
      </c>
      <c r="M31" s="324" t="s">
        <v>87</v>
      </c>
      <c r="N31" s="321">
        <f>IFERROR(VLOOKUP(M31, Tarieven!$A$1:$J$150, 10, FALSE), "0")</f>
        <v>32.25</v>
      </c>
      <c r="O31" s="369">
        <v>3.0</v>
      </c>
      <c r="P31" s="324" t="s">
        <v>157</v>
      </c>
      <c r="Q31" s="325">
        <f>IFERROR(VLOOKUP(P31, Tarieven!$A$2:$J$150, 10, FALSE), "0")</f>
        <v>44.45</v>
      </c>
      <c r="R31" s="172"/>
      <c r="S31" s="324"/>
      <c r="T31" s="325" t="str">
        <f>IFERROR(VLOOKUP(S31, Tarieven!$A$2:$J$150, 10, FALSE), "0")</f>
        <v>0</v>
      </c>
      <c r="U31" s="77"/>
      <c r="V31" s="85"/>
      <c r="W31" s="325" t="str">
        <f>IFERROR(VLOOKUP(V31, Tarieven!$A$2:$J$150, 10, FALSE), "0")</f>
        <v>0</v>
      </c>
      <c r="X31" s="143">
        <f>Augustus!X31</f>
        <v>11</v>
      </c>
      <c r="Y31" s="398">
        <v>0.0</v>
      </c>
      <c r="Z31" s="329">
        <f t="shared" si="3"/>
        <v>18</v>
      </c>
      <c r="AA31" s="32">
        <f t="shared" si="4"/>
        <v>75.6</v>
      </c>
      <c r="AB31" s="32">
        <f t="shared" si="5"/>
        <v>262.35</v>
      </c>
      <c r="AC31" s="32">
        <f t="shared" si="6"/>
        <v>186.75</v>
      </c>
      <c r="AD31" s="419"/>
    </row>
    <row r="32" ht="22.5" customHeight="1">
      <c r="A32" s="331" t="str">
        <f>Rooster!A33</f>
        <v>Vrijdag</v>
      </c>
      <c r="B32" s="396">
        <f>Rooster!B33</f>
        <v>0.7083333333</v>
      </c>
      <c r="C32" s="15">
        <f>Rooster!C33</f>
        <v>60</v>
      </c>
      <c r="D32" s="11" t="str">
        <f>Rooster!D33</f>
        <v>Cheer 12+</v>
      </c>
      <c r="E32" s="77">
        <v>4.0</v>
      </c>
      <c r="F32" s="327" t="str">
        <f>Rooster!E33</f>
        <v>Eigenaar</v>
      </c>
      <c r="G32" s="319">
        <f>IFERROR(VLOOKUP(F32, Docenten!$A$2:$G$30, 7, FALSE), "0")</f>
        <v>0</v>
      </c>
      <c r="H32" s="320">
        <f t="shared" si="1"/>
        <v>0</v>
      </c>
      <c r="I32" s="327" t="str">
        <f>Rooster!H33</f>
        <v>Santpoort Zuid</v>
      </c>
      <c r="J32" s="321">
        <f>IFERROR(VLOOKUP(I32, Locaties!$A$2:$G$15, 7, FALSE), "0")</f>
        <v>18.9</v>
      </c>
      <c r="K32" s="42">
        <f t="shared" si="2"/>
        <v>18.9</v>
      </c>
      <c r="L32" s="379">
        <v>2.0</v>
      </c>
      <c r="M32" s="363" t="s">
        <v>87</v>
      </c>
      <c r="N32" s="321">
        <f>IFERROR(VLOOKUP(M32, Tarieven!$A$1:$J$150, 10, FALSE), "0")</f>
        <v>32.25</v>
      </c>
      <c r="O32" s="379">
        <v>1.0</v>
      </c>
      <c r="P32" s="380" t="s">
        <v>84</v>
      </c>
      <c r="Q32" s="325">
        <f>IFERROR(VLOOKUP(P32, Tarieven!$A$2:$J$150, 10, FALSE), "0")</f>
        <v>289.5</v>
      </c>
      <c r="R32" s="436"/>
      <c r="S32" s="372"/>
      <c r="T32" s="325" t="str">
        <f>IFERROR(VLOOKUP(S32, Tarieven!$A$2:$J$150, 10, FALSE), "0")</f>
        <v>0</v>
      </c>
      <c r="U32" s="77"/>
      <c r="V32" s="85"/>
      <c r="W32" s="325" t="str">
        <f>IFERROR(VLOOKUP(V32, Tarieven!$A$2:$J$150, 10, FALSE), "0")</f>
        <v>0</v>
      </c>
      <c r="X32" s="143">
        <f>Augustus!X32</f>
        <v>5</v>
      </c>
      <c r="Y32" s="398">
        <v>0.0</v>
      </c>
      <c r="Z32" s="329">
        <f t="shared" si="3"/>
        <v>8</v>
      </c>
      <c r="AA32" s="32">
        <f t="shared" si="4"/>
        <v>75.6</v>
      </c>
      <c r="AB32" s="32">
        <f t="shared" si="5"/>
        <v>354</v>
      </c>
      <c r="AC32" s="32">
        <f t="shared" si="6"/>
        <v>278.4</v>
      </c>
      <c r="AD32" s="419"/>
    </row>
    <row r="33" ht="22.5" customHeight="1">
      <c r="A33" s="331" t="str">
        <f>Rooster!A34</f>
        <v>Vrijdag</v>
      </c>
      <c r="B33" s="396">
        <f>Rooster!B34</f>
        <v>0.75</v>
      </c>
      <c r="C33" s="15">
        <f>Rooster!C34</f>
        <v>60</v>
      </c>
      <c r="D33" s="11" t="str">
        <f>Rooster!D34</f>
        <v>Urban-pop-Show 11+</v>
      </c>
      <c r="E33" s="77">
        <v>4.0</v>
      </c>
      <c r="F33" s="327" t="str">
        <f>Rooster!E34</f>
        <v>Eigenaar</v>
      </c>
      <c r="G33" s="319">
        <f>IFERROR(VLOOKUP(F33, Docenten!$A$2:$G$30, 7, FALSE), "0")</f>
        <v>0</v>
      </c>
      <c r="H33" s="320">
        <f t="shared" si="1"/>
        <v>0</v>
      </c>
      <c r="I33" s="327" t="str">
        <f>Rooster!H34</f>
        <v>Santpoort Noord</v>
      </c>
      <c r="J33" s="321">
        <f>IFERROR(VLOOKUP(I33, Locaties!$A$2:$G$15, 7, FALSE), "0")</f>
        <v>14.2</v>
      </c>
      <c r="K33" s="42">
        <f t="shared" si="2"/>
        <v>14.2</v>
      </c>
      <c r="L33" s="368">
        <v>1.0</v>
      </c>
      <c r="M33" s="357" t="s">
        <v>54</v>
      </c>
      <c r="N33" s="321">
        <f>IFERROR(VLOOKUP(M33, Tarieven!$A$1:$J$150, 10, FALSE), "0")</f>
        <v>31</v>
      </c>
      <c r="O33" s="368">
        <v>1.0</v>
      </c>
      <c r="P33" s="357" t="s">
        <v>84</v>
      </c>
      <c r="Q33" s="325"/>
      <c r="R33" s="197"/>
      <c r="S33" s="332"/>
      <c r="T33" s="325" t="str">
        <f>IFERROR(VLOOKUP(S33, Tarieven!$A$2:$J$150, 10, FALSE), "0")</f>
        <v>0</v>
      </c>
      <c r="U33" s="77"/>
      <c r="V33" s="85"/>
      <c r="W33" s="325" t="str">
        <f>IFERROR(VLOOKUP(V33, Tarieven!$A$2:$J$150, 10, FALSE), "0")</f>
        <v>0</v>
      </c>
      <c r="X33" s="143">
        <f>Augustus!X33</f>
        <v>8</v>
      </c>
      <c r="Y33" s="398">
        <v>0.0</v>
      </c>
      <c r="Z33" s="329">
        <f t="shared" si="3"/>
        <v>10</v>
      </c>
      <c r="AA33" s="32">
        <f t="shared" si="4"/>
        <v>56.8</v>
      </c>
      <c r="AB33" s="32">
        <f t="shared" si="5"/>
        <v>31</v>
      </c>
      <c r="AC33" s="32">
        <f t="shared" si="6"/>
        <v>-25.8</v>
      </c>
      <c r="AD33" s="419"/>
    </row>
    <row r="34" ht="22.5" customHeight="1">
      <c r="A34" s="331" t="str">
        <f>Rooster!A35</f>
        <v>Zaterdag</v>
      </c>
      <c r="B34" s="396">
        <f>Rooster!B35</f>
        <v>0.375</v>
      </c>
      <c r="C34" s="15">
        <f>Rooster!C35</f>
        <v>60</v>
      </c>
      <c r="D34" s="11" t="str">
        <f>Rooster!D35</f>
        <v>Peuters</v>
      </c>
      <c r="E34" s="77">
        <v>4.0</v>
      </c>
      <c r="F34" s="327" t="str">
        <f>Rooster!E35</f>
        <v>Frederique</v>
      </c>
      <c r="G34" s="319">
        <f>IFERROR(VLOOKUP(F34, Docenten!$A$2:$G$30, 7, FALSE), "0")</f>
        <v>12.5</v>
      </c>
      <c r="H34" s="320">
        <f t="shared" si="1"/>
        <v>12.5</v>
      </c>
      <c r="I34" s="327" t="str">
        <f>Rooster!H35</f>
        <v>Santpoort Noord</v>
      </c>
      <c r="J34" s="321">
        <f>IFERROR(VLOOKUP(I34, Locaties!$A$2:$G$15, 7, FALSE), "0")</f>
        <v>14.2</v>
      </c>
      <c r="K34" s="42">
        <f t="shared" si="2"/>
        <v>14.2</v>
      </c>
      <c r="L34" s="379">
        <v>9.0</v>
      </c>
      <c r="M34" s="363" t="s">
        <v>54</v>
      </c>
      <c r="N34" s="321">
        <f>IFERROR(VLOOKUP(M34, Tarieven!$A$1:$J$150, 10, FALSE), "0")</f>
        <v>31</v>
      </c>
      <c r="O34" s="389"/>
      <c r="P34" s="390" t="str">
        <f>Augustus!P34</f>
        <v/>
      </c>
      <c r="Q34" s="325" t="str">
        <f>IFERROR(VLOOKUP(P34, Tarieven!$A$2:$J$150, 10, FALSE), "0")</f>
        <v>0</v>
      </c>
      <c r="R34" s="421"/>
      <c r="S34" s="363"/>
      <c r="T34" s="325" t="str">
        <f>IFERROR(VLOOKUP(S34, Tarieven!$A$2:$J$150, 10, FALSE), "0")</f>
        <v>0</v>
      </c>
      <c r="U34" s="77"/>
      <c r="V34" s="85"/>
      <c r="W34" s="325" t="str">
        <f>IFERROR(VLOOKUP(V34, Tarieven!$A$2:$J$150, 10, FALSE), "0")</f>
        <v>0</v>
      </c>
      <c r="X34" s="138">
        <f>Augustus!X34</f>
        <v>4</v>
      </c>
      <c r="Y34" s="398">
        <v>0.0</v>
      </c>
      <c r="Z34" s="329">
        <f t="shared" si="3"/>
        <v>13</v>
      </c>
      <c r="AA34" s="32">
        <f t="shared" si="4"/>
        <v>106.8</v>
      </c>
      <c r="AB34" s="32">
        <f t="shared" si="5"/>
        <v>279</v>
      </c>
      <c r="AC34" s="32">
        <f t="shared" si="6"/>
        <v>172.2</v>
      </c>
      <c r="AD34" s="419"/>
    </row>
    <row r="35" ht="22.5" customHeight="1">
      <c r="A35" s="331" t="str">
        <f>Rooster!A36</f>
        <v>Zaterdag</v>
      </c>
      <c r="B35" s="396">
        <f>Rooster!B36</f>
        <v>0.40625</v>
      </c>
      <c r="C35" s="15">
        <f>Rooster!C36</f>
        <v>60</v>
      </c>
      <c r="D35" s="11" t="str">
        <f>Rooster!D36</f>
        <v>Kleuters</v>
      </c>
      <c r="E35" s="77">
        <v>4.0</v>
      </c>
      <c r="F35" s="327" t="str">
        <f>Rooster!E36</f>
        <v>Frederique</v>
      </c>
      <c r="G35" s="319">
        <f>IFERROR(VLOOKUP(F35, Docenten!$A$2:$G$30, 7, FALSE), "0")</f>
        <v>12.5</v>
      </c>
      <c r="H35" s="320">
        <f t="shared" si="1"/>
        <v>12.5</v>
      </c>
      <c r="I35" s="327" t="str">
        <f>Rooster!H36</f>
        <v>Santpoort Noord</v>
      </c>
      <c r="J35" s="321">
        <f>IFERROR(VLOOKUP(I35, Locaties!$A$2:$G$15, 7, FALSE), "0")</f>
        <v>14.2</v>
      </c>
      <c r="K35" s="42">
        <f t="shared" si="2"/>
        <v>14.2</v>
      </c>
      <c r="L35" s="369">
        <v>10.0</v>
      </c>
      <c r="M35" s="324" t="s">
        <v>54</v>
      </c>
      <c r="N35" s="321">
        <f>IFERROR(VLOOKUP(M35, Tarieven!$A$1:$J$150, 10, FALSE), "0")</f>
        <v>31</v>
      </c>
      <c r="O35" s="386"/>
      <c r="P35" s="332" t="str">
        <f>Augustus!P35</f>
        <v/>
      </c>
      <c r="Q35" s="325"/>
      <c r="R35" s="172"/>
      <c r="S35" s="324"/>
      <c r="T35" s="325" t="str">
        <f>IFERROR(VLOOKUP(S35, Tarieven!$A$2:$J$150, 10, FALSE), "0")</f>
        <v>0</v>
      </c>
      <c r="U35" s="77"/>
      <c r="V35" s="85"/>
      <c r="W35" s="325" t="str">
        <f>IFERROR(VLOOKUP(V35, Tarieven!$A$2:$J$150, 10, FALSE), "0")</f>
        <v>0</v>
      </c>
      <c r="X35" s="143">
        <f>Augustus!X35</f>
        <v>5</v>
      </c>
      <c r="Y35" s="398">
        <v>0.0</v>
      </c>
      <c r="Z35" s="329">
        <f t="shared" si="3"/>
        <v>15</v>
      </c>
      <c r="AA35" s="32">
        <f t="shared" si="4"/>
        <v>106.8</v>
      </c>
      <c r="AB35" s="32">
        <f t="shared" si="5"/>
        <v>310</v>
      </c>
      <c r="AC35" s="32">
        <f t="shared" si="6"/>
        <v>203.2</v>
      </c>
      <c r="AD35" s="419"/>
    </row>
    <row r="36" ht="22.5" customHeight="1">
      <c r="A36" s="331" t="str">
        <f>Rooster!A37</f>
        <v>Zaterdag</v>
      </c>
      <c r="B36" s="396">
        <f>Rooster!B37</f>
        <v>0.4375</v>
      </c>
      <c r="C36" s="15">
        <f>Rooster!C37</f>
        <v>60</v>
      </c>
      <c r="D36" s="11" t="str">
        <f>Rooster!D37</f>
        <v>Showdance 5-6</v>
      </c>
      <c r="E36" s="77">
        <v>4.0</v>
      </c>
      <c r="F36" s="327" t="str">
        <f>Rooster!E37</f>
        <v>Frederique</v>
      </c>
      <c r="G36" s="319">
        <f>IFERROR(VLOOKUP(F36, Docenten!$A$2:$G$30, 7, FALSE), "0")</f>
        <v>12.5</v>
      </c>
      <c r="H36" s="320">
        <f t="shared" si="1"/>
        <v>12.5</v>
      </c>
      <c r="I36" s="327" t="str">
        <f>Rooster!H37</f>
        <v>Santpoort Noord</v>
      </c>
      <c r="J36" s="321">
        <f>IFERROR(VLOOKUP(I36, Locaties!$A$2:$G$15, 7, FALSE), "0")</f>
        <v>14.2</v>
      </c>
      <c r="K36" s="42">
        <f t="shared" si="2"/>
        <v>14.2</v>
      </c>
      <c r="L36" s="379">
        <v>3.0</v>
      </c>
      <c r="M36" s="363" t="s">
        <v>54</v>
      </c>
      <c r="N36" s="321">
        <f>IFERROR(VLOOKUP(M36, Tarieven!$A$1:$J$150, 10, FALSE), "0")</f>
        <v>31</v>
      </c>
      <c r="O36" s="379">
        <v>1.0</v>
      </c>
      <c r="P36" s="380" t="s">
        <v>62</v>
      </c>
      <c r="Q36" s="325">
        <f>IFERROR(VLOOKUP(P36, Tarieven!$A$2:$J$150, 10, FALSE), "0")</f>
        <v>28.55</v>
      </c>
      <c r="R36" s="436"/>
      <c r="S36" s="372"/>
      <c r="T36" s="325" t="str">
        <f>IFERROR(VLOOKUP(S36, Tarieven!$A$2:$J$150, 10, FALSE), "0")</f>
        <v>0</v>
      </c>
      <c r="U36" s="77"/>
      <c r="V36" s="85"/>
      <c r="W36" s="325" t="str">
        <f>IFERROR(VLOOKUP(V36, Tarieven!$A$2:$J$150, 10, FALSE), "0")</f>
        <v>0</v>
      </c>
      <c r="X36" s="138">
        <f>Augustus!X36</f>
        <v>9</v>
      </c>
      <c r="Y36" s="398">
        <v>0.0</v>
      </c>
      <c r="Z36" s="329">
        <f t="shared" si="3"/>
        <v>13</v>
      </c>
      <c r="AA36" s="32">
        <f t="shared" si="4"/>
        <v>106.8</v>
      </c>
      <c r="AB36" s="32">
        <f t="shared" si="5"/>
        <v>121.55</v>
      </c>
      <c r="AC36" s="32">
        <f t="shared" si="6"/>
        <v>14.75</v>
      </c>
      <c r="AD36" s="419"/>
    </row>
    <row r="37" ht="22.5" customHeight="1">
      <c r="A37" s="331" t="str">
        <f>Rooster!A38</f>
        <v>Zaterdag</v>
      </c>
      <c r="B37" s="396">
        <f>Rooster!B38</f>
        <v>0.4791666667</v>
      </c>
      <c r="C37" s="15">
        <f>Rooster!C38</f>
        <v>60</v>
      </c>
      <c r="D37" s="11" t="str">
        <f>Rooster!D38</f>
        <v>Showdance 7+</v>
      </c>
      <c r="E37" s="77">
        <v>4.0</v>
      </c>
      <c r="F37" s="327" t="str">
        <f>Rooster!E38</f>
        <v>Frederique</v>
      </c>
      <c r="G37" s="319">
        <f>IFERROR(VLOOKUP(F37, Docenten!$A$2:$G$30, 7, FALSE), "0")</f>
        <v>12.5</v>
      </c>
      <c r="H37" s="320">
        <f t="shared" si="1"/>
        <v>12.5</v>
      </c>
      <c r="I37" s="327" t="str">
        <f>Rooster!H38</f>
        <v>Santpoort Noord</v>
      </c>
      <c r="J37" s="321">
        <f>IFERROR(VLOOKUP(I37, Locaties!$A$2:$G$15, 7, FALSE), "0")</f>
        <v>14.2</v>
      </c>
      <c r="K37" s="42">
        <f t="shared" si="2"/>
        <v>14.2</v>
      </c>
      <c r="L37" s="369">
        <v>3.0</v>
      </c>
      <c r="M37" s="324" t="s">
        <v>54</v>
      </c>
      <c r="N37" s="321">
        <f>IFERROR(VLOOKUP(M37, Tarieven!$A$1:$J$150, 10, FALSE), "0")</f>
        <v>31</v>
      </c>
      <c r="O37" s="386"/>
      <c r="P37" s="332" t="str">
        <f>Augustus!P37</f>
        <v/>
      </c>
      <c r="Q37" s="325" t="str">
        <f>IFERROR(VLOOKUP(P37, Tarieven!$A$2:$J$150, 10, FALSE), "0")</f>
        <v>0</v>
      </c>
      <c r="R37" s="197"/>
      <c r="S37" s="332"/>
      <c r="T37" s="325" t="str">
        <f>IFERROR(VLOOKUP(S37, Tarieven!$A$2:$J$150, 10, FALSE), "0")</f>
        <v>0</v>
      </c>
      <c r="U37" s="77"/>
      <c r="V37" s="85"/>
      <c r="W37" s="325" t="str">
        <f>IFERROR(VLOOKUP(V37, Tarieven!$A$2:$J$150, 10, FALSE), "0")</f>
        <v>0</v>
      </c>
      <c r="X37" s="138">
        <f>Augustus!X37</f>
        <v>4</v>
      </c>
      <c r="Y37" s="398">
        <v>0.0</v>
      </c>
      <c r="Z37" s="329">
        <f t="shared" si="3"/>
        <v>7</v>
      </c>
      <c r="AA37" s="32">
        <f t="shared" si="4"/>
        <v>106.8</v>
      </c>
      <c r="AB37" s="32">
        <f t="shared" si="5"/>
        <v>93</v>
      </c>
      <c r="AC37" s="32">
        <f t="shared" si="6"/>
        <v>-13.8</v>
      </c>
      <c r="AD37" s="419"/>
    </row>
    <row r="38" ht="22.5" customHeight="1">
      <c r="A38" s="331" t="str">
        <f>Rooster!A39</f>
        <v>Zaterdag</v>
      </c>
      <c r="B38" s="396">
        <f>Rooster!B39</f>
        <v>0.4166666667</v>
      </c>
      <c r="C38" s="15">
        <f>Rooster!C39</f>
        <v>60</v>
      </c>
      <c r="D38" s="11" t="str">
        <f>Rooster!D39</f>
        <v>Peuters</v>
      </c>
      <c r="E38" s="77"/>
      <c r="F38" s="327" t="str">
        <f>Rooster!E39</f>
        <v>Tess</v>
      </c>
      <c r="G38" s="319">
        <f>IFERROR(VLOOKUP(F38, Docenten!$A$2:$G$30, 7, FALSE), "0")</f>
        <v>17.5</v>
      </c>
      <c r="H38" s="320">
        <f t="shared" si="1"/>
        <v>17.5</v>
      </c>
      <c r="I38" s="327" t="str">
        <f>Rooster!H39</f>
        <v>Santpoort Zuid</v>
      </c>
      <c r="J38" s="321">
        <f>IFERROR(VLOOKUP(I38, Locaties!$A$2:$G$15, 7, FALSE), "0")</f>
        <v>18.9</v>
      </c>
      <c r="K38" s="42">
        <f t="shared" si="2"/>
        <v>18.9</v>
      </c>
      <c r="L38" s="322"/>
      <c r="M38" s="70"/>
      <c r="N38" s="321" t="str">
        <f>IFERROR(VLOOKUP(M38, Tarieven!$A$1:$J$150, 10, FALSE), "0")</f>
        <v>0</v>
      </c>
      <c r="O38" s="389"/>
      <c r="P38" s="390" t="str">
        <f>Augustus!P38</f>
        <v/>
      </c>
      <c r="Q38" s="325" t="str">
        <f>IFERROR(VLOOKUP(P38, Tarieven!$A$2:$J$150, 10, FALSE), "0")</f>
        <v>0</v>
      </c>
      <c r="R38" s="436"/>
      <c r="S38" s="372"/>
      <c r="T38" s="325" t="str">
        <f>IFERROR(VLOOKUP(S38, Tarieven!$A$2:$J$150, 10, FALSE), "0")</f>
        <v>0</v>
      </c>
      <c r="U38" s="77"/>
      <c r="V38" s="85"/>
      <c r="W38" s="325" t="str">
        <f>IFERROR(VLOOKUP(V38, Tarieven!$A$2:$J$150, 10, FALSE), "0")</f>
        <v>0</v>
      </c>
      <c r="X38" s="138">
        <f>Augustus!X38</f>
        <v>0</v>
      </c>
      <c r="Y38" s="398">
        <v>0.0</v>
      </c>
      <c r="Z38" s="329">
        <f t="shared" si="3"/>
        <v>0</v>
      </c>
      <c r="AA38" s="32">
        <f t="shared" si="4"/>
        <v>0</v>
      </c>
      <c r="AB38" s="32">
        <f t="shared" si="5"/>
        <v>0</v>
      </c>
      <c r="AC38" s="32">
        <f t="shared" si="6"/>
        <v>0</v>
      </c>
      <c r="AD38" s="419"/>
    </row>
    <row r="39" ht="22.5" customHeight="1">
      <c r="A39" s="331" t="str">
        <f>Rooster!A40</f>
        <v>Zaterdag</v>
      </c>
      <c r="B39" s="396">
        <f>Rooster!B40</f>
        <v>0.4479166667</v>
      </c>
      <c r="C39" s="15">
        <f>Rooster!C40</f>
        <v>60</v>
      </c>
      <c r="D39" s="11" t="str">
        <f>Rooster!D40</f>
        <v>Kleuters</v>
      </c>
      <c r="E39" s="77"/>
      <c r="F39" s="327" t="str">
        <f>Rooster!E40</f>
        <v>Tess</v>
      </c>
      <c r="G39" s="319">
        <f>IFERROR(VLOOKUP(F39, Docenten!$A$2:$G$30, 7, FALSE), "0")</f>
        <v>17.5</v>
      </c>
      <c r="H39" s="320">
        <f t="shared" si="1"/>
        <v>17.5</v>
      </c>
      <c r="I39" s="327" t="str">
        <f>Rooster!H40</f>
        <v>Santpoort Zuid</v>
      </c>
      <c r="J39" s="321">
        <f>IFERROR(VLOOKUP(I39, Locaties!$A$2:$G$15, 7, FALSE), "0")</f>
        <v>18.9</v>
      </c>
      <c r="K39" s="42">
        <f t="shared" si="2"/>
        <v>18.9</v>
      </c>
      <c r="L39" s="322"/>
      <c r="M39" s="327"/>
      <c r="N39" s="321" t="str">
        <f>IFERROR(VLOOKUP(M39, Tarieven!$A$1:$J$150, 10, FALSE), "0")</f>
        <v>0</v>
      </c>
      <c r="O39" s="386"/>
      <c r="P39" s="332" t="str">
        <f>Augustus!P39</f>
        <v/>
      </c>
      <c r="Q39" s="325" t="str">
        <f>IFERROR(VLOOKUP(P39, Tarieven!$A$2:$J$150, 10, FALSE), "0")</f>
        <v>0</v>
      </c>
      <c r="R39" s="197"/>
      <c r="S39" s="332" t="str">
        <f>Augustus!S39</f>
        <v/>
      </c>
      <c r="T39" s="325" t="str">
        <f>IFERROR(VLOOKUP(S39, Tarieven!$A$2:$J$150, 10, FALSE), "0")</f>
        <v>0</v>
      </c>
      <c r="U39" s="77"/>
      <c r="V39" s="85"/>
      <c r="W39" s="325" t="str">
        <f>IFERROR(VLOOKUP(V39, Tarieven!$A$2:$J$150, 10, FALSE), "0")</f>
        <v>0</v>
      </c>
      <c r="X39" s="138">
        <f>Augustus!X39</f>
        <v>0</v>
      </c>
      <c r="Y39" s="398">
        <v>0.0</v>
      </c>
      <c r="Z39" s="329">
        <f t="shared" si="3"/>
        <v>0</v>
      </c>
      <c r="AA39" s="32">
        <f t="shared" si="4"/>
        <v>0</v>
      </c>
      <c r="AB39" s="32">
        <f t="shared" si="5"/>
        <v>0</v>
      </c>
      <c r="AC39" s="32">
        <f t="shared" si="6"/>
        <v>0</v>
      </c>
      <c r="AD39" s="419"/>
    </row>
    <row r="40" ht="22.5" customHeight="1">
      <c r="A40" s="331" t="str">
        <f>Rooster!A41</f>
        <v/>
      </c>
      <c r="B40" s="396" t="str">
        <f>Rooster!B41</f>
        <v/>
      </c>
      <c r="C40" s="15" t="str">
        <f>Rooster!C41</f>
        <v/>
      </c>
      <c r="D40" s="11" t="str">
        <f>Rooster!D41</f>
        <v/>
      </c>
      <c r="E40" s="77"/>
      <c r="F40" s="327" t="str">
        <f>Rooster!E41</f>
        <v/>
      </c>
      <c r="G40" s="319" t="str">
        <f>IFERROR(VLOOKUP(F40, Docenten!$A$2:$G$30, 7, FALSE), "0")</f>
        <v>0</v>
      </c>
      <c r="H40" s="320">
        <f t="shared" si="1"/>
        <v>0</v>
      </c>
      <c r="I40" s="327" t="str">
        <f>Rooster!H41</f>
        <v/>
      </c>
      <c r="J40" s="321" t="str">
        <f>IFERROR(VLOOKUP(I40, Locaties!$A$2:$G$15, 7, FALSE), "0")</f>
        <v>0</v>
      </c>
      <c r="K40" s="42">
        <f t="shared" si="2"/>
        <v>0</v>
      </c>
      <c r="L40" s="322"/>
      <c r="M40" s="70"/>
      <c r="N40" s="321" t="str">
        <f>IFERROR(VLOOKUP(M40, Tarieven!$A$1:$J$150, 10, FALSE), "0")</f>
        <v>0</v>
      </c>
      <c r="O40" s="379"/>
      <c r="P40" s="380"/>
      <c r="Q40" s="325" t="str">
        <f>IFERROR(VLOOKUP(P40, Tarieven!$A$2:$J$150, 10, FALSE), "0")</f>
        <v>0</v>
      </c>
      <c r="R40" s="436"/>
      <c r="S40" s="372" t="str">
        <f>Augustus!S40</f>
        <v/>
      </c>
      <c r="T40" s="325" t="str">
        <f>IFERROR(VLOOKUP(S40, Tarieven!$A$2:$J$150, 10, FALSE), "0")</f>
        <v>0</v>
      </c>
      <c r="U40" s="77"/>
      <c r="V40" s="85"/>
      <c r="W40" s="325" t="str">
        <f>IFERROR(VLOOKUP(V40, Tarieven!$A$2:$J$150, 10, FALSE), "0")</f>
        <v>0</v>
      </c>
      <c r="X40" s="143">
        <f>Augustus!X40</f>
        <v>0</v>
      </c>
      <c r="Y40" s="398">
        <v>0.0</v>
      </c>
      <c r="Z40" s="329">
        <f t="shared" si="3"/>
        <v>0</v>
      </c>
      <c r="AA40" s="32">
        <f t="shared" si="4"/>
        <v>0</v>
      </c>
      <c r="AB40" s="32">
        <f t="shared" si="5"/>
        <v>0</v>
      </c>
      <c r="AC40" s="32">
        <f t="shared" si="6"/>
        <v>0</v>
      </c>
      <c r="AD40" s="419"/>
    </row>
    <row r="41" ht="22.5" customHeight="1">
      <c r="A41" s="331" t="str">
        <f>Rooster!A42</f>
        <v/>
      </c>
      <c r="B41" s="396" t="str">
        <f>Rooster!B42</f>
        <v/>
      </c>
      <c r="C41" s="15" t="str">
        <f>Rooster!C42</f>
        <v/>
      </c>
      <c r="D41" s="11" t="str">
        <f>Rooster!D42</f>
        <v/>
      </c>
      <c r="E41" s="77"/>
      <c r="F41" s="327" t="str">
        <f>Rooster!E42</f>
        <v/>
      </c>
      <c r="G41" s="319" t="str">
        <f>IFERROR(VLOOKUP(F41, Docenten!$A$2:$G$30, 7, FALSE), "0")</f>
        <v>0</v>
      </c>
      <c r="H41" s="320">
        <f t="shared" si="1"/>
        <v>0</v>
      </c>
      <c r="I41" s="327" t="str">
        <f>Rooster!H42</f>
        <v/>
      </c>
      <c r="J41" s="321" t="str">
        <f>IFERROR(VLOOKUP(I41, Locaties!$A$2:$G$15, 7, FALSE), "0")</f>
        <v>0</v>
      </c>
      <c r="K41" s="42">
        <f t="shared" si="2"/>
        <v>0</v>
      </c>
      <c r="L41" s="322"/>
      <c r="M41" s="327"/>
      <c r="N41" s="321" t="str">
        <f>IFERROR(VLOOKUP(M41, Tarieven!$A$1:$J$150, 10, FALSE), "0")</f>
        <v>0</v>
      </c>
      <c r="O41" s="386"/>
      <c r="P41" s="332" t="str">
        <f>Augustus!P41</f>
        <v/>
      </c>
      <c r="Q41" s="325" t="str">
        <f>IFERROR(VLOOKUP(P41, Tarieven!$A$2:$J$150, 10, FALSE), "0")</f>
        <v>0</v>
      </c>
      <c r="R41" s="197"/>
      <c r="S41" s="332" t="str">
        <f>Augustus!S41</f>
        <v/>
      </c>
      <c r="T41" s="325" t="str">
        <f>IFERROR(VLOOKUP(S41, Tarieven!$A$2:$J$150, 10, FALSE), "0")</f>
        <v>0</v>
      </c>
      <c r="U41" s="77"/>
      <c r="V41" s="85"/>
      <c r="W41" s="325" t="str">
        <f>IFERROR(VLOOKUP(V41, Tarieven!$A$2:$J$150, 10, FALSE), "0")</f>
        <v>0</v>
      </c>
      <c r="X41" s="143">
        <f>Augustus!X41</f>
        <v>0</v>
      </c>
      <c r="Y41" s="398">
        <v>0.0</v>
      </c>
      <c r="Z41" s="329">
        <f t="shared" si="3"/>
        <v>0</v>
      </c>
      <c r="AA41" s="32">
        <f t="shared" si="4"/>
        <v>0</v>
      </c>
      <c r="AB41" s="32">
        <f t="shared" si="5"/>
        <v>0</v>
      </c>
      <c r="AC41" s="32">
        <f t="shared" si="6"/>
        <v>0</v>
      </c>
      <c r="AD41" s="419"/>
    </row>
    <row r="42" ht="22.5" customHeight="1">
      <c r="A42" s="331" t="str">
        <f>Rooster!A43</f>
        <v>Maandag</v>
      </c>
      <c r="B42" s="396">
        <f>Rooster!B43</f>
        <v>0.3958333333</v>
      </c>
      <c r="C42" s="15">
        <f>Rooster!C43</f>
        <v>60</v>
      </c>
      <c r="D42" s="11" t="str">
        <f>Rooster!D43</f>
        <v>Kinderopvang</v>
      </c>
      <c r="E42" s="77"/>
      <c r="F42" s="327"/>
      <c r="G42" s="319" t="str">
        <f>IFERROR(VLOOKUP(F42, Docenten!$A$2:$G$30, 7, FALSE), "0")</f>
        <v>0</v>
      </c>
      <c r="H42" s="320">
        <f t="shared" si="1"/>
        <v>0</v>
      </c>
      <c r="I42" s="327" t="str">
        <f>Rooster!H43</f>
        <v/>
      </c>
      <c r="J42" s="321" t="str">
        <f>IFERROR(VLOOKUP(I42, Locaties!$A$2:$G$15, 7, FALSE), "0")</f>
        <v>0</v>
      </c>
      <c r="K42" s="42">
        <f t="shared" si="2"/>
        <v>0</v>
      </c>
      <c r="L42" s="322"/>
      <c r="M42" s="70"/>
      <c r="N42" s="442"/>
      <c r="O42" s="389"/>
      <c r="P42" s="390" t="str">
        <f>Augustus!P42</f>
        <v/>
      </c>
      <c r="Q42" s="325" t="str">
        <f>IFERROR(VLOOKUP(P42, Tarieven!$A$2:$J$150, 10, FALSE), "0")</f>
        <v>0</v>
      </c>
      <c r="R42" s="436"/>
      <c r="S42" s="372" t="str">
        <f>Augustus!S42</f>
        <v/>
      </c>
      <c r="T42" s="325" t="str">
        <f>IFERROR(VLOOKUP(S42, Tarieven!$A$2:$J$150, 10, FALSE), "0")</f>
        <v>0</v>
      </c>
      <c r="U42" s="77"/>
      <c r="V42" s="85"/>
      <c r="W42" s="325" t="str">
        <f>IFERROR(VLOOKUP(V42, Tarieven!$A$2:$J$150, 10, FALSE), "0")</f>
        <v>0</v>
      </c>
      <c r="X42" s="143">
        <f>Augustus!X42</f>
        <v>0</v>
      </c>
      <c r="Y42" s="398">
        <v>0.0</v>
      </c>
      <c r="Z42" s="329">
        <f t="shared" si="3"/>
        <v>0</v>
      </c>
      <c r="AA42" s="32">
        <f t="shared" si="4"/>
        <v>0</v>
      </c>
      <c r="AB42" s="32">
        <f t="shared" si="5"/>
        <v>0</v>
      </c>
      <c r="AC42" s="32">
        <f t="shared" si="6"/>
        <v>0</v>
      </c>
      <c r="AD42" s="419"/>
    </row>
    <row r="43" ht="22.5" customHeight="1">
      <c r="A43" s="331" t="str">
        <f>Rooster!A44</f>
        <v>Vrijdag</v>
      </c>
      <c r="B43" s="396">
        <f>Rooster!B44</f>
        <v>0.7916666667</v>
      </c>
      <c r="C43" s="15">
        <v>60.0</v>
      </c>
      <c r="D43" s="11" t="str">
        <f>Rooster!D44</f>
        <v>Prive training</v>
      </c>
      <c r="E43" s="77"/>
      <c r="F43" s="327"/>
      <c r="G43" s="319"/>
      <c r="H43" s="320"/>
      <c r="I43" s="70"/>
      <c r="J43" s="321" t="str">
        <f>IFERROR(VLOOKUP(I43, Locaties!$A$2:$G$15, 7, FALSE), "0")</f>
        <v>0</v>
      </c>
      <c r="K43" s="42">
        <f t="shared" si="2"/>
        <v>0</v>
      </c>
      <c r="L43" s="322"/>
      <c r="M43" s="327"/>
      <c r="N43" s="321" t="str">
        <f>IFERROR(VLOOKUP(M43, Tarieven!$A$1:$J$150, 10, FALSE), "0")</f>
        <v>0</v>
      </c>
      <c r="O43" s="386"/>
      <c r="P43" s="332" t="str">
        <f>Augustus!P43</f>
        <v/>
      </c>
      <c r="Q43" s="325" t="str">
        <f>IFERROR(VLOOKUP(P43, Tarieven!$A$2:$J$150, 10, FALSE), "0")</f>
        <v>0</v>
      </c>
      <c r="R43" s="197"/>
      <c r="S43" s="332" t="str">
        <f>Augustus!S43</f>
        <v/>
      </c>
      <c r="T43" s="325" t="str">
        <f>IFERROR(VLOOKUP(S43, Tarieven!$A$2:$J$150, 10, FALSE), "0")</f>
        <v>0</v>
      </c>
      <c r="U43" s="77"/>
      <c r="V43" s="85"/>
      <c r="W43" s="325" t="str">
        <f>IFERROR(VLOOKUP(V43, Tarieven!$A$2:$J$150, 10, FALSE), "0")</f>
        <v>0</v>
      </c>
      <c r="X43" s="143">
        <f>Augustus!X43</f>
        <v>0</v>
      </c>
      <c r="Y43" s="398">
        <v>0.0</v>
      </c>
      <c r="Z43" s="329">
        <f t="shared" si="3"/>
        <v>0</v>
      </c>
      <c r="AA43" s="32">
        <f t="shared" si="4"/>
        <v>0</v>
      </c>
      <c r="AB43" s="32">
        <f t="shared" si="5"/>
        <v>0</v>
      </c>
      <c r="AC43" s="32">
        <f t="shared" si="6"/>
        <v>0</v>
      </c>
      <c r="AD43" s="419"/>
    </row>
    <row r="44" ht="22.5" customHeight="1">
      <c r="A44" s="331" t="str">
        <f>Rooster!A45</f>
        <v>Zaterdag</v>
      </c>
      <c r="B44" s="396">
        <f>Rooster!B45</f>
        <v>0.5625</v>
      </c>
      <c r="C44" s="15">
        <v>60.0</v>
      </c>
      <c r="D44" s="11" t="str">
        <f>Rooster!D45</f>
        <v>Prive training</v>
      </c>
      <c r="E44" s="77"/>
      <c r="F44" s="327"/>
      <c r="G44" s="319"/>
      <c r="H44" s="320"/>
      <c r="I44" s="70"/>
      <c r="J44" s="321" t="str">
        <f>IFERROR(VLOOKUP(I44, Locaties!$A$2:$G$15, 7, FALSE), "0")</f>
        <v>0</v>
      </c>
      <c r="K44" s="42">
        <f t="shared" si="2"/>
        <v>0</v>
      </c>
      <c r="L44" s="322"/>
      <c r="M44" s="327"/>
      <c r="N44" s="321" t="str">
        <f>IFERROR(VLOOKUP(M44, Tarieven!$A$1:$J$150, 10, FALSE), "0")</f>
        <v>0</v>
      </c>
      <c r="O44" s="379"/>
      <c r="P44" s="380"/>
      <c r="Q44" s="325" t="str">
        <f>IFERROR(VLOOKUP(P44, Tarieven!$A$2:$J$150, 10, FALSE), "0")</f>
        <v>0</v>
      </c>
      <c r="R44" s="436"/>
      <c r="S44" s="372" t="str">
        <f>Augustus!S44</f>
        <v/>
      </c>
      <c r="T44" s="325" t="str">
        <f>IFERROR(VLOOKUP(S44, Tarieven!$A$2:$J$150, 10, FALSE), "0")</f>
        <v>0</v>
      </c>
      <c r="U44" s="77"/>
      <c r="V44" s="85"/>
      <c r="W44" s="325" t="str">
        <f>IFERROR(VLOOKUP(V44, Tarieven!$A$2:$J$150, 10, FALSE), "0")</f>
        <v>0</v>
      </c>
      <c r="X44" s="143">
        <f>Augustus!X44</f>
        <v>0</v>
      </c>
      <c r="Y44" s="398">
        <v>0.0</v>
      </c>
      <c r="Z44" s="329">
        <f t="shared" si="3"/>
        <v>0</v>
      </c>
      <c r="AA44" s="32">
        <f t="shared" si="4"/>
        <v>0</v>
      </c>
      <c r="AB44" s="32">
        <f t="shared" si="5"/>
        <v>0</v>
      </c>
      <c r="AC44" s="32">
        <f t="shared" si="6"/>
        <v>0</v>
      </c>
      <c r="AD44" s="419"/>
    </row>
    <row r="45" ht="22.5" customHeight="1">
      <c r="A45" s="331" t="str">
        <f>Rooster!A46</f>
        <v/>
      </c>
      <c r="B45" s="396" t="str">
        <f>Rooster!B46</f>
        <v/>
      </c>
      <c r="C45" s="15" t="str">
        <f>Rooster!C46</f>
        <v/>
      </c>
      <c r="D45" s="11" t="str">
        <f>Rooster!D46</f>
        <v/>
      </c>
      <c r="E45" s="77"/>
      <c r="F45" s="327" t="str">
        <f>Rooster!E46</f>
        <v/>
      </c>
      <c r="G45" s="319" t="str">
        <f>IFERROR(VLOOKUP(F45, Docenten!$A$2:$G$30, 7, FALSE), "0")</f>
        <v>0</v>
      </c>
      <c r="H45" s="320">
        <f t="shared" ref="H45:H101" si="7">SUM(G45/60)*C45</f>
        <v>0</v>
      </c>
      <c r="I45" s="327" t="str">
        <f>Rooster!H46</f>
        <v/>
      </c>
      <c r="J45" s="321" t="str">
        <f>IFERROR(VLOOKUP(I45, Locaties!$A$2:$G$15, 7, FALSE), "0")</f>
        <v>0</v>
      </c>
      <c r="K45" s="42">
        <f t="shared" si="2"/>
        <v>0</v>
      </c>
      <c r="L45" s="322"/>
      <c r="M45" s="327"/>
      <c r="N45" s="321" t="str">
        <f>IFERROR(VLOOKUP(M45, Tarieven!$A$1:$J$150, 10, FALSE), "0")</f>
        <v>0</v>
      </c>
      <c r="O45" s="369"/>
      <c r="P45" s="324"/>
      <c r="Q45" s="325" t="str">
        <f>IFERROR(VLOOKUP(P45, Tarieven!$A$2:$J$150, 10, FALSE), "0")</f>
        <v>0</v>
      </c>
      <c r="R45" s="197"/>
      <c r="S45" s="332" t="str">
        <f>Augustus!S45</f>
        <v/>
      </c>
      <c r="T45" s="325" t="str">
        <f>IFERROR(VLOOKUP(S45, Tarieven!$A$2:$J$150, 10, FALSE), "0")</f>
        <v>0</v>
      </c>
      <c r="U45" s="77"/>
      <c r="V45" s="85"/>
      <c r="W45" s="325" t="str">
        <f>IFERROR(VLOOKUP(V45, Tarieven!$A$2:$J$150, 10, FALSE), "0")</f>
        <v>0</v>
      </c>
      <c r="X45" s="143">
        <f>Augustus!X45</f>
        <v>0</v>
      </c>
      <c r="Y45" s="398">
        <v>0.0</v>
      </c>
      <c r="Z45" s="329">
        <f t="shared" si="3"/>
        <v>0</v>
      </c>
      <c r="AA45" s="32">
        <f t="shared" si="4"/>
        <v>0</v>
      </c>
      <c r="AB45" s="32">
        <f t="shared" si="5"/>
        <v>0</v>
      </c>
      <c r="AC45" s="32">
        <f t="shared" si="6"/>
        <v>0</v>
      </c>
      <c r="AD45" s="419"/>
    </row>
    <row r="46" ht="22.5" customHeight="1">
      <c r="A46" s="331" t="str">
        <f>Rooster!A47</f>
        <v/>
      </c>
      <c r="B46" s="396" t="str">
        <f>Rooster!B47</f>
        <v/>
      </c>
      <c r="C46" s="15" t="str">
        <f>Rooster!C47</f>
        <v/>
      </c>
      <c r="D46" s="11" t="str">
        <f>Rooster!D47</f>
        <v/>
      </c>
      <c r="E46" s="77"/>
      <c r="F46" s="327" t="str">
        <f>Rooster!E47</f>
        <v/>
      </c>
      <c r="G46" s="319" t="str">
        <f>IFERROR(VLOOKUP(F46, Docenten!$A$2:$G$30, 7, FALSE), "0")</f>
        <v>0</v>
      </c>
      <c r="H46" s="320">
        <f t="shared" si="7"/>
        <v>0</v>
      </c>
      <c r="I46" s="327" t="str">
        <f>Rooster!H47</f>
        <v/>
      </c>
      <c r="J46" s="321" t="str">
        <f>IFERROR(VLOOKUP(I46, Locaties!$A$2:$G$15, 7, FALSE), "0")</f>
        <v>0</v>
      </c>
      <c r="K46" s="42">
        <f t="shared" si="2"/>
        <v>0</v>
      </c>
      <c r="L46" s="322"/>
      <c r="M46" s="327"/>
      <c r="N46" s="321" t="str">
        <f>IFERROR(VLOOKUP(M46, Tarieven!$A$1:$J$150, 10, FALSE), "0")</f>
        <v>0</v>
      </c>
      <c r="O46" s="379"/>
      <c r="P46" s="380"/>
      <c r="Q46" s="325" t="str">
        <f>IFERROR(VLOOKUP(P46, Tarieven!$A$2:$J$150, 10, FALSE), "0")</f>
        <v>0</v>
      </c>
      <c r="R46" s="436"/>
      <c r="S46" s="372" t="str">
        <f>Augustus!S46</f>
        <v/>
      </c>
      <c r="T46" s="325" t="str">
        <f>IFERROR(VLOOKUP(S46, Tarieven!$A$2:$J$150, 10, FALSE), "0")</f>
        <v>0</v>
      </c>
      <c r="U46" s="77"/>
      <c r="V46" s="85"/>
      <c r="W46" s="325" t="str">
        <f>IFERROR(VLOOKUP(V46, Tarieven!$A$2:$J$150, 10, FALSE), "0")</f>
        <v>0</v>
      </c>
      <c r="X46" s="143">
        <f>Augustus!X46</f>
        <v>0</v>
      </c>
      <c r="Y46" s="398">
        <v>0.0</v>
      </c>
      <c r="Z46" s="329">
        <f t="shared" si="3"/>
        <v>0</v>
      </c>
      <c r="AA46" s="32">
        <f t="shared" si="4"/>
        <v>0</v>
      </c>
      <c r="AB46" s="32">
        <f t="shared" si="5"/>
        <v>0</v>
      </c>
      <c r="AC46" s="32">
        <f t="shared" si="6"/>
        <v>0</v>
      </c>
      <c r="AD46" s="419"/>
    </row>
    <row r="47" ht="22.5" customHeight="1">
      <c r="A47" s="331" t="str">
        <f>Rooster!A48</f>
        <v>Donderdag</v>
      </c>
      <c r="B47" s="396">
        <f>Rooster!B48</f>
        <v>0.75</v>
      </c>
      <c r="C47" s="15">
        <f>Rooster!C48</f>
        <v>60</v>
      </c>
      <c r="D47" s="11" t="str">
        <f>Rooster!D48</f>
        <v>Turnen 6+</v>
      </c>
      <c r="E47" s="77">
        <v>0.0</v>
      </c>
      <c r="F47" s="327" t="str">
        <f>Rooster!E48</f>
        <v>Dion + 3</v>
      </c>
      <c r="G47" s="319">
        <f>IFERROR(VLOOKUP(F47, Docenten!$A$2:$G$30, 7, FALSE), "0")</f>
        <v>34</v>
      </c>
      <c r="H47" s="320">
        <f t="shared" si="7"/>
        <v>34</v>
      </c>
      <c r="I47" s="327" t="str">
        <f>Rooster!H48</f>
        <v>Santpoort Noord</v>
      </c>
      <c r="J47" s="321">
        <f>IFERROR(VLOOKUP(I47, Locaties!$A$2:$G$15, 7, FALSE), "0")</f>
        <v>14.2</v>
      </c>
      <c r="K47" s="42">
        <f t="shared" si="2"/>
        <v>14.2</v>
      </c>
      <c r="L47" s="322"/>
      <c r="M47" s="327"/>
      <c r="N47" s="321" t="str">
        <f>IFERROR(VLOOKUP(M47, Tarieven!$A$1:$J$150, 10, FALSE), "0")</f>
        <v>0</v>
      </c>
      <c r="O47" s="386"/>
      <c r="P47" s="332" t="str">
        <f>Augustus!P47</f>
        <v/>
      </c>
      <c r="Q47" s="325" t="str">
        <f>IFERROR(VLOOKUP(P47, Tarieven!$A$2:$J$150, 10, FALSE), "0")</f>
        <v>0</v>
      </c>
      <c r="R47" s="197"/>
      <c r="S47" s="332" t="str">
        <f>Augustus!S47</f>
        <v/>
      </c>
      <c r="T47" s="325" t="str">
        <f>IFERROR(VLOOKUP(S47, Tarieven!$A$2:$J$150, 10, FALSE), "0")</f>
        <v>0</v>
      </c>
      <c r="U47" s="77"/>
      <c r="V47" s="85"/>
      <c r="W47" s="325" t="str">
        <f>IFERROR(VLOOKUP(V47, Tarieven!$A$2:$J$150, 10, FALSE), "0")</f>
        <v>0</v>
      </c>
      <c r="X47" s="143">
        <f>Augustus!X47</f>
        <v>0</v>
      </c>
      <c r="Y47" s="398">
        <v>0.0</v>
      </c>
      <c r="Z47" s="329">
        <f t="shared" si="3"/>
        <v>0</v>
      </c>
      <c r="AA47" s="32">
        <f t="shared" si="4"/>
        <v>0</v>
      </c>
      <c r="AB47" s="32">
        <f t="shared" si="5"/>
        <v>0</v>
      </c>
      <c r="AC47" s="32">
        <f t="shared" si="6"/>
        <v>0</v>
      </c>
      <c r="AD47" s="419"/>
    </row>
    <row r="48" ht="22.5" customHeight="1">
      <c r="A48" s="331" t="str">
        <f>Rooster!A49</f>
        <v>Donderdag</v>
      </c>
      <c r="B48" s="396">
        <f>Rooster!B49</f>
        <v>0.7916666667</v>
      </c>
      <c r="C48" s="15">
        <f>Rooster!C49</f>
        <v>60</v>
      </c>
      <c r="D48" s="11" t="str">
        <f>Rooster!D49</f>
        <v>Turnen 12+</v>
      </c>
      <c r="E48" s="77">
        <v>0.0</v>
      </c>
      <c r="F48" s="327" t="str">
        <f>Rooster!E49</f>
        <v>Dion + 3</v>
      </c>
      <c r="G48" s="319">
        <f>IFERROR(VLOOKUP(F48, Docenten!$A$2:$G$30, 7, FALSE), "0")</f>
        <v>34</v>
      </c>
      <c r="H48" s="320">
        <f t="shared" si="7"/>
        <v>34</v>
      </c>
      <c r="I48" s="327" t="str">
        <f>Rooster!H49</f>
        <v>Santpoort Noord</v>
      </c>
      <c r="J48" s="321">
        <f>IFERROR(VLOOKUP(I48, Locaties!$A$2:$G$15, 7, FALSE), "0")</f>
        <v>14.2</v>
      </c>
      <c r="K48" s="42">
        <f t="shared" si="2"/>
        <v>14.2</v>
      </c>
      <c r="L48" s="322"/>
      <c r="M48" s="327" t="str">
        <f>Augustus!M48</f>
        <v/>
      </c>
      <c r="N48" s="321" t="str">
        <f>IFERROR(VLOOKUP(M48, Tarieven!$A$1:$J$150, 10, FALSE), "0")</f>
        <v>0</v>
      </c>
      <c r="O48" s="389"/>
      <c r="P48" s="390" t="str">
        <f>Augustus!P48</f>
        <v/>
      </c>
      <c r="Q48" s="325" t="str">
        <f>IFERROR(VLOOKUP(P48, Tarieven!$A$2:$J$150, 10, FALSE), "0")</f>
        <v>0</v>
      </c>
      <c r="R48" s="436"/>
      <c r="S48" s="372" t="str">
        <f>Augustus!S48</f>
        <v/>
      </c>
      <c r="T48" s="325" t="str">
        <f>IFERROR(VLOOKUP(S48, Tarieven!$A$2:$J$150, 10, FALSE), "0")</f>
        <v>0</v>
      </c>
      <c r="U48" s="77"/>
      <c r="V48" s="85"/>
      <c r="W48" s="325" t="str">
        <f>IFERROR(VLOOKUP(V48, Tarieven!$A$2:$J$150, 10, FALSE), "0")</f>
        <v>0</v>
      </c>
      <c r="X48" s="143">
        <f>Augustus!X48</f>
        <v>0</v>
      </c>
      <c r="Y48" s="398">
        <v>0.0</v>
      </c>
      <c r="Z48" s="329">
        <f t="shared" si="3"/>
        <v>0</v>
      </c>
      <c r="AA48" s="32">
        <f t="shared" si="4"/>
        <v>0</v>
      </c>
      <c r="AB48" s="32">
        <f t="shared" si="5"/>
        <v>0</v>
      </c>
      <c r="AC48" s="32">
        <f t="shared" si="6"/>
        <v>0</v>
      </c>
      <c r="AD48" s="419"/>
    </row>
    <row r="49" ht="22.5" customHeight="1">
      <c r="A49" s="331" t="str">
        <f>Rooster!A50</f>
        <v/>
      </c>
      <c r="B49" s="396" t="str">
        <f>Rooster!B50</f>
        <v/>
      </c>
      <c r="C49" s="15" t="str">
        <f>Rooster!C50</f>
        <v/>
      </c>
      <c r="D49" s="11" t="str">
        <f>Rooster!D50</f>
        <v/>
      </c>
      <c r="E49" s="77"/>
      <c r="F49" s="327" t="str">
        <f>Rooster!E50</f>
        <v/>
      </c>
      <c r="G49" s="319" t="str">
        <f>IFERROR(VLOOKUP(F49, Docenten!$A$2:$G$30, 7, FALSE), "0")</f>
        <v>0</v>
      </c>
      <c r="H49" s="320">
        <f t="shared" si="7"/>
        <v>0</v>
      </c>
      <c r="I49" s="327" t="str">
        <f>Rooster!H50</f>
        <v/>
      </c>
      <c r="J49" s="321" t="str">
        <f>IFERROR(VLOOKUP(I49, Locaties!$A$2:$G$15, 7, FALSE), "0")</f>
        <v>0</v>
      </c>
      <c r="K49" s="42">
        <f t="shared" si="2"/>
        <v>0</v>
      </c>
      <c r="L49" s="322"/>
      <c r="M49" s="327" t="str">
        <f>Augustus!M49</f>
        <v/>
      </c>
      <c r="N49" s="321" t="str">
        <f>IFERROR(VLOOKUP(M49, Tarieven!$A$1:$J$150, 10, FALSE), "0")</f>
        <v>0</v>
      </c>
      <c r="O49" s="386"/>
      <c r="P49" s="332" t="str">
        <f>Augustus!P49</f>
        <v/>
      </c>
      <c r="Q49" s="325" t="str">
        <f>IFERROR(VLOOKUP(P49, Tarieven!$A$2:$J$150, 10, FALSE), "0")</f>
        <v>0</v>
      </c>
      <c r="R49" s="197"/>
      <c r="S49" s="332" t="str">
        <f>Augustus!S49</f>
        <v/>
      </c>
      <c r="T49" s="325" t="str">
        <f>IFERROR(VLOOKUP(S49, Tarieven!$A$2:$J$150, 10, FALSE), "0")</f>
        <v>0</v>
      </c>
      <c r="U49" s="77"/>
      <c r="V49" s="85"/>
      <c r="W49" s="325" t="str">
        <f>IFERROR(VLOOKUP(V49, Tarieven!$A$2:$J$150, 10, FALSE), "0")</f>
        <v>0</v>
      </c>
      <c r="X49" s="143">
        <f>Augustus!X49</f>
        <v>0</v>
      </c>
      <c r="Y49" s="398">
        <v>0.0</v>
      </c>
      <c r="Z49" s="329">
        <f t="shared" si="3"/>
        <v>0</v>
      </c>
      <c r="AA49" s="32">
        <f t="shared" si="4"/>
        <v>0</v>
      </c>
      <c r="AB49" s="32">
        <f t="shared" si="5"/>
        <v>0</v>
      </c>
      <c r="AC49" s="32">
        <f t="shared" si="6"/>
        <v>0</v>
      </c>
      <c r="AD49" s="419"/>
    </row>
    <row r="50" ht="22.5" customHeight="1">
      <c r="A50" s="331" t="str">
        <f>Rooster!A51</f>
        <v/>
      </c>
      <c r="B50" s="396" t="str">
        <f>Rooster!B51</f>
        <v/>
      </c>
      <c r="C50" s="15" t="str">
        <f>Rooster!C51</f>
        <v/>
      </c>
      <c r="D50" s="11" t="str">
        <f>Rooster!D51</f>
        <v/>
      </c>
      <c r="E50" s="77"/>
      <c r="F50" s="327" t="str">
        <f>Rooster!E51</f>
        <v/>
      </c>
      <c r="G50" s="319" t="str">
        <f>IFERROR(VLOOKUP(F50, Docenten!$A$2:$G$30, 7, FALSE), "0")</f>
        <v>0</v>
      </c>
      <c r="H50" s="320">
        <f t="shared" si="7"/>
        <v>0</v>
      </c>
      <c r="I50" s="327" t="str">
        <f>Rooster!H51</f>
        <v/>
      </c>
      <c r="J50" s="321" t="str">
        <f>IFERROR(VLOOKUP(I50, Locaties!$A$2:$G$15, 7, FALSE), "0")</f>
        <v>0</v>
      </c>
      <c r="K50" s="42">
        <f t="shared" si="2"/>
        <v>0</v>
      </c>
      <c r="L50" s="322"/>
      <c r="M50" s="327" t="str">
        <f>Augustus!M50</f>
        <v/>
      </c>
      <c r="N50" s="321" t="str">
        <f>IFERROR(VLOOKUP(M50, Tarieven!$A$1:$J$150, 10, FALSE), "0")</f>
        <v>0</v>
      </c>
      <c r="O50" s="389"/>
      <c r="P50" s="390" t="str">
        <f>Augustus!P50</f>
        <v/>
      </c>
      <c r="Q50" s="325" t="str">
        <f>IFERROR(VLOOKUP(P50, Tarieven!$A$2:$J$150, 10, FALSE), "0")</f>
        <v>0</v>
      </c>
      <c r="R50" s="436"/>
      <c r="S50" s="372" t="str">
        <f>Augustus!S50</f>
        <v/>
      </c>
      <c r="T50" s="325" t="str">
        <f>IFERROR(VLOOKUP(S50, Tarieven!$A$2:$J$150, 10, FALSE), "0")</f>
        <v>0</v>
      </c>
      <c r="U50" s="77"/>
      <c r="V50" s="85"/>
      <c r="W50" s="325" t="str">
        <f>IFERROR(VLOOKUP(V50, Tarieven!$A$2:$J$150, 10, FALSE), "0")</f>
        <v>0</v>
      </c>
      <c r="X50" s="143">
        <f>Augustus!X50</f>
        <v>0</v>
      </c>
      <c r="Y50" s="398">
        <v>0.0</v>
      </c>
      <c r="Z50" s="329">
        <f t="shared" si="3"/>
        <v>0</v>
      </c>
      <c r="AA50" s="32">
        <f t="shared" si="4"/>
        <v>0</v>
      </c>
      <c r="AB50" s="32">
        <f t="shared" si="5"/>
        <v>0</v>
      </c>
      <c r="AC50" s="32">
        <f t="shared" si="6"/>
        <v>0</v>
      </c>
      <c r="AD50" s="419"/>
    </row>
    <row r="51" ht="22.5" customHeight="1">
      <c r="A51" s="331" t="str">
        <f>Rooster!A52</f>
        <v/>
      </c>
      <c r="B51" s="396" t="str">
        <f>Rooster!B52</f>
        <v/>
      </c>
      <c r="C51" s="15" t="str">
        <f>Rooster!C52</f>
        <v/>
      </c>
      <c r="D51" s="11" t="str">
        <f>Rooster!D52</f>
        <v/>
      </c>
      <c r="E51" s="77"/>
      <c r="F51" s="327" t="str">
        <f>Rooster!E52</f>
        <v/>
      </c>
      <c r="G51" s="319" t="str">
        <f>IFERROR(VLOOKUP(F51, Docenten!$A$2:$G$30, 7, FALSE), "0")</f>
        <v>0</v>
      </c>
      <c r="H51" s="320">
        <f t="shared" si="7"/>
        <v>0</v>
      </c>
      <c r="I51" s="327" t="str">
        <f>Rooster!H52</f>
        <v/>
      </c>
      <c r="J51" s="321" t="str">
        <f>IFERROR(VLOOKUP(I51, Locaties!$A$2:$G$15, 7, FALSE), "0")</f>
        <v>0</v>
      </c>
      <c r="K51" s="42">
        <f t="shared" si="2"/>
        <v>0</v>
      </c>
      <c r="L51" s="322"/>
      <c r="M51" s="327" t="str">
        <f>Augustus!M51</f>
        <v/>
      </c>
      <c r="N51" s="321" t="str">
        <f>IFERROR(VLOOKUP(M51, Tarieven!$A$1:$J$150, 10, FALSE), "0")</f>
        <v>0</v>
      </c>
      <c r="O51" s="386"/>
      <c r="P51" s="332" t="str">
        <f>Augustus!P51</f>
        <v/>
      </c>
      <c r="Q51" s="325" t="str">
        <f>IFERROR(VLOOKUP(P51, Tarieven!$A$2:$J$150, 10, FALSE), "0")</f>
        <v>0</v>
      </c>
      <c r="R51" s="197"/>
      <c r="S51" s="332" t="str">
        <f>Augustus!S51</f>
        <v/>
      </c>
      <c r="T51" s="325" t="str">
        <f>IFERROR(VLOOKUP(S51, Tarieven!$A$2:$J$150, 10, FALSE), "0")</f>
        <v>0</v>
      </c>
      <c r="U51" s="77"/>
      <c r="V51" s="85"/>
      <c r="W51" s="325" t="str">
        <f>IFERROR(VLOOKUP(V51, Tarieven!$A$2:$J$150, 10, FALSE), "0")</f>
        <v>0</v>
      </c>
      <c r="X51" s="143">
        <f>Augustus!X51</f>
        <v>0</v>
      </c>
      <c r="Y51" s="398">
        <v>0.0</v>
      </c>
      <c r="Z51" s="329">
        <f t="shared" si="3"/>
        <v>0</v>
      </c>
      <c r="AA51" s="32">
        <f t="shared" si="4"/>
        <v>0</v>
      </c>
      <c r="AB51" s="32">
        <f t="shared" si="5"/>
        <v>0</v>
      </c>
      <c r="AC51" s="32">
        <f t="shared" si="6"/>
        <v>0</v>
      </c>
      <c r="AD51" s="419"/>
    </row>
    <row r="52" ht="22.5" customHeight="1">
      <c r="A52" s="331" t="str">
        <f>Rooster!A53</f>
        <v/>
      </c>
      <c r="B52" s="396" t="str">
        <f>Rooster!B53</f>
        <v/>
      </c>
      <c r="C52" s="15" t="str">
        <f>Rooster!C53</f>
        <v/>
      </c>
      <c r="D52" s="11" t="str">
        <f>Rooster!D53</f>
        <v/>
      </c>
      <c r="E52" s="77"/>
      <c r="F52" s="327" t="str">
        <f>Rooster!E53</f>
        <v/>
      </c>
      <c r="G52" s="319" t="str">
        <f>IFERROR(VLOOKUP(F52, Docenten!$A$2:$G$30, 7, FALSE), "0")</f>
        <v>0</v>
      </c>
      <c r="H52" s="320">
        <f t="shared" si="7"/>
        <v>0</v>
      </c>
      <c r="I52" s="327" t="str">
        <f>Rooster!H53</f>
        <v/>
      </c>
      <c r="J52" s="321" t="str">
        <f>IFERROR(VLOOKUP(I52, Locaties!$A$2:$G$15, 7, FALSE), "0")</f>
        <v>0</v>
      </c>
      <c r="K52" s="42">
        <f t="shared" si="2"/>
        <v>0</v>
      </c>
      <c r="L52" s="322"/>
      <c r="M52" s="327" t="str">
        <f>Augustus!M52</f>
        <v/>
      </c>
      <c r="N52" s="321" t="str">
        <f>IFERROR(VLOOKUP(M52, Tarieven!$A$1:$J$150, 10, FALSE), "0")</f>
        <v>0</v>
      </c>
      <c r="O52" s="389"/>
      <c r="P52" s="390" t="str">
        <f>Augustus!P52</f>
        <v/>
      </c>
      <c r="Q52" s="325" t="str">
        <f>IFERROR(VLOOKUP(P52, Tarieven!$A$2:$J$150, 10, FALSE), "0")</f>
        <v>0</v>
      </c>
      <c r="R52" s="436"/>
      <c r="S52" s="372" t="str">
        <f>Augustus!S52</f>
        <v/>
      </c>
      <c r="T52" s="325" t="str">
        <f>IFERROR(VLOOKUP(S52, Tarieven!$A$2:$J$150, 10, FALSE), "0")</f>
        <v>0</v>
      </c>
      <c r="U52" s="77"/>
      <c r="V52" s="85"/>
      <c r="W52" s="325" t="str">
        <f>IFERROR(VLOOKUP(V52, Tarieven!$A$2:$J$150, 10, FALSE), "0")</f>
        <v>0</v>
      </c>
      <c r="X52" s="143">
        <f>Augustus!X52</f>
        <v>0</v>
      </c>
      <c r="Y52" s="398">
        <v>0.0</v>
      </c>
      <c r="Z52" s="329">
        <f t="shared" si="3"/>
        <v>0</v>
      </c>
      <c r="AA52" s="32">
        <f t="shared" si="4"/>
        <v>0</v>
      </c>
      <c r="AB52" s="32">
        <f t="shared" si="5"/>
        <v>0</v>
      </c>
      <c r="AC52" s="32">
        <f t="shared" si="6"/>
        <v>0</v>
      </c>
      <c r="AD52" s="419"/>
    </row>
    <row r="53" ht="22.5" customHeight="1">
      <c r="A53" s="331" t="str">
        <f>Rooster!A54</f>
        <v/>
      </c>
      <c r="B53" s="396" t="str">
        <f>Rooster!B54</f>
        <v/>
      </c>
      <c r="C53" s="15" t="str">
        <f>Rooster!C54</f>
        <v/>
      </c>
      <c r="D53" s="11" t="str">
        <f>Rooster!D54</f>
        <v/>
      </c>
      <c r="E53" s="77"/>
      <c r="F53" s="327" t="str">
        <f>Rooster!E54</f>
        <v/>
      </c>
      <c r="G53" s="319" t="str">
        <f>IFERROR(VLOOKUP(F53, Docenten!$A$2:$G$30, 7, FALSE), "0")</f>
        <v>0</v>
      </c>
      <c r="H53" s="320">
        <f t="shared" si="7"/>
        <v>0</v>
      </c>
      <c r="I53" s="327" t="str">
        <f>Rooster!H54</f>
        <v/>
      </c>
      <c r="J53" s="321" t="str">
        <f>IFERROR(VLOOKUP(I53, Locaties!$A$2:$G$15, 7, FALSE), "0")</f>
        <v>0</v>
      </c>
      <c r="K53" s="42">
        <f t="shared" si="2"/>
        <v>0</v>
      </c>
      <c r="L53" s="322"/>
      <c r="M53" s="327" t="str">
        <f>Augustus!M53</f>
        <v/>
      </c>
      <c r="N53" s="321" t="str">
        <f>IFERROR(VLOOKUP(M53, Tarieven!$A$1:$J$150, 10, FALSE), "0")</f>
        <v>0</v>
      </c>
      <c r="O53" s="386"/>
      <c r="P53" s="332" t="str">
        <f>Augustus!P53</f>
        <v/>
      </c>
      <c r="Q53" s="325" t="str">
        <f>IFERROR(VLOOKUP(P53, Tarieven!$A$2:$J$150, 10, FALSE), "0")</f>
        <v>0</v>
      </c>
      <c r="R53" s="197"/>
      <c r="S53" s="332" t="str">
        <f>Augustus!S53</f>
        <v/>
      </c>
      <c r="T53" s="325" t="str">
        <f>IFERROR(VLOOKUP(S53, Tarieven!$A$2:$J$150, 10, FALSE), "0")</f>
        <v>0</v>
      </c>
      <c r="U53" s="77"/>
      <c r="V53" s="85"/>
      <c r="W53" s="325" t="str">
        <f>IFERROR(VLOOKUP(V53, Tarieven!$A$2:$J$150, 10, FALSE), "0")</f>
        <v>0</v>
      </c>
      <c r="X53" s="143">
        <f>Augustus!X53</f>
        <v>0</v>
      </c>
      <c r="Y53" s="398">
        <v>0.0</v>
      </c>
      <c r="Z53" s="329">
        <f t="shared" si="3"/>
        <v>0</v>
      </c>
      <c r="AA53" s="32">
        <f t="shared" si="4"/>
        <v>0</v>
      </c>
      <c r="AB53" s="32">
        <f t="shared" si="5"/>
        <v>0</v>
      </c>
      <c r="AC53" s="32">
        <f t="shared" si="6"/>
        <v>0</v>
      </c>
      <c r="AD53" s="419"/>
    </row>
    <row r="54" ht="22.5" customHeight="1">
      <c r="A54" s="331" t="str">
        <f>Rooster!A55</f>
        <v/>
      </c>
      <c r="B54" s="396" t="str">
        <f>Rooster!B55</f>
        <v/>
      </c>
      <c r="C54" s="15" t="str">
        <f>Rooster!C55</f>
        <v/>
      </c>
      <c r="D54" s="11" t="str">
        <f>Rooster!D55</f>
        <v/>
      </c>
      <c r="E54" s="77"/>
      <c r="F54" s="327" t="str">
        <f>Rooster!E55</f>
        <v/>
      </c>
      <c r="G54" s="319" t="str">
        <f>IFERROR(VLOOKUP(F54, Docenten!$A$2:$G$30, 7, FALSE), "0")</f>
        <v>0</v>
      </c>
      <c r="H54" s="320">
        <f t="shared" si="7"/>
        <v>0</v>
      </c>
      <c r="I54" s="327" t="str">
        <f>Rooster!H55</f>
        <v/>
      </c>
      <c r="J54" s="321" t="str">
        <f>IFERROR(VLOOKUP(I54, Locaties!$A$2:$G$15, 7, FALSE), "0")</f>
        <v>0</v>
      </c>
      <c r="K54" s="42">
        <f t="shared" si="2"/>
        <v>0</v>
      </c>
      <c r="L54" s="322"/>
      <c r="M54" s="327" t="str">
        <f>Augustus!M54</f>
        <v/>
      </c>
      <c r="N54" s="321" t="str">
        <f>IFERROR(VLOOKUP(M54, Tarieven!$A$1:$J$150, 10, FALSE), "0")</f>
        <v>0</v>
      </c>
      <c r="O54" s="389"/>
      <c r="P54" s="390" t="str">
        <f>Augustus!P54</f>
        <v/>
      </c>
      <c r="Q54" s="325" t="str">
        <f>IFERROR(VLOOKUP(P54, Tarieven!$A$2:$J$150, 10, FALSE), "0")</f>
        <v>0</v>
      </c>
      <c r="R54" s="436"/>
      <c r="S54" s="372" t="str">
        <f>Augustus!S54</f>
        <v/>
      </c>
      <c r="T54" s="325" t="str">
        <f>IFERROR(VLOOKUP(S54, Tarieven!$A$2:$J$150, 10, FALSE), "0")</f>
        <v>0</v>
      </c>
      <c r="U54" s="77"/>
      <c r="V54" s="85"/>
      <c r="W54" s="325" t="str">
        <f>IFERROR(VLOOKUP(V54, Tarieven!$A$2:$J$150, 10, FALSE), "0")</f>
        <v>0</v>
      </c>
      <c r="X54" s="143">
        <f>Augustus!X54</f>
        <v>0</v>
      </c>
      <c r="Y54" s="398">
        <v>0.0</v>
      </c>
      <c r="Z54" s="329">
        <f t="shared" si="3"/>
        <v>0</v>
      </c>
      <c r="AA54" s="32">
        <f t="shared" si="4"/>
        <v>0</v>
      </c>
      <c r="AB54" s="32">
        <f t="shared" si="5"/>
        <v>0</v>
      </c>
      <c r="AC54" s="32">
        <f t="shared" si="6"/>
        <v>0</v>
      </c>
      <c r="AD54" s="419"/>
    </row>
    <row r="55" ht="22.5" customHeight="1">
      <c r="A55" s="331" t="str">
        <f>Rooster!A56</f>
        <v/>
      </c>
      <c r="B55" s="396" t="str">
        <f>Rooster!B56</f>
        <v/>
      </c>
      <c r="C55" s="15" t="str">
        <f>Rooster!C56</f>
        <v/>
      </c>
      <c r="D55" s="11" t="str">
        <f>Rooster!D56</f>
        <v/>
      </c>
      <c r="E55" s="77"/>
      <c r="F55" s="327" t="str">
        <f>Rooster!E56</f>
        <v/>
      </c>
      <c r="G55" s="319" t="str">
        <f>IFERROR(VLOOKUP(F55, Docenten!$A$2:$G$30, 7, FALSE), "0")</f>
        <v>0</v>
      </c>
      <c r="H55" s="320">
        <f t="shared" si="7"/>
        <v>0</v>
      </c>
      <c r="I55" s="327" t="str">
        <f>Rooster!H56</f>
        <v/>
      </c>
      <c r="J55" s="321" t="str">
        <f>IFERROR(VLOOKUP(I55, Locaties!$A$2:$G$15, 7, FALSE), "0")</f>
        <v>0</v>
      </c>
      <c r="K55" s="42">
        <f t="shared" si="2"/>
        <v>0</v>
      </c>
      <c r="L55" s="322"/>
      <c r="M55" s="327" t="str">
        <f>Augustus!M55</f>
        <v/>
      </c>
      <c r="N55" s="321" t="str">
        <f>IFERROR(VLOOKUP(M55, Tarieven!$A$1:$J$150, 10, FALSE), "0")</f>
        <v>0</v>
      </c>
      <c r="O55" s="386"/>
      <c r="P55" s="332" t="str">
        <f>Augustus!P55</f>
        <v/>
      </c>
      <c r="Q55" s="325" t="str">
        <f>IFERROR(VLOOKUP(P55, Tarieven!$A$2:$J$150, 10, FALSE), "0")</f>
        <v>0</v>
      </c>
      <c r="R55" s="197"/>
      <c r="S55" s="332" t="str">
        <f>Augustus!S55</f>
        <v/>
      </c>
      <c r="T55" s="325" t="str">
        <f>IFERROR(VLOOKUP(S55, Tarieven!$A$2:$J$150, 10, FALSE), "0")</f>
        <v>0</v>
      </c>
      <c r="U55" s="77"/>
      <c r="V55" s="85"/>
      <c r="W55" s="325" t="str">
        <f>IFERROR(VLOOKUP(V55, Tarieven!$A$2:$J$150, 10, FALSE), "0")</f>
        <v>0</v>
      </c>
      <c r="X55" s="143">
        <f>Augustus!X55</f>
        <v>0</v>
      </c>
      <c r="Y55" s="398">
        <v>0.0</v>
      </c>
      <c r="Z55" s="329">
        <f t="shared" si="3"/>
        <v>0</v>
      </c>
      <c r="AA55" s="32">
        <f t="shared" si="4"/>
        <v>0</v>
      </c>
      <c r="AB55" s="32">
        <f t="shared" si="5"/>
        <v>0</v>
      </c>
      <c r="AC55" s="32">
        <f t="shared" si="6"/>
        <v>0</v>
      </c>
      <c r="AD55" s="419"/>
    </row>
    <row r="56" ht="22.5" customHeight="1">
      <c r="A56" s="331" t="str">
        <f>Rooster!A57</f>
        <v/>
      </c>
      <c r="B56" s="396" t="str">
        <f>Rooster!B57</f>
        <v/>
      </c>
      <c r="C56" s="15" t="str">
        <f>Rooster!C57</f>
        <v/>
      </c>
      <c r="D56" s="11" t="str">
        <f>Rooster!D57</f>
        <v/>
      </c>
      <c r="E56" s="77"/>
      <c r="F56" s="327" t="str">
        <f>Rooster!E57</f>
        <v/>
      </c>
      <c r="G56" s="319" t="str">
        <f>IFERROR(VLOOKUP(F56, Docenten!$A$2:$G$30, 7, FALSE), "0")</f>
        <v>0</v>
      </c>
      <c r="H56" s="320">
        <f t="shared" si="7"/>
        <v>0</v>
      </c>
      <c r="I56" s="327" t="str">
        <f>Rooster!H57</f>
        <v/>
      </c>
      <c r="J56" s="321" t="str">
        <f>IFERROR(VLOOKUP(I56, Locaties!$A$2:$G$15, 7, FALSE), "0")</f>
        <v>0</v>
      </c>
      <c r="K56" s="42">
        <f t="shared" si="2"/>
        <v>0</v>
      </c>
      <c r="L56" s="322"/>
      <c r="M56" s="327" t="str">
        <f>Augustus!M56</f>
        <v/>
      </c>
      <c r="N56" s="321" t="str">
        <f>IFERROR(VLOOKUP(M56, Tarieven!$A$1:$J$150, 10, FALSE), "0")</f>
        <v>0</v>
      </c>
      <c r="O56" s="389"/>
      <c r="P56" s="390" t="str">
        <f>Augustus!P56</f>
        <v/>
      </c>
      <c r="Q56" s="325" t="str">
        <f>IFERROR(VLOOKUP(P56, Tarieven!$A$2:$J$150, 10, FALSE), "0")</f>
        <v>0</v>
      </c>
      <c r="R56" s="436"/>
      <c r="S56" s="372" t="str">
        <f>Augustus!S56</f>
        <v/>
      </c>
      <c r="T56" s="325" t="str">
        <f>IFERROR(VLOOKUP(S56, Tarieven!$A$2:$J$150, 10, FALSE), "0")</f>
        <v>0</v>
      </c>
      <c r="U56" s="77"/>
      <c r="V56" s="85"/>
      <c r="W56" s="325" t="str">
        <f>IFERROR(VLOOKUP(V56, Tarieven!$A$2:$J$150, 10, FALSE), "0")</f>
        <v>0</v>
      </c>
      <c r="X56" s="143">
        <f>Augustus!X56</f>
        <v>0</v>
      </c>
      <c r="Y56" s="398">
        <v>0.0</v>
      </c>
      <c r="Z56" s="329">
        <f t="shared" si="3"/>
        <v>0</v>
      </c>
      <c r="AA56" s="32">
        <f t="shared" si="4"/>
        <v>0</v>
      </c>
      <c r="AB56" s="32">
        <f t="shared" si="5"/>
        <v>0</v>
      </c>
      <c r="AC56" s="32">
        <f t="shared" si="6"/>
        <v>0</v>
      </c>
      <c r="AD56" s="419"/>
    </row>
    <row r="57" ht="22.5" customHeight="1">
      <c r="A57" s="331" t="str">
        <f>Rooster!A58</f>
        <v/>
      </c>
      <c r="B57" s="396" t="str">
        <f>Rooster!B58</f>
        <v/>
      </c>
      <c r="C57" s="15" t="str">
        <f>Rooster!C58</f>
        <v/>
      </c>
      <c r="D57" s="11" t="str">
        <f>Rooster!D58</f>
        <v/>
      </c>
      <c r="E57" s="77"/>
      <c r="F57" s="327" t="str">
        <f>Rooster!E58</f>
        <v/>
      </c>
      <c r="G57" s="319" t="str">
        <f>IFERROR(VLOOKUP(F57, Docenten!$A$2:$G$30, 7, FALSE), "0")</f>
        <v>0</v>
      </c>
      <c r="H57" s="320">
        <f t="shared" si="7"/>
        <v>0</v>
      </c>
      <c r="I57" s="327" t="str">
        <f>Rooster!H58</f>
        <v/>
      </c>
      <c r="J57" s="321" t="str">
        <f>IFERROR(VLOOKUP(I57, Locaties!$A$2:$G$15, 7, FALSE), "0")</f>
        <v>0</v>
      </c>
      <c r="K57" s="42">
        <f t="shared" si="2"/>
        <v>0</v>
      </c>
      <c r="L57" s="322"/>
      <c r="M57" s="327" t="str">
        <f>Augustus!M57</f>
        <v/>
      </c>
      <c r="N57" s="321" t="str">
        <f>IFERROR(VLOOKUP(M57, Tarieven!$A$1:$J$150, 10, FALSE), "0")</f>
        <v>0</v>
      </c>
      <c r="O57" s="386"/>
      <c r="P57" s="332" t="str">
        <f>Augustus!P57</f>
        <v/>
      </c>
      <c r="Q57" s="325" t="str">
        <f>IFERROR(VLOOKUP(P57, Tarieven!$A$2:$J$150, 10, FALSE), "0")</f>
        <v>0</v>
      </c>
      <c r="R57" s="77"/>
      <c r="S57" s="327" t="str">
        <f>Augustus!S57</f>
        <v/>
      </c>
      <c r="T57" s="325" t="str">
        <f>IFERROR(VLOOKUP(S57, Tarieven!$A$2:$J$150, 10, FALSE), "0")</f>
        <v>0</v>
      </c>
      <c r="U57" s="77"/>
      <c r="V57" s="85"/>
      <c r="W57" s="325" t="str">
        <f>IFERROR(VLOOKUP(V57, Tarieven!$A$2:$J$150, 10, FALSE), "0")</f>
        <v>0</v>
      </c>
      <c r="X57" s="143">
        <f>Augustus!X57</f>
        <v>0</v>
      </c>
      <c r="Y57" s="398">
        <v>0.0</v>
      </c>
      <c r="Z57" s="329">
        <f t="shared" si="3"/>
        <v>0</v>
      </c>
      <c r="AA57" s="32">
        <f t="shared" si="4"/>
        <v>0</v>
      </c>
      <c r="AB57" s="32">
        <f t="shared" si="5"/>
        <v>0</v>
      </c>
      <c r="AC57" s="32">
        <f t="shared" si="6"/>
        <v>0</v>
      </c>
      <c r="AD57" s="419"/>
    </row>
    <row r="58" ht="22.5" customHeight="1">
      <c r="A58" s="331" t="str">
        <f>Rooster!A59</f>
        <v/>
      </c>
      <c r="B58" s="396" t="str">
        <f>Rooster!B59</f>
        <v/>
      </c>
      <c r="C58" s="15" t="str">
        <f>Rooster!C59</f>
        <v/>
      </c>
      <c r="D58" s="11" t="str">
        <f>Rooster!D59</f>
        <v/>
      </c>
      <c r="E58" s="77"/>
      <c r="F58" s="327" t="str">
        <f>Rooster!E59</f>
        <v/>
      </c>
      <c r="G58" s="319" t="str">
        <f>IFERROR(VLOOKUP(F58, Docenten!$A$2:$G$30, 7, FALSE), "0")</f>
        <v>0</v>
      </c>
      <c r="H58" s="320">
        <f t="shared" si="7"/>
        <v>0</v>
      </c>
      <c r="I58" s="327" t="str">
        <f>Rooster!H59</f>
        <v/>
      </c>
      <c r="J58" s="321" t="str">
        <f>IFERROR(VLOOKUP(I58, Locaties!$A$2:$G$15, 7, FALSE), "0")</f>
        <v>0</v>
      </c>
      <c r="K58" s="42">
        <f t="shared" si="2"/>
        <v>0</v>
      </c>
      <c r="L58" s="322"/>
      <c r="M58" s="327" t="str">
        <f>Augustus!M58</f>
        <v/>
      </c>
      <c r="N58" s="321" t="str">
        <f>IFERROR(VLOOKUP(M58, Tarieven!$A$1:$J$150, 10, FALSE), "0")</f>
        <v>0</v>
      </c>
      <c r="O58" s="389"/>
      <c r="P58" s="390" t="str">
        <f>Augustus!P58</f>
        <v/>
      </c>
      <c r="Q58" s="325" t="str">
        <f>IFERROR(VLOOKUP(P58, Tarieven!$A$2:$J$150, 10, FALSE), "0")</f>
        <v>0</v>
      </c>
      <c r="R58" s="77"/>
      <c r="S58" s="327" t="str">
        <f>Augustus!S58</f>
        <v/>
      </c>
      <c r="T58" s="325" t="str">
        <f>IFERROR(VLOOKUP(S58, Tarieven!$A$2:$J$150, 10, FALSE), "0")</f>
        <v>0</v>
      </c>
      <c r="U58" s="77"/>
      <c r="V58" s="85"/>
      <c r="W58" s="325" t="str">
        <f>IFERROR(VLOOKUP(V58, Tarieven!$A$2:$J$150, 10, FALSE), "0")</f>
        <v>0</v>
      </c>
      <c r="X58" s="143">
        <f>Augustus!X58</f>
        <v>0</v>
      </c>
      <c r="Y58" s="398">
        <v>0.0</v>
      </c>
      <c r="Z58" s="329">
        <f t="shared" si="3"/>
        <v>0</v>
      </c>
      <c r="AA58" s="32">
        <f t="shared" si="4"/>
        <v>0</v>
      </c>
      <c r="AB58" s="32">
        <f t="shared" si="5"/>
        <v>0</v>
      </c>
      <c r="AC58" s="32">
        <f t="shared" si="6"/>
        <v>0</v>
      </c>
      <c r="AD58" s="419"/>
    </row>
    <row r="59" ht="22.5" customHeight="1">
      <c r="A59" s="331" t="str">
        <f>Rooster!A60</f>
        <v/>
      </c>
      <c r="B59" s="396" t="str">
        <f>Rooster!B60</f>
        <v/>
      </c>
      <c r="C59" s="15" t="str">
        <f>Rooster!C60</f>
        <v/>
      </c>
      <c r="D59" s="11" t="str">
        <f>Rooster!D60</f>
        <v/>
      </c>
      <c r="E59" s="77"/>
      <c r="F59" s="327" t="str">
        <f>Rooster!E60</f>
        <v/>
      </c>
      <c r="G59" s="319" t="str">
        <f>IFERROR(VLOOKUP(F59, Docenten!$A$2:$G$30, 7, FALSE), "0")</f>
        <v>0</v>
      </c>
      <c r="H59" s="320">
        <f t="shared" si="7"/>
        <v>0</v>
      </c>
      <c r="I59" s="327" t="str">
        <f>Rooster!H60</f>
        <v/>
      </c>
      <c r="J59" s="321" t="str">
        <f>IFERROR(VLOOKUP(I59, Locaties!$A$2:$G$15, 7, FALSE), "0")</f>
        <v>0</v>
      </c>
      <c r="K59" s="42">
        <f t="shared" si="2"/>
        <v>0</v>
      </c>
      <c r="L59" s="322"/>
      <c r="M59" s="327" t="str">
        <f>Augustus!M59</f>
        <v/>
      </c>
      <c r="N59" s="321" t="str">
        <f>IFERROR(VLOOKUP(M59, Tarieven!$A$1:$J$150, 10, FALSE), "0")</f>
        <v>0</v>
      </c>
      <c r="O59" s="386"/>
      <c r="P59" s="332" t="str">
        <f>Augustus!P59</f>
        <v/>
      </c>
      <c r="Q59" s="325" t="str">
        <f>IFERROR(VLOOKUP(P59, Tarieven!$A$2:$J$150, 10, FALSE), "0")</f>
        <v>0</v>
      </c>
      <c r="R59" s="77"/>
      <c r="S59" s="327" t="str">
        <f>Augustus!S59</f>
        <v/>
      </c>
      <c r="T59" s="325" t="str">
        <f>IFERROR(VLOOKUP(S59, Tarieven!$A$2:$J$150, 10, FALSE), "0")</f>
        <v>0</v>
      </c>
      <c r="U59" s="77"/>
      <c r="V59" s="85"/>
      <c r="W59" s="325" t="str">
        <f>IFERROR(VLOOKUP(V59, Tarieven!$A$2:$J$150, 10, FALSE), "0")</f>
        <v>0</v>
      </c>
      <c r="X59" s="143">
        <f>Augustus!X59</f>
        <v>0</v>
      </c>
      <c r="Y59" s="398">
        <v>0.0</v>
      </c>
      <c r="Z59" s="329">
        <f t="shared" si="3"/>
        <v>0</v>
      </c>
      <c r="AA59" s="32">
        <f t="shared" si="4"/>
        <v>0</v>
      </c>
      <c r="AB59" s="32">
        <f t="shared" si="5"/>
        <v>0</v>
      </c>
      <c r="AC59" s="32">
        <f t="shared" si="6"/>
        <v>0</v>
      </c>
      <c r="AD59" s="419"/>
    </row>
    <row r="60" ht="22.5" customHeight="1">
      <c r="A60" s="331" t="str">
        <f>Rooster!A61</f>
        <v/>
      </c>
      <c r="B60" s="396" t="str">
        <f>Rooster!B61</f>
        <v/>
      </c>
      <c r="C60" s="15" t="str">
        <f>Rooster!C61</f>
        <v/>
      </c>
      <c r="D60" s="11" t="str">
        <f>Rooster!D61</f>
        <v/>
      </c>
      <c r="E60" s="77"/>
      <c r="F60" s="327" t="str">
        <f>Rooster!E61</f>
        <v/>
      </c>
      <c r="G60" s="319" t="str">
        <f>IFERROR(VLOOKUP(F60, Docenten!$A$2:$G$30, 7, FALSE), "0")</f>
        <v>0</v>
      </c>
      <c r="H60" s="320">
        <f t="shared" si="7"/>
        <v>0</v>
      </c>
      <c r="I60" s="327" t="str">
        <f>Rooster!H61</f>
        <v/>
      </c>
      <c r="J60" s="321" t="str">
        <f>IFERROR(VLOOKUP(I60, Locaties!$A$2:$G$15, 7, FALSE), "0")</f>
        <v>0</v>
      </c>
      <c r="K60" s="42">
        <f t="shared" si="2"/>
        <v>0</v>
      </c>
      <c r="L60" s="322"/>
      <c r="M60" s="327" t="str">
        <f>Augustus!M60</f>
        <v/>
      </c>
      <c r="N60" s="321" t="str">
        <f>IFERROR(VLOOKUP(M60, Tarieven!$A$1:$J$150, 10, FALSE), "0")</f>
        <v>0</v>
      </c>
      <c r="O60" s="389"/>
      <c r="P60" s="390" t="str">
        <f>Augustus!P60</f>
        <v/>
      </c>
      <c r="Q60" s="325" t="str">
        <f>IFERROR(VLOOKUP(P60, Tarieven!$A$2:$J$150, 10, FALSE), "0")</f>
        <v>0</v>
      </c>
      <c r="R60" s="77"/>
      <c r="S60" s="327" t="str">
        <f>Augustus!S60</f>
        <v/>
      </c>
      <c r="T60" s="325" t="str">
        <f>IFERROR(VLOOKUP(S60, Tarieven!$A$2:$J$150, 10, FALSE), "0")</f>
        <v>0</v>
      </c>
      <c r="U60" s="77"/>
      <c r="V60" s="85"/>
      <c r="W60" s="325" t="str">
        <f>IFERROR(VLOOKUP(V60, Tarieven!$A$2:$J$150, 10, FALSE), "0")</f>
        <v>0</v>
      </c>
      <c r="X60" s="143">
        <f>Augustus!X60</f>
        <v>0</v>
      </c>
      <c r="Y60" s="398">
        <v>0.0</v>
      </c>
      <c r="Z60" s="329">
        <f t="shared" si="3"/>
        <v>0</v>
      </c>
      <c r="AA60" s="32">
        <f t="shared" si="4"/>
        <v>0</v>
      </c>
      <c r="AB60" s="32">
        <f t="shared" si="5"/>
        <v>0</v>
      </c>
      <c r="AC60" s="32">
        <f t="shared" si="6"/>
        <v>0</v>
      </c>
      <c r="AD60" s="419"/>
    </row>
    <row r="61" ht="22.5" customHeight="1">
      <c r="A61" s="331" t="str">
        <f>Rooster!A62</f>
        <v/>
      </c>
      <c r="B61" s="396" t="str">
        <f>Rooster!B62</f>
        <v/>
      </c>
      <c r="C61" s="15" t="str">
        <f>Rooster!C62</f>
        <v/>
      </c>
      <c r="D61" s="11" t="str">
        <f>Rooster!D62</f>
        <v/>
      </c>
      <c r="E61" s="77"/>
      <c r="F61" s="327" t="str">
        <f>Rooster!E62</f>
        <v/>
      </c>
      <c r="G61" s="319" t="str">
        <f>IFERROR(VLOOKUP(F61, Docenten!$A$2:$G$30, 7, FALSE), "0")</f>
        <v>0</v>
      </c>
      <c r="H61" s="320">
        <f t="shared" si="7"/>
        <v>0</v>
      </c>
      <c r="I61" s="327" t="str">
        <f>Rooster!H62</f>
        <v/>
      </c>
      <c r="J61" s="321" t="str">
        <f>IFERROR(VLOOKUP(I61, Locaties!$A$2:$G$15, 7, FALSE), "0")</f>
        <v>0</v>
      </c>
      <c r="K61" s="42">
        <f t="shared" si="2"/>
        <v>0</v>
      </c>
      <c r="L61" s="322"/>
      <c r="M61" s="327" t="str">
        <f>Augustus!M61</f>
        <v/>
      </c>
      <c r="N61" s="321" t="str">
        <f>IFERROR(VLOOKUP(M61, Tarieven!$A$1:$J$150, 10, FALSE), "0")</f>
        <v>0</v>
      </c>
      <c r="O61" s="386"/>
      <c r="P61" s="332" t="str">
        <f>Augustus!P61</f>
        <v/>
      </c>
      <c r="Q61" s="325" t="str">
        <f>IFERROR(VLOOKUP(P61, Tarieven!$A$2:$J$150, 10, FALSE), "0")</f>
        <v>0</v>
      </c>
      <c r="R61" s="77"/>
      <c r="S61" s="327" t="str">
        <f>Augustus!S61</f>
        <v/>
      </c>
      <c r="T61" s="325" t="str">
        <f>IFERROR(VLOOKUP(S61, Tarieven!$A$2:$J$150, 10, FALSE), "0")</f>
        <v>0</v>
      </c>
      <c r="U61" s="77"/>
      <c r="V61" s="85"/>
      <c r="W61" s="325" t="str">
        <f>IFERROR(VLOOKUP(V61, Tarieven!$A$2:$J$150, 10, FALSE), "0")</f>
        <v>0</v>
      </c>
      <c r="X61" s="143">
        <f>Augustus!X61</f>
        <v>0</v>
      </c>
      <c r="Y61" s="398">
        <v>0.0</v>
      </c>
      <c r="Z61" s="329">
        <f t="shared" si="3"/>
        <v>0</v>
      </c>
      <c r="AA61" s="32">
        <f t="shared" si="4"/>
        <v>0</v>
      </c>
      <c r="AB61" s="32">
        <f t="shared" si="5"/>
        <v>0</v>
      </c>
      <c r="AC61" s="32">
        <f t="shared" si="6"/>
        <v>0</v>
      </c>
      <c r="AD61" s="419"/>
    </row>
    <row r="62" ht="22.5" customHeight="1">
      <c r="A62" s="331" t="str">
        <f>Rooster!A63</f>
        <v/>
      </c>
      <c r="B62" s="396" t="str">
        <f>Rooster!B63</f>
        <v/>
      </c>
      <c r="C62" s="15" t="str">
        <f>Rooster!C63</f>
        <v/>
      </c>
      <c r="D62" s="11" t="str">
        <f>Rooster!D63</f>
        <v/>
      </c>
      <c r="E62" s="77"/>
      <c r="F62" s="327" t="str">
        <f>Rooster!E63</f>
        <v/>
      </c>
      <c r="G62" s="319" t="str">
        <f>IFERROR(VLOOKUP(F62, Docenten!$A$2:$G$30, 7, FALSE), "0")</f>
        <v>0</v>
      </c>
      <c r="H62" s="320">
        <f t="shared" si="7"/>
        <v>0</v>
      </c>
      <c r="I62" s="327" t="str">
        <f>Rooster!H63</f>
        <v/>
      </c>
      <c r="J62" s="321" t="str">
        <f>IFERROR(VLOOKUP(I62, Locaties!$A$2:$G$15, 7, FALSE), "0")</f>
        <v>0</v>
      </c>
      <c r="K62" s="42">
        <f t="shared" si="2"/>
        <v>0</v>
      </c>
      <c r="L62" s="322"/>
      <c r="M62" s="327" t="str">
        <f>Augustus!M62</f>
        <v/>
      </c>
      <c r="N62" s="321" t="str">
        <f>IFERROR(VLOOKUP(M62, Tarieven!$A$1:$J$150, 10, FALSE), "0")</f>
        <v>0</v>
      </c>
      <c r="O62" s="389"/>
      <c r="P62" s="390" t="str">
        <f>Augustus!P62</f>
        <v/>
      </c>
      <c r="Q62" s="325" t="str">
        <f>IFERROR(VLOOKUP(P62, Tarieven!$A$2:$J$150, 10, FALSE), "0")</f>
        <v>0</v>
      </c>
      <c r="R62" s="77"/>
      <c r="S62" s="327" t="str">
        <f>Augustus!S62</f>
        <v/>
      </c>
      <c r="T62" s="325" t="str">
        <f>IFERROR(VLOOKUP(S62, Tarieven!$A$2:$J$150, 10, FALSE), "0")</f>
        <v>0</v>
      </c>
      <c r="U62" s="77"/>
      <c r="V62" s="85"/>
      <c r="W62" s="325" t="str">
        <f>IFERROR(VLOOKUP(V62, Tarieven!$A$2:$J$150, 10, FALSE), "0")</f>
        <v>0</v>
      </c>
      <c r="X62" s="143">
        <f>Augustus!X62</f>
        <v>0</v>
      </c>
      <c r="Y62" s="398">
        <v>0.0</v>
      </c>
      <c r="Z62" s="329">
        <f t="shared" si="3"/>
        <v>0</v>
      </c>
      <c r="AA62" s="32">
        <f t="shared" si="4"/>
        <v>0</v>
      </c>
      <c r="AB62" s="32">
        <f t="shared" si="5"/>
        <v>0</v>
      </c>
      <c r="AC62" s="32">
        <f t="shared" si="6"/>
        <v>0</v>
      </c>
      <c r="AD62" s="419"/>
    </row>
    <row r="63" ht="22.5" customHeight="1">
      <c r="A63" s="331" t="str">
        <f>Rooster!A64</f>
        <v/>
      </c>
      <c r="B63" s="396" t="str">
        <f>Rooster!B64</f>
        <v/>
      </c>
      <c r="C63" s="15" t="str">
        <f>Rooster!C64</f>
        <v/>
      </c>
      <c r="D63" s="11" t="str">
        <f>Rooster!D64</f>
        <v/>
      </c>
      <c r="E63" s="77"/>
      <c r="F63" s="327" t="str">
        <f>Rooster!E64</f>
        <v/>
      </c>
      <c r="G63" s="319" t="str">
        <f>IFERROR(VLOOKUP(F63, Docenten!$A$2:$G$30, 7, FALSE), "0")</f>
        <v>0</v>
      </c>
      <c r="H63" s="320">
        <f t="shared" si="7"/>
        <v>0</v>
      </c>
      <c r="I63" s="327" t="str">
        <f>Rooster!H64</f>
        <v/>
      </c>
      <c r="J63" s="321" t="str">
        <f>IFERROR(VLOOKUP(I63, Locaties!$A$2:$G$15, 7, FALSE), "0")</f>
        <v>0</v>
      </c>
      <c r="K63" s="42">
        <f t="shared" si="2"/>
        <v>0</v>
      </c>
      <c r="L63" s="322"/>
      <c r="M63" s="327" t="str">
        <f>Augustus!M63</f>
        <v/>
      </c>
      <c r="N63" s="321" t="str">
        <f>IFERROR(VLOOKUP(M63, Tarieven!$A$1:$J$150, 10, FALSE), "0")</f>
        <v>0</v>
      </c>
      <c r="O63" s="386"/>
      <c r="P63" s="332" t="str">
        <f>Augustus!P63</f>
        <v/>
      </c>
      <c r="Q63" s="325" t="str">
        <f>IFERROR(VLOOKUP(P63, Tarieven!$A$2:$J$150, 10, FALSE), "0")</f>
        <v>0</v>
      </c>
      <c r="R63" s="77"/>
      <c r="S63" s="327" t="str">
        <f>Augustus!S63</f>
        <v/>
      </c>
      <c r="T63" s="325" t="str">
        <f>IFERROR(VLOOKUP(S63, Tarieven!$A$2:$J$150, 10, FALSE), "0")</f>
        <v>0</v>
      </c>
      <c r="U63" s="77"/>
      <c r="V63" s="85"/>
      <c r="W63" s="325" t="str">
        <f>IFERROR(VLOOKUP(V63, Tarieven!$A$2:$J$150, 10, FALSE), "0")</f>
        <v>0</v>
      </c>
      <c r="X63" s="143">
        <f>Augustus!X63</f>
        <v>0</v>
      </c>
      <c r="Y63" s="398">
        <v>0.0</v>
      </c>
      <c r="Z63" s="329">
        <f t="shared" si="3"/>
        <v>0</v>
      </c>
      <c r="AA63" s="32">
        <f t="shared" si="4"/>
        <v>0</v>
      </c>
      <c r="AB63" s="32">
        <f t="shared" si="5"/>
        <v>0</v>
      </c>
      <c r="AC63" s="32">
        <f t="shared" si="6"/>
        <v>0</v>
      </c>
      <c r="AD63" s="419"/>
    </row>
    <row r="64" ht="22.5" customHeight="1">
      <c r="A64" s="331" t="str">
        <f>Rooster!A65</f>
        <v/>
      </c>
      <c r="B64" s="396" t="str">
        <f>Rooster!B65</f>
        <v/>
      </c>
      <c r="C64" s="15" t="str">
        <f>Rooster!C65</f>
        <v/>
      </c>
      <c r="D64" s="11" t="str">
        <f>Rooster!D65</f>
        <v/>
      </c>
      <c r="E64" s="77"/>
      <c r="F64" s="327" t="str">
        <f>Rooster!E65</f>
        <v/>
      </c>
      <c r="G64" s="319" t="str">
        <f>IFERROR(VLOOKUP(F64, Docenten!$A$2:$G$30, 7, FALSE), "0")</f>
        <v>0</v>
      </c>
      <c r="H64" s="320">
        <f t="shared" si="7"/>
        <v>0</v>
      </c>
      <c r="I64" s="327" t="str">
        <f>Rooster!H65</f>
        <v/>
      </c>
      <c r="J64" s="321" t="str">
        <f>IFERROR(VLOOKUP(I64, Locaties!$A$2:$G$15, 7, FALSE), "0")</f>
        <v>0</v>
      </c>
      <c r="K64" s="42">
        <f t="shared" si="2"/>
        <v>0</v>
      </c>
      <c r="L64" s="322"/>
      <c r="M64" s="327" t="str">
        <f>Augustus!M64</f>
        <v/>
      </c>
      <c r="N64" s="321" t="str">
        <f>IFERROR(VLOOKUP(M64, Tarieven!$A$1:$J$150, 10, FALSE), "0")</f>
        <v>0</v>
      </c>
      <c r="O64" s="389"/>
      <c r="P64" s="390" t="str">
        <f>Augustus!P64</f>
        <v/>
      </c>
      <c r="Q64" s="325" t="str">
        <f>IFERROR(VLOOKUP(P64, Tarieven!$A$2:$J$150, 10, FALSE), "0")</f>
        <v>0</v>
      </c>
      <c r="R64" s="77"/>
      <c r="S64" s="327" t="str">
        <f>Augustus!S64</f>
        <v/>
      </c>
      <c r="T64" s="325" t="str">
        <f>IFERROR(VLOOKUP(S64, Tarieven!$A$2:$J$150, 10, FALSE), "0")</f>
        <v>0</v>
      </c>
      <c r="U64" s="77"/>
      <c r="V64" s="85"/>
      <c r="W64" s="325" t="str">
        <f>IFERROR(VLOOKUP(V64, Tarieven!$A$2:$J$150, 10, FALSE), "0")</f>
        <v>0</v>
      </c>
      <c r="X64" s="143">
        <f>Augustus!X64</f>
        <v>0</v>
      </c>
      <c r="Y64" s="398">
        <v>0.0</v>
      </c>
      <c r="Z64" s="329">
        <f t="shared" si="3"/>
        <v>0</v>
      </c>
      <c r="AA64" s="32">
        <f t="shared" si="4"/>
        <v>0</v>
      </c>
      <c r="AB64" s="32">
        <f t="shared" si="5"/>
        <v>0</v>
      </c>
      <c r="AC64" s="32">
        <f t="shared" si="6"/>
        <v>0</v>
      </c>
      <c r="AD64" s="419"/>
    </row>
    <row r="65" ht="22.5" customHeight="1">
      <c r="A65" s="331" t="str">
        <f>Rooster!A66</f>
        <v/>
      </c>
      <c r="B65" s="396" t="str">
        <f>Rooster!B66</f>
        <v/>
      </c>
      <c r="C65" s="15" t="str">
        <f>Rooster!C66</f>
        <v/>
      </c>
      <c r="D65" s="11" t="str">
        <f>Rooster!D66</f>
        <v/>
      </c>
      <c r="E65" s="77"/>
      <c r="F65" s="327" t="str">
        <f>Rooster!E66</f>
        <v/>
      </c>
      <c r="G65" s="319" t="str">
        <f>IFERROR(VLOOKUP(F65, Docenten!$A$2:$G$30, 7, FALSE), "0")</f>
        <v>0</v>
      </c>
      <c r="H65" s="320">
        <f t="shared" si="7"/>
        <v>0</v>
      </c>
      <c r="I65" s="327" t="str">
        <f>Rooster!H66</f>
        <v/>
      </c>
      <c r="J65" s="321" t="str">
        <f>IFERROR(VLOOKUP(I65, Locaties!$A$2:$G$15, 7, FALSE), "0")</f>
        <v>0</v>
      </c>
      <c r="K65" s="42">
        <f t="shared" si="2"/>
        <v>0</v>
      </c>
      <c r="L65" s="322"/>
      <c r="M65" s="327" t="str">
        <f>Augustus!M65</f>
        <v/>
      </c>
      <c r="N65" s="321" t="str">
        <f>IFERROR(VLOOKUP(M65, Tarieven!$A$1:$J$150, 10, FALSE), "0")</f>
        <v>0</v>
      </c>
      <c r="O65" s="386"/>
      <c r="P65" s="332" t="str">
        <f>Augustus!P65</f>
        <v/>
      </c>
      <c r="Q65" s="325" t="str">
        <f>IFERROR(VLOOKUP(P65, Tarieven!$A$2:$J$150, 10, FALSE), "0")</f>
        <v>0</v>
      </c>
      <c r="R65" s="77"/>
      <c r="S65" s="327" t="str">
        <f>Augustus!S65</f>
        <v/>
      </c>
      <c r="T65" s="325" t="str">
        <f>IFERROR(VLOOKUP(S65, Tarieven!$A$2:$J$150, 10, FALSE), "0")</f>
        <v>0</v>
      </c>
      <c r="U65" s="77"/>
      <c r="V65" s="85"/>
      <c r="W65" s="325" t="str">
        <f>IFERROR(VLOOKUP(V65, Tarieven!$A$2:$J$150, 10, FALSE), "0")</f>
        <v>0</v>
      </c>
      <c r="X65" s="143">
        <f>Augustus!X65</f>
        <v>0</v>
      </c>
      <c r="Y65" s="398">
        <v>0.0</v>
      </c>
      <c r="Z65" s="329">
        <f t="shared" si="3"/>
        <v>0</v>
      </c>
      <c r="AA65" s="32">
        <f t="shared" si="4"/>
        <v>0</v>
      </c>
      <c r="AB65" s="32">
        <f t="shared" si="5"/>
        <v>0</v>
      </c>
      <c r="AC65" s="32">
        <f t="shared" si="6"/>
        <v>0</v>
      </c>
      <c r="AD65" s="419"/>
    </row>
    <row r="66" ht="22.5" customHeight="1">
      <c r="A66" s="331" t="str">
        <f>Rooster!A67</f>
        <v/>
      </c>
      <c r="B66" s="396" t="str">
        <f>Rooster!B67</f>
        <v/>
      </c>
      <c r="C66" s="15" t="str">
        <f>Rooster!C67</f>
        <v/>
      </c>
      <c r="D66" s="11" t="str">
        <f>Rooster!D67</f>
        <v/>
      </c>
      <c r="E66" s="77"/>
      <c r="F66" s="327" t="str">
        <f>Rooster!E67</f>
        <v/>
      </c>
      <c r="G66" s="319" t="str">
        <f>IFERROR(VLOOKUP(F66, Docenten!$A$2:$G$30, 7, FALSE), "0")</f>
        <v>0</v>
      </c>
      <c r="H66" s="320">
        <f t="shared" si="7"/>
        <v>0</v>
      </c>
      <c r="I66" s="327" t="str">
        <f>Rooster!H67</f>
        <v/>
      </c>
      <c r="J66" s="321" t="str">
        <f>IFERROR(VLOOKUP(I66, Locaties!$A$2:$G$15, 7, FALSE), "0")</f>
        <v>0</v>
      </c>
      <c r="K66" s="42">
        <f t="shared" si="2"/>
        <v>0</v>
      </c>
      <c r="L66" s="322"/>
      <c r="M66" s="327" t="str">
        <f>Augustus!M66</f>
        <v/>
      </c>
      <c r="N66" s="321" t="str">
        <f>IFERROR(VLOOKUP(M66, Tarieven!$A$1:$J$150, 10, FALSE), "0")</f>
        <v>0</v>
      </c>
      <c r="O66" s="389"/>
      <c r="P66" s="390" t="str">
        <f>Augustus!P66</f>
        <v/>
      </c>
      <c r="Q66" s="325" t="str">
        <f>IFERROR(VLOOKUP(P66, Tarieven!$A$2:$J$150, 10, FALSE), "0")</f>
        <v>0</v>
      </c>
      <c r="R66" s="77"/>
      <c r="S66" s="327" t="str">
        <f>Augustus!S66</f>
        <v/>
      </c>
      <c r="T66" s="325" t="str">
        <f>IFERROR(VLOOKUP(S66, Tarieven!$A$2:$J$150, 10, FALSE), "0")</f>
        <v>0</v>
      </c>
      <c r="U66" s="77"/>
      <c r="V66" s="85"/>
      <c r="W66" s="325" t="str">
        <f>IFERROR(VLOOKUP(V66, Tarieven!$A$2:$J$150, 10, FALSE), "0")</f>
        <v>0</v>
      </c>
      <c r="X66" s="143">
        <f>Augustus!X66</f>
        <v>0</v>
      </c>
      <c r="Y66" s="398">
        <v>0.0</v>
      </c>
      <c r="Z66" s="329">
        <f t="shared" si="3"/>
        <v>0</v>
      </c>
      <c r="AA66" s="32">
        <f t="shared" si="4"/>
        <v>0</v>
      </c>
      <c r="AB66" s="32">
        <f t="shared" si="5"/>
        <v>0</v>
      </c>
      <c r="AC66" s="32">
        <f t="shared" si="6"/>
        <v>0</v>
      </c>
      <c r="AD66" s="419"/>
    </row>
    <row r="67" ht="22.5" customHeight="1">
      <c r="A67" s="331" t="str">
        <f>Rooster!A68</f>
        <v/>
      </c>
      <c r="B67" s="396" t="str">
        <f>Rooster!B68</f>
        <v/>
      </c>
      <c r="C67" s="15" t="str">
        <f>Rooster!C68</f>
        <v/>
      </c>
      <c r="D67" s="11" t="str">
        <f>Rooster!D68</f>
        <v/>
      </c>
      <c r="E67" s="77"/>
      <c r="F67" s="327" t="str">
        <f>Rooster!E68</f>
        <v/>
      </c>
      <c r="G67" s="319" t="str">
        <f>IFERROR(VLOOKUP(F67, Docenten!$A$2:$G$30, 7, FALSE), "0")</f>
        <v>0</v>
      </c>
      <c r="H67" s="320">
        <f t="shared" si="7"/>
        <v>0</v>
      </c>
      <c r="I67" s="327" t="str">
        <f>Rooster!H68</f>
        <v/>
      </c>
      <c r="J67" s="321" t="str">
        <f>IFERROR(VLOOKUP(I67, Locaties!$A$2:$G$15, 7, FALSE), "0")</f>
        <v>0</v>
      </c>
      <c r="K67" s="42">
        <f t="shared" si="2"/>
        <v>0</v>
      </c>
      <c r="L67" s="322"/>
      <c r="M67" s="327" t="str">
        <f>Augustus!M67</f>
        <v/>
      </c>
      <c r="N67" s="321" t="str">
        <f>IFERROR(VLOOKUP(M67, Tarieven!$A$1:$J$150, 10, FALSE), "0")</f>
        <v>0</v>
      </c>
      <c r="O67" s="386"/>
      <c r="P67" s="332" t="str">
        <f>Augustus!P67</f>
        <v/>
      </c>
      <c r="Q67" s="325" t="str">
        <f>IFERROR(VLOOKUP(P67, Tarieven!$A$2:$J$150, 10, FALSE), "0")</f>
        <v>0</v>
      </c>
      <c r="R67" s="77"/>
      <c r="S67" s="327" t="str">
        <f>Augustus!S67</f>
        <v/>
      </c>
      <c r="T67" s="325" t="str">
        <f>IFERROR(VLOOKUP(S67, Tarieven!$A$2:$J$150, 10, FALSE), "0")</f>
        <v>0</v>
      </c>
      <c r="U67" s="77"/>
      <c r="V67" s="85"/>
      <c r="W67" s="325" t="str">
        <f>IFERROR(VLOOKUP(V67, Tarieven!$A$2:$J$150, 10, FALSE), "0")</f>
        <v>0</v>
      </c>
      <c r="X67" s="143">
        <f>Augustus!X67</f>
        <v>0</v>
      </c>
      <c r="Y67" s="398">
        <v>0.0</v>
      </c>
      <c r="Z67" s="329">
        <f t="shared" si="3"/>
        <v>0</v>
      </c>
      <c r="AA67" s="32">
        <f t="shared" si="4"/>
        <v>0</v>
      </c>
      <c r="AB67" s="32">
        <f t="shared" si="5"/>
        <v>0</v>
      </c>
      <c r="AC67" s="32">
        <f t="shared" si="6"/>
        <v>0</v>
      </c>
      <c r="AD67" s="419"/>
    </row>
    <row r="68" ht="22.5" customHeight="1">
      <c r="A68" s="331" t="str">
        <f>Rooster!A69</f>
        <v/>
      </c>
      <c r="B68" s="396" t="str">
        <f>Rooster!B69</f>
        <v/>
      </c>
      <c r="C68" s="15" t="str">
        <f>Rooster!C69</f>
        <v/>
      </c>
      <c r="D68" s="11" t="str">
        <f>Rooster!D69</f>
        <v/>
      </c>
      <c r="E68" s="77"/>
      <c r="F68" s="327" t="str">
        <f>Rooster!E69</f>
        <v/>
      </c>
      <c r="G68" s="319" t="str">
        <f>IFERROR(VLOOKUP(F68, Docenten!$A$2:$G$30, 7, FALSE), "0")</f>
        <v>0</v>
      </c>
      <c r="H68" s="320">
        <f t="shared" si="7"/>
        <v>0</v>
      </c>
      <c r="I68" s="327" t="str">
        <f>Rooster!H69</f>
        <v/>
      </c>
      <c r="J68" s="321" t="str">
        <f>IFERROR(VLOOKUP(I68, Locaties!$A$2:$G$15, 7, FALSE), "0")</f>
        <v>0</v>
      </c>
      <c r="K68" s="42">
        <f t="shared" si="2"/>
        <v>0</v>
      </c>
      <c r="L68" s="322"/>
      <c r="M68" s="327" t="str">
        <f>Augustus!M68</f>
        <v/>
      </c>
      <c r="N68" s="321" t="str">
        <f>IFERROR(VLOOKUP(M68, Tarieven!$A$1:$J$150, 10, FALSE), "0")</f>
        <v>0</v>
      </c>
      <c r="O68" s="389"/>
      <c r="P68" s="390" t="str">
        <f>Augustus!P68</f>
        <v/>
      </c>
      <c r="Q68" s="325" t="str">
        <f>IFERROR(VLOOKUP(P68, Tarieven!$A$2:$J$150, 10, FALSE), "0")</f>
        <v>0</v>
      </c>
      <c r="R68" s="77"/>
      <c r="S68" s="327" t="str">
        <f>Augustus!S68</f>
        <v/>
      </c>
      <c r="T68" s="325" t="str">
        <f>IFERROR(VLOOKUP(S68, Tarieven!$A$2:$J$150, 10, FALSE), "0")</f>
        <v>0</v>
      </c>
      <c r="U68" s="77"/>
      <c r="V68" s="85"/>
      <c r="W68" s="325" t="str">
        <f>IFERROR(VLOOKUP(V68, Tarieven!$A$2:$J$150, 10, FALSE), "0")</f>
        <v>0</v>
      </c>
      <c r="X68" s="143">
        <f>Augustus!X68</f>
        <v>0</v>
      </c>
      <c r="Y68" s="398">
        <v>0.0</v>
      </c>
      <c r="Z68" s="329">
        <f t="shared" si="3"/>
        <v>0</v>
      </c>
      <c r="AA68" s="32">
        <f t="shared" si="4"/>
        <v>0</v>
      </c>
      <c r="AB68" s="32">
        <f t="shared" si="5"/>
        <v>0</v>
      </c>
      <c r="AC68" s="32">
        <f t="shared" si="6"/>
        <v>0</v>
      </c>
      <c r="AD68" s="419"/>
    </row>
    <row r="69" ht="22.5" customHeight="1">
      <c r="A69" s="331" t="str">
        <f>Rooster!A70</f>
        <v/>
      </c>
      <c r="B69" s="396" t="str">
        <f>Rooster!B70</f>
        <v/>
      </c>
      <c r="C69" s="15" t="str">
        <f>Rooster!C70</f>
        <v/>
      </c>
      <c r="D69" s="11" t="str">
        <f>Rooster!D70</f>
        <v/>
      </c>
      <c r="E69" s="77"/>
      <c r="F69" s="327" t="str">
        <f>Rooster!E70</f>
        <v/>
      </c>
      <c r="G69" s="319" t="str">
        <f>IFERROR(VLOOKUP(F69, Docenten!$A$2:$G$30, 7, FALSE), "0")</f>
        <v>0</v>
      </c>
      <c r="H69" s="320">
        <f t="shared" si="7"/>
        <v>0</v>
      </c>
      <c r="I69" s="327" t="str">
        <f>Rooster!H70</f>
        <v/>
      </c>
      <c r="J69" s="321" t="str">
        <f>IFERROR(VLOOKUP(I69, Locaties!$A$2:$G$15, 7, FALSE), "0")</f>
        <v>0</v>
      </c>
      <c r="K69" s="42">
        <f t="shared" si="2"/>
        <v>0</v>
      </c>
      <c r="L69" s="322"/>
      <c r="M69" s="327" t="str">
        <f>Augustus!M69</f>
        <v/>
      </c>
      <c r="N69" s="321" t="str">
        <f>IFERROR(VLOOKUP(M69, Tarieven!$A$1:$J$150, 10, FALSE), "0")</f>
        <v>0</v>
      </c>
      <c r="O69" s="386"/>
      <c r="P69" s="332" t="str">
        <f>Augustus!P69</f>
        <v/>
      </c>
      <c r="Q69" s="325" t="str">
        <f>IFERROR(VLOOKUP(P69, Tarieven!$A$2:$J$150, 10, FALSE), "0")</f>
        <v>0</v>
      </c>
      <c r="R69" s="77"/>
      <c r="S69" s="327" t="str">
        <f>Augustus!S69</f>
        <v/>
      </c>
      <c r="T69" s="325" t="str">
        <f>IFERROR(VLOOKUP(S69, Tarieven!$A$2:$J$150, 10, FALSE), "0")</f>
        <v>0</v>
      </c>
      <c r="U69" s="77"/>
      <c r="V69" s="85"/>
      <c r="W69" s="325" t="str">
        <f>IFERROR(VLOOKUP(V69, Tarieven!$A$2:$J$150, 10, FALSE), "0")</f>
        <v>0</v>
      </c>
      <c r="X69" s="143">
        <f>Augustus!X69</f>
        <v>0</v>
      </c>
      <c r="Y69" s="398">
        <v>0.0</v>
      </c>
      <c r="Z69" s="329">
        <f t="shared" si="3"/>
        <v>0</v>
      </c>
      <c r="AA69" s="32">
        <f t="shared" si="4"/>
        <v>0</v>
      </c>
      <c r="AB69" s="32">
        <f t="shared" si="5"/>
        <v>0</v>
      </c>
      <c r="AC69" s="32">
        <f t="shared" si="6"/>
        <v>0</v>
      </c>
      <c r="AD69" s="419"/>
    </row>
    <row r="70" ht="22.5" customHeight="1">
      <c r="A70" s="331" t="str">
        <f>Rooster!A71</f>
        <v/>
      </c>
      <c r="B70" s="396" t="str">
        <f>Rooster!B71</f>
        <v/>
      </c>
      <c r="C70" s="15" t="str">
        <f>Rooster!C71</f>
        <v/>
      </c>
      <c r="D70" s="11" t="str">
        <f>Rooster!D71</f>
        <v/>
      </c>
      <c r="E70" s="77"/>
      <c r="F70" s="327" t="str">
        <f>Rooster!E71</f>
        <v/>
      </c>
      <c r="G70" s="319" t="str">
        <f>IFERROR(VLOOKUP(F70, Docenten!$A$2:$G$30, 7, FALSE), "0")</f>
        <v>0</v>
      </c>
      <c r="H70" s="320">
        <f t="shared" si="7"/>
        <v>0</v>
      </c>
      <c r="I70" s="327" t="str">
        <f>Rooster!H71</f>
        <v/>
      </c>
      <c r="J70" s="321" t="str">
        <f>IFERROR(VLOOKUP(I70, Locaties!$A$2:$G$15, 7, FALSE), "0")</f>
        <v>0</v>
      </c>
      <c r="K70" s="42">
        <f t="shared" si="2"/>
        <v>0</v>
      </c>
      <c r="L70" s="322"/>
      <c r="M70" s="327" t="str">
        <f>Augustus!M70</f>
        <v/>
      </c>
      <c r="N70" s="321" t="str">
        <f>IFERROR(VLOOKUP(M70, Tarieven!$A$1:$J$150, 10, FALSE), "0")</f>
        <v>0</v>
      </c>
      <c r="O70" s="389"/>
      <c r="P70" s="390" t="str">
        <f>Augustus!P70</f>
        <v/>
      </c>
      <c r="Q70" s="325" t="str">
        <f>IFERROR(VLOOKUP(P70, Tarieven!$A$2:$J$150, 10, FALSE), "0")</f>
        <v>0</v>
      </c>
      <c r="R70" s="77"/>
      <c r="S70" s="327" t="str">
        <f>Augustus!S70</f>
        <v/>
      </c>
      <c r="T70" s="325" t="str">
        <f>IFERROR(VLOOKUP(S70, Tarieven!$A$2:$J$150, 10, FALSE), "0")</f>
        <v>0</v>
      </c>
      <c r="U70" s="77"/>
      <c r="V70" s="85"/>
      <c r="W70" s="325" t="str">
        <f>IFERROR(VLOOKUP(V70, Tarieven!$A$2:$J$150, 10, FALSE), "0")</f>
        <v>0</v>
      </c>
      <c r="X70" s="143">
        <f>Augustus!X70</f>
        <v>0</v>
      </c>
      <c r="Y70" s="398">
        <v>0.0</v>
      </c>
      <c r="Z70" s="329">
        <f t="shared" si="3"/>
        <v>0</v>
      </c>
      <c r="AA70" s="32">
        <f t="shared" si="4"/>
        <v>0</v>
      </c>
      <c r="AB70" s="32">
        <f t="shared" si="5"/>
        <v>0</v>
      </c>
      <c r="AC70" s="32">
        <f t="shared" si="6"/>
        <v>0</v>
      </c>
      <c r="AD70" s="419"/>
    </row>
    <row r="71" ht="22.5" customHeight="1">
      <c r="A71" s="331" t="str">
        <f>Rooster!A72</f>
        <v/>
      </c>
      <c r="B71" s="396" t="str">
        <f>Rooster!B72</f>
        <v/>
      </c>
      <c r="C71" s="15" t="str">
        <f>Rooster!C72</f>
        <v/>
      </c>
      <c r="D71" s="11" t="str">
        <f>Rooster!D72</f>
        <v/>
      </c>
      <c r="E71" s="77"/>
      <c r="F71" s="327" t="str">
        <f>Rooster!E72</f>
        <v/>
      </c>
      <c r="G71" s="319" t="str">
        <f>IFERROR(VLOOKUP(F71, Docenten!$A$2:$G$30, 7, FALSE), "0")</f>
        <v>0</v>
      </c>
      <c r="H71" s="320">
        <f t="shared" si="7"/>
        <v>0</v>
      </c>
      <c r="I71" s="327" t="str">
        <f>Rooster!H72</f>
        <v/>
      </c>
      <c r="J71" s="321" t="str">
        <f>IFERROR(VLOOKUP(I71, Locaties!$A$2:$G$15, 7, FALSE), "0")</f>
        <v>0</v>
      </c>
      <c r="K71" s="42">
        <f t="shared" si="2"/>
        <v>0</v>
      </c>
      <c r="L71" s="322"/>
      <c r="M71" s="327" t="str">
        <f>Augustus!M71</f>
        <v/>
      </c>
      <c r="N71" s="321" t="str">
        <f>IFERROR(VLOOKUP(M71, Tarieven!$A$1:$J$150, 10, FALSE), "0")</f>
        <v>0</v>
      </c>
      <c r="O71" s="386"/>
      <c r="P71" s="332" t="str">
        <f>Augustus!P71</f>
        <v/>
      </c>
      <c r="Q71" s="325" t="str">
        <f>IFERROR(VLOOKUP(P71, Tarieven!$A$2:$J$150, 10, FALSE), "0")</f>
        <v>0</v>
      </c>
      <c r="R71" s="77"/>
      <c r="S71" s="327" t="str">
        <f>Augustus!S71</f>
        <v/>
      </c>
      <c r="T71" s="325" t="str">
        <f>IFERROR(VLOOKUP(S71, Tarieven!$A$2:$J$150, 10, FALSE), "0")</f>
        <v>0</v>
      </c>
      <c r="U71" s="77"/>
      <c r="V71" s="85"/>
      <c r="W71" s="325" t="str">
        <f>IFERROR(VLOOKUP(V71, Tarieven!$A$2:$J$150, 10, FALSE), "0")</f>
        <v>0</v>
      </c>
      <c r="X71" s="397">
        <f>Augustus!X71</f>
        <v>0</v>
      </c>
      <c r="Y71" s="398">
        <v>0.0</v>
      </c>
      <c r="Z71" s="329">
        <f t="shared" si="3"/>
        <v>0</v>
      </c>
      <c r="AA71" s="32">
        <f t="shared" si="4"/>
        <v>0</v>
      </c>
      <c r="AB71" s="32">
        <f t="shared" si="5"/>
        <v>0</v>
      </c>
      <c r="AC71" s="32">
        <f t="shared" si="6"/>
        <v>0</v>
      </c>
      <c r="AD71" s="419"/>
    </row>
    <row r="72" ht="22.5" customHeight="1">
      <c r="A72" s="331" t="str">
        <f>Rooster!A73</f>
        <v/>
      </c>
      <c r="B72" s="396" t="str">
        <f>Rooster!B73</f>
        <v/>
      </c>
      <c r="C72" s="15" t="str">
        <f>Rooster!C73</f>
        <v/>
      </c>
      <c r="D72" s="11" t="str">
        <f>Rooster!D73</f>
        <v/>
      </c>
      <c r="E72" s="77"/>
      <c r="F72" s="327" t="str">
        <f>Rooster!E73</f>
        <v/>
      </c>
      <c r="G72" s="319" t="str">
        <f>IFERROR(VLOOKUP(F72, Docenten!$A$2:$G$30, 7, FALSE), "0")</f>
        <v>0</v>
      </c>
      <c r="H72" s="320">
        <f t="shared" si="7"/>
        <v>0</v>
      </c>
      <c r="I72" s="327" t="str">
        <f>Rooster!H73</f>
        <v/>
      </c>
      <c r="J72" s="321" t="str">
        <f>IFERROR(VLOOKUP(I72, Locaties!$A$2:$G$15, 7, FALSE), "0")</f>
        <v>0</v>
      </c>
      <c r="K72" s="42">
        <f t="shared" si="2"/>
        <v>0</v>
      </c>
      <c r="L72" s="322"/>
      <c r="M72" s="327" t="str">
        <f>Augustus!M72</f>
        <v/>
      </c>
      <c r="N72" s="321" t="str">
        <f>IFERROR(VLOOKUP(M72, Tarieven!$A$1:$J$150, 10, FALSE), "0")</f>
        <v>0</v>
      </c>
      <c r="O72" s="389"/>
      <c r="P72" s="390" t="str">
        <f>Augustus!P72</f>
        <v/>
      </c>
      <c r="Q72" s="325" t="str">
        <f>IFERROR(VLOOKUP(P72, Tarieven!$A$2:$J$150, 10, FALSE), "0")</f>
        <v>0</v>
      </c>
      <c r="R72" s="77"/>
      <c r="S72" s="327" t="str">
        <f>Augustus!S72</f>
        <v/>
      </c>
      <c r="T72" s="325" t="str">
        <f>IFERROR(VLOOKUP(S72, Tarieven!$A$2:$J$150, 10, FALSE), "0")</f>
        <v>0</v>
      </c>
      <c r="U72" s="77"/>
      <c r="V72" s="85"/>
      <c r="W72" s="325" t="str">
        <f>IFERROR(VLOOKUP(V72, Tarieven!$A$2:$J$150, 10, FALSE), "0")</f>
        <v>0</v>
      </c>
      <c r="X72" s="397">
        <f>Augustus!X72</f>
        <v>0</v>
      </c>
      <c r="Y72" s="398">
        <v>0.0</v>
      </c>
      <c r="Z72" s="329">
        <f t="shared" si="3"/>
        <v>0</v>
      </c>
      <c r="AA72" s="32">
        <f t="shared" si="4"/>
        <v>0</v>
      </c>
      <c r="AB72" s="32">
        <f t="shared" si="5"/>
        <v>0</v>
      </c>
      <c r="AC72" s="32">
        <f t="shared" si="6"/>
        <v>0</v>
      </c>
      <c r="AD72" s="419"/>
    </row>
    <row r="73" ht="22.5" customHeight="1">
      <c r="A73" s="331" t="str">
        <f>Rooster!A74</f>
        <v/>
      </c>
      <c r="B73" s="396" t="str">
        <f>Rooster!B74</f>
        <v/>
      </c>
      <c r="C73" s="15" t="str">
        <f>Rooster!C74</f>
        <v/>
      </c>
      <c r="D73" s="11" t="str">
        <f>Rooster!D74</f>
        <v/>
      </c>
      <c r="E73" s="77"/>
      <c r="F73" s="327" t="str">
        <f>Rooster!E74</f>
        <v/>
      </c>
      <c r="G73" s="319" t="str">
        <f>IFERROR(VLOOKUP(F73, Docenten!$A$2:$G$30, 7, FALSE), "0")</f>
        <v>0</v>
      </c>
      <c r="H73" s="320">
        <f t="shared" si="7"/>
        <v>0</v>
      </c>
      <c r="I73" s="327" t="str">
        <f>Rooster!H74</f>
        <v/>
      </c>
      <c r="J73" s="321" t="str">
        <f>IFERROR(VLOOKUP(I73, Locaties!$A$2:$G$15, 7, FALSE), "0")</f>
        <v>0</v>
      </c>
      <c r="K73" s="42">
        <f t="shared" si="2"/>
        <v>0</v>
      </c>
      <c r="L73" s="322"/>
      <c r="M73" s="327" t="str">
        <f>Augustus!M73</f>
        <v/>
      </c>
      <c r="N73" s="321" t="str">
        <f>IFERROR(VLOOKUP(M73, Tarieven!$A$1:$J$150, 10, FALSE), "0")</f>
        <v>0</v>
      </c>
      <c r="O73" s="386"/>
      <c r="P73" s="332" t="str">
        <f>Augustus!P73</f>
        <v/>
      </c>
      <c r="Q73" s="325" t="str">
        <f>IFERROR(VLOOKUP(P73, Tarieven!$A$2:$J$150, 10, FALSE), "0")</f>
        <v>0</v>
      </c>
      <c r="R73" s="77"/>
      <c r="S73" s="327" t="str">
        <f>Augustus!S73</f>
        <v/>
      </c>
      <c r="T73" s="325" t="str">
        <f>IFERROR(VLOOKUP(S73, Tarieven!$A$2:$J$150, 10, FALSE), "0")</f>
        <v>0</v>
      </c>
      <c r="U73" s="77"/>
      <c r="V73" s="85"/>
      <c r="W73" s="325" t="str">
        <f>IFERROR(VLOOKUP(V73, Tarieven!$A$2:$J$150, 10, FALSE), "0")</f>
        <v>0</v>
      </c>
      <c r="X73" s="397">
        <f>Augustus!X73</f>
        <v>0</v>
      </c>
      <c r="Y73" s="398">
        <v>0.0</v>
      </c>
      <c r="Z73" s="329">
        <f t="shared" si="3"/>
        <v>0</v>
      </c>
      <c r="AA73" s="32">
        <f t="shared" si="4"/>
        <v>0</v>
      </c>
      <c r="AB73" s="32">
        <f t="shared" si="5"/>
        <v>0</v>
      </c>
      <c r="AC73" s="32">
        <f t="shared" si="6"/>
        <v>0</v>
      </c>
      <c r="AD73" s="419"/>
    </row>
    <row r="74" ht="22.5" customHeight="1">
      <c r="A74" s="331" t="str">
        <f>Rooster!A75</f>
        <v/>
      </c>
      <c r="B74" s="396" t="str">
        <f>Rooster!B75</f>
        <v/>
      </c>
      <c r="C74" s="15" t="str">
        <f>Rooster!C75</f>
        <v/>
      </c>
      <c r="D74" s="11" t="str">
        <f>Rooster!D75</f>
        <v/>
      </c>
      <c r="E74" s="77"/>
      <c r="F74" s="327" t="str">
        <f>Rooster!E75</f>
        <v/>
      </c>
      <c r="G74" s="319" t="str">
        <f>IFERROR(VLOOKUP(F74, Docenten!$A$2:$G$30, 7, FALSE), "0")</f>
        <v>0</v>
      </c>
      <c r="H74" s="320">
        <f t="shared" si="7"/>
        <v>0</v>
      </c>
      <c r="I74" s="327" t="str">
        <f>Rooster!H75</f>
        <v/>
      </c>
      <c r="J74" s="321" t="str">
        <f>IFERROR(VLOOKUP(I74, Locaties!$A$2:$G$15, 7, FALSE), "0")</f>
        <v>0</v>
      </c>
      <c r="K74" s="42">
        <f t="shared" si="2"/>
        <v>0</v>
      </c>
      <c r="L74" s="322"/>
      <c r="M74" s="327" t="str">
        <f>Augustus!M74</f>
        <v/>
      </c>
      <c r="N74" s="321" t="str">
        <f>IFERROR(VLOOKUP(M74, Tarieven!$A$1:$J$150, 10, FALSE), "0")</f>
        <v>0</v>
      </c>
      <c r="O74" s="389"/>
      <c r="P74" s="390" t="str">
        <f>Augustus!P74</f>
        <v/>
      </c>
      <c r="Q74" s="325" t="str">
        <f>IFERROR(VLOOKUP(P74, Tarieven!$A$2:$J$150, 10, FALSE), "0")</f>
        <v>0</v>
      </c>
      <c r="R74" s="77"/>
      <c r="S74" s="327" t="str">
        <f>Augustus!S74</f>
        <v/>
      </c>
      <c r="T74" s="325" t="str">
        <f>IFERROR(VLOOKUP(S74, Tarieven!$A$2:$J$150, 10, FALSE), "0")</f>
        <v>0</v>
      </c>
      <c r="U74" s="77"/>
      <c r="V74" s="85"/>
      <c r="W74" s="325" t="str">
        <f>IFERROR(VLOOKUP(V74, Tarieven!$A$2:$J$150, 10, FALSE), "0")</f>
        <v>0</v>
      </c>
      <c r="X74" s="397">
        <f>Augustus!X74</f>
        <v>0</v>
      </c>
      <c r="Y74" s="398">
        <v>0.0</v>
      </c>
      <c r="Z74" s="329">
        <f t="shared" si="3"/>
        <v>0</v>
      </c>
      <c r="AA74" s="32">
        <f t="shared" si="4"/>
        <v>0</v>
      </c>
      <c r="AB74" s="32">
        <f t="shared" si="5"/>
        <v>0</v>
      </c>
      <c r="AC74" s="32">
        <f t="shared" si="6"/>
        <v>0</v>
      </c>
      <c r="AD74" s="419"/>
    </row>
    <row r="75" ht="22.5" customHeight="1">
      <c r="A75" s="331" t="str">
        <f>Rooster!A76</f>
        <v/>
      </c>
      <c r="B75" s="396" t="str">
        <f>Rooster!B76</f>
        <v/>
      </c>
      <c r="C75" s="15" t="str">
        <f>Rooster!C76</f>
        <v/>
      </c>
      <c r="D75" s="11" t="str">
        <f>Rooster!D76</f>
        <v/>
      </c>
      <c r="E75" s="77"/>
      <c r="F75" s="327" t="str">
        <f>Rooster!E76</f>
        <v/>
      </c>
      <c r="G75" s="319" t="str">
        <f>IFERROR(VLOOKUP(F75, Docenten!$A$2:$G$30, 7, FALSE), "0")</f>
        <v>0</v>
      </c>
      <c r="H75" s="320">
        <f t="shared" si="7"/>
        <v>0</v>
      </c>
      <c r="I75" s="327" t="str">
        <f>Rooster!H76</f>
        <v/>
      </c>
      <c r="J75" s="321" t="str">
        <f>IFERROR(VLOOKUP(I75, Locaties!$A$2:$G$15, 7, FALSE), "0")</f>
        <v>0</v>
      </c>
      <c r="K75" s="42">
        <f t="shared" si="2"/>
        <v>0</v>
      </c>
      <c r="L75" s="322"/>
      <c r="M75" s="327" t="str">
        <f>Augustus!M75</f>
        <v/>
      </c>
      <c r="N75" s="321" t="str">
        <f>IFERROR(VLOOKUP(M75, Tarieven!$A$1:$J$150, 10, FALSE), "0")</f>
        <v>0</v>
      </c>
      <c r="O75" s="386"/>
      <c r="P75" s="332" t="str">
        <f>Augustus!P75</f>
        <v/>
      </c>
      <c r="Q75" s="325" t="str">
        <f>IFERROR(VLOOKUP(P75, Tarieven!$A$2:$J$150, 10, FALSE), "0")</f>
        <v>0</v>
      </c>
      <c r="R75" s="77"/>
      <c r="S75" s="327" t="str">
        <f>Augustus!S75</f>
        <v/>
      </c>
      <c r="T75" s="325" t="str">
        <f>IFERROR(VLOOKUP(S75, Tarieven!$A$2:$J$150, 10, FALSE), "0")</f>
        <v>0</v>
      </c>
      <c r="U75" s="77"/>
      <c r="V75" s="85"/>
      <c r="W75" s="325" t="str">
        <f>IFERROR(VLOOKUP(V75, Tarieven!$A$2:$J$150, 10, FALSE), "0")</f>
        <v>0</v>
      </c>
      <c r="X75" s="397">
        <f>Augustus!X75</f>
        <v>0</v>
      </c>
      <c r="Y75" s="398">
        <v>0.0</v>
      </c>
      <c r="Z75" s="329">
        <f t="shared" si="3"/>
        <v>0</v>
      </c>
      <c r="AA75" s="32">
        <f t="shared" si="4"/>
        <v>0</v>
      </c>
      <c r="AB75" s="32">
        <f t="shared" si="5"/>
        <v>0</v>
      </c>
      <c r="AC75" s="32">
        <f t="shared" si="6"/>
        <v>0</v>
      </c>
      <c r="AD75" s="419"/>
    </row>
    <row r="76" ht="22.5" customHeight="1">
      <c r="A76" s="331" t="str">
        <f>Rooster!A77</f>
        <v/>
      </c>
      <c r="B76" s="396" t="str">
        <f>Rooster!B77</f>
        <v/>
      </c>
      <c r="C76" s="15" t="str">
        <f>Rooster!C77</f>
        <v/>
      </c>
      <c r="D76" s="11" t="str">
        <f>Rooster!D77</f>
        <v/>
      </c>
      <c r="E76" s="77"/>
      <c r="F76" s="327" t="str">
        <f>Rooster!E77</f>
        <v/>
      </c>
      <c r="G76" s="319" t="str">
        <f>IFERROR(VLOOKUP(F76, Docenten!$A$2:$G$30, 7, FALSE), "0")</f>
        <v>0</v>
      </c>
      <c r="H76" s="320">
        <f t="shared" si="7"/>
        <v>0</v>
      </c>
      <c r="I76" s="327" t="str">
        <f>Rooster!H77</f>
        <v/>
      </c>
      <c r="J76" s="321" t="str">
        <f>IFERROR(VLOOKUP(I76, Locaties!$A$2:$G$15, 7, FALSE), "0")</f>
        <v>0</v>
      </c>
      <c r="K76" s="42">
        <f t="shared" si="2"/>
        <v>0</v>
      </c>
      <c r="L76" s="322"/>
      <c r="M76" s="327" t="str">
        <f>Augustus!M76</f>
        <v/>
      </c>
      <c r="N76" s="321" t="str">
        <f>IFERROR(VLOOKUP(M76, Tarieven!$A$1:$J$150, 10, FALSE), "0")</f>
        <v>0</v>
      </c>
      <c r="O76" s="389"/>
      <c r="P76" s="390" t="str">
        <f>Augustus!P76</f>
        <v/>
      </c>
      <c r="Q76" s="325" t="str">
        <f>IFERROR(VLOOKUP(P76, Tarieven!$A$2:$J$150, 10, FALSE), "0")</f>
        <v>0</v>
      </c>
      <c r="R76" s="77"/>
      <c r="S76" s="327" t="str">
        <f>Augustus!S76</f>
        <v/>
      </c>
      <c r="T76" s="325" t="str">
        <f>IFERROR(VLOOKUP(S76, Tarieven!$A$2:$J$150, 10, FALSE), "0")</f>
        <v>0</v>
      </c>
      <c r="U76" s="77"/>
      <c r="V76" s="85"/>
      <c r="W76" s="325" t="str">
        <f>IFERROR(VLOOKUP(V76, Tarieven!$A$2:$J$150, 10, FALSE), "0")</f>
        <v>0</v>
      </c>
      <c r="X76" s="397">
        <f>Augustus!X76</f>
        <v>0</v>
      </c>
      <c r="Y76" s="398">
        <v>0.0</v>
      </c>
      <c r="Z76" s="329">
        <f t="shared" si="3"/>
        <v>0</v>
      </c>
      <c r="AA76" s="32">
        <f t="shared" si="4"/>
        <v>0</v>
      </c>
      <c r="AB76" s="32">
        <f t="shared" si="5"/>
        <v>0</v>
      </c>
      <c r="AC76" s="32">
        <f t="shared" si="6"/>
        <v>0</v>
      </c>
      <c r="AD76" s="419"/>
    </row>
    <row r="77" ht="22.5" customHeight="1">
      <c r="A77" s="331" t="str">
        <f>Rooster!A78</f>
        <v/>
      </c>
      <c r="B77" s="396" t="str">
        <f>Rooster!B78</f>
        <v/>
      </c>
      <c r="C77" s="15" t="str">
        <f>Rooster!C78</f>
        <v/>
      </c>
      <c r="D77" s="11" t="str">
        <f>Rooster!D78</f>
        <v/>
      </c>
      <c r="E77" s="77"/>
      <c r="F77" s="327" t="str">
        <f>Rooster!E78</f>
        <v/>
      </c>
      <c r="G77" s="319" t="str">
        <f>IFERROR(VLOOKUP(F77, Docenten!$A$2:$G$30, 7, FALSE), "0")</f>
        <v>0</v>
      </c>
      <c r="H77" s="320">
        <f t="shared" si="7"/>
        <v>0</v>
      </c>
      <c r="I77" s="327" t="str">
        <f>Rooster!H78</f>
        <v/>
      </c>
      <c r="J77" s="321" t="str">
        <f>IFERROR(VLOOKUP(I77, Locaties!$A$2:$G$15, 7, FALSE), "0")</f>
        <v>0</v>
      </c>
      <c r="K77" s="42">
        <f t="shared" si="2"/>
        <v>0</v>
      </c>
      <c r="L77" s="322"/>
      <c r="M77" s="327" t="str">
        <f>Augustus!M77</f>
        <v/>
      </c>
      <c r="N77" s="321" t="str">
        <f>IFERROR(VLOOKUP(M77, Tarieven!$A$1:$J$150, 10, FALSE), "0")</f>
        <v>0</v>
      </c>
      <c r="O77" s="386"/>
      <c r="P77" s="332" t="str">
        <f>Augustus!P77</f>
        <v/>
      </c>
      <c r="Q77" s="325" t="str">
        <f>IFERROR(VLOOKUP(P77, Tarieven!$A$2:$J$150, 10, FALSE), "0")</f>
        <v>0</v>
      </c>
      <c r="R77" s="77"/>
      <c r="S77" s="327" t="str">
        <f>Augustus!S77</f>
        <v/>
      </c>
      <c r="T77" s="325" t="str">
        <f>IFERROR(VLOOKUP(S77, Tarieven!$A$2:$J$150, 10, FALSE), "0")</f>
        <v>0</v>
      </c>
      <c r="U77" s="77"/>
      <c r="V77" s="85"/>
      <c r="W77" s="325" t="str">
        <f>IFERROR(VLOOKUP(V77, Tarieven!$A$2:$J$150, 10, FALSE), "0")</f>
        <v>0</v>
      </c>
      <c r="X77" s="397">
        <f>Augustus!X77</f>
        <v>0</v>
      </c>
      <c r="Y77" s="398">
        <v>0.0</v>
      </c>
      <c r="Z77" s="329">
        <f t="shared" si="3"/>
        <v>0</v>
      </c>
      <c r="AA77" s="32">
        <f t="shared" si="4"/>
        <v>0</v>
      </c>
      <c r="AB77" s="32">
        <f t="shared" si="5"/>
        <v>0</v>
      </c>
      <c r="AC77" s="32">
        <f t="shared" si="6"/>
        <v>0</v>
      </c>
      <c r="AD77" s="419"/>
    </row>
    <row r="78" ht="22.5" customHeight="1">
      <c r="A78" s="331" t="str">
        <f>Rooster!A79</f>
        <v/>
      </c>
      <c r="B78" s="396" t="str">
        <f>Rooster!B79</f>
        <v/>
      </c>
      <c r="C78" s="15" t="str">
        <f>Rooster!C79</f>
        <v/>
      </c>
      <c r="D78" s="11" t="str">
        <f>Rooster!D79</f>
        <v/>
      </c>
      <c r="E78" s="77"/>
      <c r="F78" s="327" t="str">
        <f>Rooster!E79</f>
        <v/>
      </c>
      <c r="G78" s="319" t="str">
        <f>IFERROR(VLOOKUP(F78, Docenten!$A$2:$G$30, 7, FALSE), "0")</f>
        <v>0</v>
      </c>
      <c r="H78" s="320">
        <f t="shared" si="7"/>
        <v>0</v>
      </c>
      <c r="I78" s="327" t="str">
        <f>Rooster!H79</f>
        <v/>
      </c>
      <c r="J78" s="321" t="str">
        <f>IFERROR(VLOOKUP(I78, Locaties!$A$2:$G$15, 7, FALSE), "0")</f>
        <v>0</v>
      </c>
      <c r="K78" s="42">
        <f t="shared" si="2"/>
        <v>0</v>
      </c>
      <c r="L78" s="322"/>
      <c r="M78" s="327" t="str">
        <f>Augustus!M78</f>
        <v/>
      </c>
      <c r="N78" s="321" t="str">
        <f>IFERROR(VLOOKUP(M78, Tarieven!$A$1:$J$150, 10, FALSE), "0")</f>
        <v>0</v>
      </c>
      <c r="O78" s="389"/>
      <c r="P78" s="390" t="str">
        <f>Augustus!P78</f>
        <v/>
      </c>
      <c r="Q78" s="325" t="str">
        <f>IFERROR(VLOOKUP(P78, Tarieven!$A$2:$J$150, 10, FALSE), "0")</f>
        <v>0</v>
      </c>
      <c r="R78" s="77"/>
      <c r="S78" s="327" t="str">
        <f>Augustus!S78</f>
        <v/>
      </c>
      <c r="T78" s="325" t="str">
        <f>IFERROR(VLOOKUP(S78, Tarieven!$A$2:$J$150, 10, FALSE), "0")</f>
        <v>0</v>
      </c>
      <c r="U78" s="77"/>
      <c r="V78" s="85"/>
      <c r="W78" s="325" t="str">
        <f>IFERROR(VLOOKUP(V78, Tarieven!$A$2:$J$150, 10, FALSE), "0")</f>
        <v>0</v>
      </c>
      <c r="X78" s="397">
        <f>Augustus!X78</f>
        <v>0</v>
      </c>
      <c r="Y78" s="398">
        <v>0.0</v>
      </c>
      <c r="Z78" s="329">
        <f t="shared" si="3"/>
        <v>0</v>
      </c>
      <c r="AA78" s="32">
        <f t="shared" si="4"/>
        <v>0</v>
      </c>
      <c r="AB78" s="32">
        <f t="shared" si="5"/>
        <v>0</v>
      </c>
      <c r="AC78" s="32">
        <f t="shared" si="6"/>
        <v>0</v>
      </c>
      <c r="AD78" s="419"/>
    </row>
    <row r="79" ht="22.5" customHeight="1">
      <c r="A79" s="331" t="str">
        <f>Rooster!A80</f>
        <v/>
      </c>
      <c r="B79" s="396" t="str">
        <f>Rooster!B80</f>
        <v/>
      </c>
      <c r="C79" s="15" t="str">
        <f>Rooster!C80</f>
        <v/>
      </c>
      <c r="D79" s="11" t="str">
        <f>Rooster!D80</f>
        <v/>
      </c>
      <c r="E79" s="77"/>
      <c r="F79" s="327" t="str">
        <f>Rooster!E80</f>
        <v/>
      </c>
      <c r="G79" s="319" t="str">
        <f>IFERROR(VLOOKUP(F79, Docenten!$A$2:$G$30, 7, FALSE), "0")</f>
        <v>0</v>
      </c>
      <c r="H79" s="320">
        <f t="shared" si="7"/>
        <v>0</v>
      </c>
      <c r="I79" s="327" t="str">
        <f>Rooster!H80</f>
        <v/>
      </c>
      <c r="J79" s="321" t="str">
        <f>IFERROR(VLOOKUP(I79, Locaties!$A$2:$G$15, 7, FALSE), "0")</f>
        <v>0</v>
      </c>
      <c r="K79" s="42">
        <f t="shared" si="2"/>
        <v>0</v>
      </c>
      <c r="L79" s="322"/>
      <c r="M79" s="327" t="str">
        <f>Augustus!M79</f>
        <v/>
      </c>
      <c r="N79" s="321" t="str">
        <f>IFERROR(VLOOKUP(M79, Tarieven!$A$1:$J$150, 10, FALSE), "0")</f>
        <v>0</v>
      </c>
      <c r="O79" s="386"/>
      <c r="P79" s="332" t="str">
        <f>Augustus!P79</f>
        <v/>
      </c>
      <c r="Q79" s="325" t="str">
        <f>IFERROR(VLOOKUP(P79, Tarieven!$A$2:$J$150, 10, FALSE), "0")</f>
        <v>0</v>
      </c>
      <c r="R79" s="77"/>
      <c r="S79" s="327" t="str">
        <f>Augustus!S79</f>
        <v/>
      </c>
      <c r="T79" s="325" t="str">
        <f>IFERROR(VLOOKUP(S79, Tarieven!$A$2:$J$150, 10, FALSE), "0")</f>
        <v>0</v>
      </c>
      <c r="U79" s="77"/>
      <c r="V79" s="85"/>
      <c r="W79" s="325" t="str">
        <f>IFERROR(VLOOKUP(V79, Tarieven!$A$2:$J$150, 10, FALSE), "0")</f>
        <v>0</v>
      </c>
      <c r="X79" s="397">
        <f>Augustus!X79</f>
        <v>0</v>
      </c>
      <c r="Y79" s="398">
        <v>0.0</v>
      </c>
      <c r="Z79" s="329">
        <f t="shared" si="3"/>
        <v>0</v>
      </c>
      <c r="AA79" s="32">
        <f t="shared" si="4"/>
        <v>0</v>
      </c>
      <c r="AB79" s="32">
        <f t="shared" si="5"/>
        <v>0</v>
      </c>
      <c r="AC79" s="32">
        <f t="shared" si="6"/>
        <v>0</v>
      </c>
      <c r="AD79" s="419"/>
    </row>
    <row r="80" ht="22.5" customHeight="1">
      <c r="A80" s="331" t="str">
        <f>Rooster!A81</f>
        <v/>
      </c>
      <c r="B80" s="396" t="str">
        <f>Rooster!B81</f>
        <v/>
      </c>
      <c r="C80" s="15" t="str">
        <f>Rooster!C81</f>
        <v/>
      </c>
      <c r="D80" s="11" t="str">
        <f>Rooster!D81</f>
        <v/>
      </c>
      <c r="E80" s="77"/>
      <c r="F80" s="327" t="str">
        <f>Rooster!E81</f>
        <v/>
      </c>
      <c r="G80" s="319" t="str">
        <f>IFERROR(VLOOKUP(F80, Docenten!$A$2:$G$30, 7, FALSE), "0")</f>
        <v>0</v>
      </c>
      <c r="H80" s="320">
        <f t="shared" si="7"/>
        <v>0</v>
      </c>
      <c r="I80" s="327" t="str">
        <f>Rooster!H81</f>
        <v/>
      </c>
      <c r="J80" s="321" t="str">
        <f>IFERROR(VLOOKUP(I80, Locaties!$A$2:$G$15, 7, FALSE), "0")</f>
        <v>0</v>
      </c>
      <c r="K80" s="42">
        <f t="shared" si="2"/>
        <v>0</v>
      </c>
      <c r="L80" s="322"/>
      <c r="M80" s="327" t="str">
        <f>Augustus!M80</f>
        <v/>
      </c>
      <c r="N80" s="321" t="str">
        <f>IFERROR(VLOOKUP(M80, Tarieven!$A$1:$J$150, 10, FALSE), "0")</f>
        <v>0</v>
      </c>
      <c r="O80" s="389"/>
      <c r="P80" s="390" t="str">
        <f>Augustus!P80</f>
        <v/>
      </c>
      <c r="Q80" s="325" t="str">
        <f>IFERROR(VLOOKUP(P80, Tarieven!$A$2:$J$150, 10, FALSE), "0")</f>
        <v>0</v>
      </c>
      <c r="R80" s="77"/>
      <c r="S80" s="327" t="str">
        <f>Augustus!S80</f>
        <v/>
      </c>
      <c r="T80" s="325" t="str">
        <f>IFERROR(VLOOKUP(S80, Tarieven!$A$2:$J$150, 10, FALSE), "0")</f>
        <v>0</v>
      </c>
      <c r="U80" s="77"/>
      <c r="V80" s="85"/>
      <c r="W80" s="325" t="str">
        <f>IFERROR(VLOOKUP(V80, Tarieven!$A$2:$J$150, 10, FALSE), "0")</f>
        <v>0</v>
      </c>
      <c r="X80" s="397">
        <f>Augustus!X80</f>
        <v>0</v>
      </c>
      <c r="Y80" s="398">
        <v>0.0</v>
      </c>
      <c r="Z80" s="329">
        <f t="shared" si="3"/>
        <v>0</v>
      </c>
      <c r="AA80" s="32">
        <f t="shared" si="4"/>
        <v>0</v>
      </c>
      <c r="AB80" s="32">
        <f t="shared" si="5"/>
        <v>0</v>
      </c>
      <c r="AC80" s="32">
        <f t="shared" si="6"/>
        <v>0</v>
      </c>
      <c r="AD80" s="419"/>
    </row>
    <row r="81" ht="22.5" customHeight="1">
      <c r="A81" s="331" t="str">
        <f>Rooster!A82</f>
        <v/>
      </c>
      <c r="B81" s="396" t="str">
        <f>Rooster!B82</f>
        <v/>
      </c>
      <c r="C81" s="15" t="str">
        <f>Rooster!C82</f>
        <v/>
      </c>
      <c r="D81" s="11" t="str">
        <f>Rooster!D82</f>
        <v/>
      </c>
      <c r="E81" s="77"/>
      <c r="F81" s="327" t="str">
        <f>Rooster!E82</f>
        <v/>
      </c>
      <c r="G81" s="319" t="str">
        <f>IFERROR(VLOOKUP(F81, Docenten!$A$2:$G$30, 7, FALSE), "0")</f>
        <v>0</v>
      </c>
      <c r="H81" s="320">
        <f t="shared" si="7"/>
        <v>0</v>
      </c>
      <c r="I81" s="327" t="str">
        <f>Rooster!H82</f>
        <v/>
      </c>
      <c r="J81" s="321" t="str">
        <f>IFERROR(VLOOKUP(I81, Locaties!$A$2:$G$15, 7, FALSE), "0")</f>
        <v>0</v>
      </c>
      <c r="K81" s="42">
        <f t="shared" si="2"/>
        <v>0</v>
      </c>
      <c r="L81" s="322"/>
      <c r="M81" s="327" t="str">
        <f>Augustus!M81</f>
        <v/>
      </c>
      <c r="N81" s="321" t="str">
        <f>IFERROR(VLOOKUP(M81, Tarieven!$A$1:$J$150, 10, FALSE), "0")</f>
        <v>0</v>
      </c>
      <c r="O81" s="386"/>
      <c r="P81" s="332" t="str">
        <f>Augustus!P81</f>
        <v/>
      </c>
      <c r="Q81" s="325" t="str">
        <f>IFERROR(VLOOKUP(P81, Tarieven!$A$2:$J$150, 10, FALSE), "0")</f>
        <v>0</v>
      </c>
      <c r="R81" s="77"/>
      <c r="S81" s="327" t="str">
        <f>Augustus!S81</f>
        <v/>
      </c>
      <c r="T81" s="325" t="str">
        <f>IFERROR(VLOOKUP(S81, Tarieven!$A$2:$J$150, 10, FALSE), "0")</f>
        <v>0</v>
      </c>
      <c r="U81" s="77"/>
      <c r="V81" s="85"/>
      <c r="W81" s="325" t="str">
        <f>IFERROR(VLOOKUP(V81, Tarieven!$A$2:$J$150, 10, FALSE), "0")</f>
        <v>0</v>
      </c>
      <c r="X81" s="397">
        <f>Augustus!X81</f>
        <v>0</v>
      </c>
      <c r="Y81" s="398">
        <v>0.0</v>
      </c>
      <c r="Z81" s="329">
        <f t="shared" si="3"/>
        <v>0</v>
      </c>
      <c r="AA81" s="32">
        <f t="shared" si="4"/>
        <v>0</v>
      </c>
      <c r="AB81" s="32">
        <f t="shared" si="5"/>
        <v>0</v>
      </c>
      <c r="AC81" s="32">
        <f t="shared" si="6"/>
        <v>0</v>
      </c>
      <c r="AD81" s="419"/>
    </row>
    <row r="82" ht="22.5" customHeight="1">
      <c r="A82" s="331" t="str">
        <f>Rooster!A83</f>
        <v/>
      </c>
      <c r="B82" s="396" t="str">
        <f>Rooster!B83</f>
        <v/>
      </c>
      <c r="C82" s="15" t="str">
        <f>Rooster!C83</f>
        <v/>
      </c>
      <c r="D82" s="11" t="str">
        <f>Rooster!D83</f>
        <v/>
      </c>
      <c r="E82" s="77"/>
      <c r="F82" s="327" t="str">
        <f>Rooster!E83</f>
        <v/>
      </c>
      <c r="G82" s="319" t="str">
        <f>IFERROR(VLOOKUP(F82, Docenten!$A$2:$G$30, 7, FALSE), "0")</f>
        <v>0</v>
      </c>
      <c r="H82" s="320">
        <f t="shared" si="7"/>
        <v>0</v>
      </c>
      <c r="I82" s="327" t="str">
        <f>Rooster!H83</f>
        <v/>
      </c>
      <c r="J82" s="321" t="str">
        <f>IFERROR(VLOOKUP(I82, Locaties!$A$2:$G$15, 7, FALSE), "0")</f>
        <v>0</v>
      </c>
      <c r="K82" s="42">
        <f t="shared" si="2"/>
        <v>0</v>
      </c>
      <c r="L82" s="322"/>
      <c r="M82" s="327" t="str">
        <f>Augustus!M82</f>
        <v/>
      </c>
      <c r="N82" s="321" t="str">
        <f>IFERROR(VLOOKUP(M82, Tarieven!$A$1:$J$150, 10, FALSE), "0")</f>
        <v>0</v>
      </c>
      <c r="O82" s="389"/>
      <c r="P82" s="390" t="str">
        <f>Augustus!P82</f>
        <v/>
      </c>
      <c r="Q82" s="325" t="str">
        <f>IFERROR(VLOOKUP(P82, Tarieven!$A$2:$J$150, 10, FALSE), "0")</f>
        <v>0</v>
      </c>
      <c r="R82" s="77"/>
      <c r="S82" s="327" t="str">
        <f>Augustus!S82</f>
        <v/>
      </c>
      <c r="T82" s="325" t="str">
        <f>IFERROR(VLOOKUP(S82, Tarieven!$A$2:$J$150, 10, FALSE), "0")</f>
        <v>0</v>
      </c>
      <c r="U82" s="77"/>
      <c r="V82" s="85"/>
      <c r="W82" s="325" t="str">
        <f>IFERROR(VLOOKUP(V82, Tarieven!$A$2:$J$150, 10, FALSE), "0")</f>
        <v>0</v>
      </c>
      <c r="X82" s="397">
        <f>Augustus!X82</f>
        <v>0</v>
      </c>
      <c r="Y82" s="398">
        <v>0.0</v>
      </c>
      <c r="Z82" s="329">
        <f t="shared" si="3"/>
        <v>0</v>
      </c>
      <c r="AA82" s="32">
        <f t="shared" si="4"/>
        <v>0</v>
      </c>
      <c r="AB82" s="32">
        <f t="shared" si="5"/>
        <v>0</v>
      </c>
      <c r="AC82" s="32">
        <f t="shared" si="6"/>
        <v>0</v>
      </c>
      <c r="AD82" s="419"/>
    </row>
    <row r="83" ht="22.5" customHeight="1">
      <c r="A83" s="331" t="str">
        <f>Rooster!A84</f>
        <v/>
      </c>
      <c r="B83" s="396" t="str">
        <f>Rooster!B84</f>
        <v/>
      </c>
      <c r="C83" s="15" t="str">
        <f>Rooster!C84</f>
        <v/>
      </c>
      <c r="D83" s="11" t="str">
        <f>Rooster!D84</f>
        <v/>
      </c>
      <c r="E83" s="77"/>
      <c r="F83" s="327" t="str">
        <f>Rooster!E84</f>
        <v/>
      </c>
      <c r="G83" s="319" t="str">
        <f>IFERROR(VLOOKUP(F83, Docenten!$A$2:$G$30, 7, FALSE), "0")</f>
        <v>0</v>
      </c>
      <c r="H83" s="320">
        <f t="shared" si="7"/>
        <v>0</v>
      </c>
      <c r="I83" s="327" t="str">
        <f>Rooster!H84</f>
        <v/>
      </c>
      <c r="J83" s="321" t="str">
        <f>IFERROR(VLOOKUP(I83, Locaties!$A$2:$G$15, 7, FALSE), "0")</f>
        <v>0</v>
      </c>
      <c r="K83" s="42">
        <f t="shared" si="2"/>
        <v>0</v>
      </c>
      <c r="L83" s="322"/>
      <c r="M83" s="327" t="str">
        <f>Augustus!M83</f>
        <v/>
      </c>
      <c r="N83" s="321" t="str">
        <f>IFERROR(VLOOKUP(M83, Tarieven!$A$1:$J$150, 10, FALSE), "0")</f>
        <v>0</v>
      </c>
      <c r="O83" s="323"/>
      <c r="P83" s="381" t="str">
        <f>Augustus!P83</f>
        <v/>
      </c>
      <c r="Q83" s="325" t="str">
        <f>IFERROR(VLOOKUP(P83, Tarieven!$A$2:$J$150, 10, FALSE), "0")</f>
        <v>0</v>
      </c>
      <c r="R83" s="77"/>
      <c r="S83" s="327" t="str">
        <f>Augustus!S83</f>
        <v/>
      </c>
      <c r="T83" s="325" t="str">
        <f>IFERROR(VLOOKUP(S83, Tarieven!$A$2:$J$150, 10, FALSE), "0")</f>
        <v>0</v>
      </c>
      <c r="U83" s="77"/>
      <c r="V83" s="85"/>
      <c r="W83" s="325" t="str">
        <f>IFERROR(VLOOKUP(V83, Tarieven!$A$2:$J$150, 10, FALSE), "0")</f>
        <v>0</v>
      </c>
      <c r="X83" s="397">
        <f>Augustus!X83</f>
        <v>0</v>
      </c>
      <c r="Y83" s="398">
        <v>0.0</v>
      </c>
      <c r="Z83" s="329">
        <f t="shared" si="3"/>
        <v>0</v>
      </c>
      <c r="AA83" s="32">
        <f t="shared" si="4"/>
        <v>0</v>
      </c>
      <c r="AB83" s="32">
        <f t="shared" si="5"/>
        <v>0</v>
      </c>
      <c r="AC83" s="32">
        <f t="shared" si="6"/>
        <v>0</v>
      </c>
      <c r="AD83" s="419"/>
    </row>
    <row r="84" ht="22.5" customHeight="1">
      <c r="A84" s="331" t="str">
        <f>Rooster!A85</f>
        <v/>
      </c>
      <c r="B84" s="396" t="str">
        <f>Rooster!B85</f>
        <v/>
      </c>
      <c r="C84" s="15" t="str">
        <f>Rooster!C85</f>
        <v/>
      </c>
      <c r="D84" s="11" t="str">
        <f>Rooster!D85</f>
        <v/>
      </c>
      <c r="E84" s="77"/>
      <c r="F84" s="327" t="str">
        <f>Rooster!E85</f>
        <v/>
      </c>
      <c r="G84" s="319" t="str">
        <f>IFERROR(VLOOKUP(F84, Docenten!$A$2:$G$30, 7, FALSE), "0")</f>
        <v>0</v>
      </c>
      <c r="H84" s="320">
        <f t="shared" si="7"/>
        <v>0</v>
      </c>
      <c r="I84" s="327" t="str">
        <f>Rooster!H85</f>
        <v/>
      </c>
      <c r="J84" s="321" t="str">
        <f>IFERROR(VLOOKUP(I84, Locaties!$A$2:$G$15, 7, FALSE), "0")</f>
        <v>0</v>
      </c>
      <c r="K84" s="42">
        <f t="shared" si="2"/>
        <v>0</v>
      </c>
      <c r="L84" s="322"/>
      <c r="M84" s="327" t="str">
        <f>Augustus!M84</f>
        <v/>
      </c>
      <c r="N84" s="321" t="str">
        <f>IFERROR(VLOOKUP(M84, Tarieven!$A$1:$J$150, 10, FALSE), "0")</f>
        <v>0</v>
      </c>
      <c r="O84" s="323"/>
      <c r="P84" s="381" t="str">
        <f>Augustus!P84</f>
        <v/>
      </c>
      <c r="Q84" s="325" t="str">
        <f>IFERROR(VLOOKUP(P84, Tarieven!$A$2:$J$150, 10, FALSE), "0")</f>
        <v>0</v>
      </c>
      <c r="R84" s="77"/>
      <c r="S84" s="327" t="str">
        <f>Augustus!S84</f>
        <v/>
      </c>
      <c r="T84" s="325" t="str">
        <f>IFERROR(VLOOKUP(S84, Tarieven!$A$2:$J$150, 10, FALSE), "0")</f>
        <v>0</v>
      </c>
      <c r="U84" s="77"/>
      <c r="V84" s="85"/>
      <c r="W84" s="325" t="str">
        <f>IFERROR(VLOOKUP(V84, Tarieven!$A$2:$J$150, 10, FALSE), "0")</f>
        <v>0</v>
      </c>
      <c r="X84" s="397">
        <f>Augustus!X84</f>
        <v>0</v>
      </c>
      <c r="Y84" s="398">
        <v>0.0</v>
      </c>
      <c r="Z84" s="329">
        <f t="shared" si="3"/>
        <v>0</v>
      </c>
      <c r="AA84" s="32">
        <f t="shared" si="4"/>
        <v>0</v>
      </c>
      <c r="AB84" s="32">
        <f t="shared" si="5"/>
        <v>0</v>
      </c>
      <c r="AC84" s="32">
        <f t="shared" si="6"/>
        <v>0</v>
      </c>
      <c r="AD84" s="419"/>
    </row>
    <row r="85" ht="22.5" customHeight="1">
      <c r="A85" s="331" t="str">
        <f>Rooster!A86</f>
        <v/>
      </c>
      <c r="B85" s="396" t="str">
        <f>Rooster!B86</f>
        <v/>
      </c>
      <c r="C85" s="15" t="str">
        <f>Rooster!C86</f>
        <v/>
      </c>
      <c r="D85" s="11" t="str">
        <f>Rooster!D86</f>
        <v/>
      </c>
      <c r="E85" s="77"/>
      <c r="F85" s="327" t="str">
        <f>Rooster!E86</f>
        <v/>
      </c>
      <c r="G85" s="319" t="str">
        <f>IFERROR(VLOOKUP(F85, Docenten!$A$2:$G$30, 7, FALSE), "0")</f>
        <v>0</v>
      </c>
      <c r="H85" s="320">
        <f t="shared" si="7"/>
        <v>0</v>
      </c>
      <c r="I85" s="327" t="str">
        <f>Rooster!H86</f>
        <v/>
      </c>
      <c r="J85" s="321" t="str">
        <f>IFERROR(VLOOKUP(I85, Locaties!$A$2:$G$15, 7, FALSE), "0")</f>
        <v>0</v>
      </c>
      <c r="K85" s="42">
        <f t="shared" si="2"/>
        <v>0</v>
      </c>
      <c r="L85" s="322"/>
      <c r="M85" s="327" t="str">
        <f>Augustus!M85</f>
        <v/>
      </c>
      <c r="N85" s="321" t="str">
        <f>IFERROR(VLOOKUP(M85, Tarieven!$A$1:$J$150, 10, FALSE), "0")</f>
        <v>0</v>
      </c>
      <c r="O85" s="323"/>
      <c r="P85" s="381" t="str">
        <f>Augustus!P85</f>
        <v/>
      </c>
      <c r="Q85" s="325" t="str">
        <f>IFERROR(VLOOKUP(P85, Tarieven!$A$2:$J$150, 10, FALSE), "0")</f>
        <v>0</v>
      </c>
      <c r="R85" s="77"/>
      <c r="S85" s="327" t="str">
        <f>Augustus!S85</f>
        <v/>
      </c>
      <c r="T85" s="325" t="str">
        <f>IFERROR(VLOOKUP(S85, Tarieven!$A$2:$J$150, 10, FALSE), "0")</f>
        <v>0</v>
      </c>
      <c r="U85" s="77"/>
      <c r="V85" s="85"/>
      <c r="W85" s="325" t="str">
        <f>IFERROR(VLOOKUP(V85, Tarieven!$A$2:$J$150, 10, FALSE), "0")</f>
        <v>0</v>
      </c>
      <c r="X85" s="397">
        <f>Augustus!X85</f>
        <v>0</v>
      </c>
      <c r="Y85" s="398">
        <v>0.0</v>
      </c>
      <c r="Z85" s="329">
        <f t="shared" si="3"/>
        <v>0</v>
      </c>
      <c r="AA85" s="32">
        <f t="shared" si="4"/>
        <v>0</v>
      </c>
      <c r="AB85" s="32">
        <f t="shared" si="5"/>
        <v>0</v>
      </c>
      <c r="AC85" s="32">
        <f t="shared" si="6"/>
        <v>0</v>
      </c>
      <c r="AD85" s="419"/>
    </row>
    <row r="86" ht="22.5" customHeight="1">
      <c r="A86" s="331" t="str">
        <f>Rooster!A87</f>
        <v/>
      </c>
      <c r="B86" s="396" t="str">
        <f>Rooster!B87</f>
        <v/>
      </c>
      <c r="C86" s="15" t="str">
        <f>Rooster!C87</f>
        <v/>
      </c>
      <c r="D86" s="11" t="str">
        <f>Rooster!D87</f>
        <v/>
      </c>
      <c r="E86" s="77"/>
      <c r="F86" s="327" t="str">
        <f>Rooster!E87</f>
        <v/>
      </c>
      <c r="G86" s="319" t="str">
        <f>IFERROR(VLOOKUP(F86, Docenten!$A$2:$G$30, 7, FALSE), "0")</f>
        <v>0</v>
      </c>
      <c r="H86" s="320">
        <f t="shared" si="7"/>
        <v>0</v>
      </c>
      <c r="I86" s="327" t="str">
        <f>Rooster!H87</f>
        <v/>
      </c>
      <c r="J86" s="321" t="str">
        <f>IFERROR(VLOOKUP(I86, Locaties!$A$2:$G$15, 7, FALSE), "0")</f>
        <v>0</v>
      </c>
      <c r="K86" s="42">
        <f t="shared" si="2"/>
        <v>0</v>
      </c>
      <c r="L86" s="322"/>
      <c r="M86" s="327" t="str">
        <f>Augustus!M86</f>
        <v/>
      </c>
      <c r="N86" s="321" t="str">
        <f>IFERROR(VLOOKUP(M86, Tarieven!$A$1:$J$150, 10, FALSE), "0")</f>
        <v>0</v>
      </c>
      <c r="O86" s="323"/>
      <c r="P86" s="381" t="str">
        <f>Augustus!P86</f>
        <v/>
      </c>
      <c r="Q86" s="325" t="str">
        <f>IFERROR(VLOOKUP(P86, Tarieven!$A$2:$J$150, 10, FALSE), "0")</f>
        <v>0</v>
      </c>
      <c r="R86" s="77"/>
      <c r="S86" s="327" t="str">
        <f>Augustus!S86</f>
        <v/>
      </c>
      <c r="T86" s="325" t="str">
        <f>IFERROR(VLOOKUP(S86, Tarieven!$A$2:$J$150, 10, FALSE), "0")</f>
        <v>0</v>
      </c>
      <c r="U86" s="77"/>
      <c r="V86" s="85"/>
      <c r="W86" s="325" t="str">
        <f>IFERROR(VLOOKUP(V86, Tarieven!$A$2:$J$150, 10, FALSE), "0")</f>
        <v>0</v>
      </c>
      <c r="X86" s="397">
        <f>Augustus!X86</f>
        <v>0</v>
      </c>
      <c r="Y86" s="398">
        <v>0.0</v>
      </c>
      <c r="Z86" s="329">
        <f t="shared" si="3"/>
        <v>0</v>
      </c>
      <c r="AA86" s="32">
        <f t="shared" si="4"/>
        <v>0</v>
      </c>
      <c r="AB86" s="32">
        <f t="shared" si="5"/>
        <v>0</v>
      </c>
      <c r="AC86" s="32">
        <f t="shared" si="6"/>
        <v>0</v>
      </c>
      <c r="AD86" s="419"/>
    </row>
    <row r="87" ht="22.5" customHeight="1">
      <c r="A87" s="331" t="str">
        <f>Rooster!A88</f>
        <v/>
      </c>
      <c r="B87" s="396" t="str">
        <f>Rooster!B88</f>
        <v/>
      </c>
      <c r="C87" s="15" t="str">
        <f>Rooster!C88</f>
        <v/>
      </c>
      <c r="D87" s="11" t="str">
        <f>Rooster!D88</f>
        <v/>
      </c>
      <c r="E87" s="77"/>
      <c r="F87" s="327" t="str">
        <f>Rooster!E88</f>
        <v/>
      </c>
      <c r="G87" s="319" t="str">
        <f>IFERROR(VLOOKUP(F87, Docenten!$A$2:$G$30, 7, FALSE), "0")</f>
        <v>0</v>
      </c>
      <c r="H87" s="320">
        <f t="shared" si="7"/>
        <v>0</v>
      </c>
      <c r="I87" s="327" t="str">
        <f>Rooster!H88</f>
        <v/>
      </c>
      <c r="J87" s="321" t="str">
        <f>IFERROR(VLOOKUP(I87, Locaties!$A$2:$G$15, 7, FALSE), "0")</f>
        <v>0</v>
      </c>
      <c r="K87" s="42">
        <f t="shared" si="2"/>
        <v>0</v>
      </c>
      <c r="L87" s="322"/>
      <c r="M87" s="327" t="str">
        <f>Augustus!M87</f>
        <v/>
      </c>
      <c r="N87" s="321" t="str">
        <f>IFERROR(VLOOKUP(M87, Tarieven!$A$1:$J$150, 10, FALSE), "0")</f>
        <v>0</v>
      </c>
      <c r="O87" s="323"/>
      <c r="P87" s="381" t="str">
        <f>Augustus!P87</f>
        <v/>
      </c>
      <c r="Q87" s="325" t="str">
        <f>IFERROR(VLOOKUP(P87, Tarieven!$A$2:$J$150, 10, FALSE), "0")</f>
        <v>0</v>
      </c>
      <c r="R87" s="77"/>
      <c r="S87" s="327" t="str">
        <f>Augustus!S87</f>
        <v/>
      </c>
      <c r="T87" s="325" t="str">
        <f>IFERROR(VLOOKUP(S87, Tarieven!$A$2:$J$150, 10, FALSE), "0")</f>
        <v>0</v>
      </c>
      <c r="U87" s="77"/>
      <c r="V87" s="85"/>
      <c r="W87" s="325" t="str">
        <f>IFERROR(VLOOKUP(V87, Tarieven!$A$2:$J$150, 10, FALSE), "0")</f>
        <v>0</v>
      </c>
      <c r="X87" s="397">
        <f>Augustus!X87</f>
        <v>0</v>
      </c>
      <c r="Y87" s="398">
        <v>0.0</v>
      </c>
      <c r="Z87" s="329">
        <f t="shared" si="3"/>
        <v>0</v>
      </c>
      <c r="AA87" s="32">
        <f t="shared" si="4"/>
        <v>0</v>
      </c>
      <c r="AB87" s="32">
        <f t="shared" si="5"/>
        <v>0</v>
      </c>
      <c r="AC87" s="32">
        <f t="shared" si="6"/>
        <v>0</v>
      </c>
      <c r="AD87" s="419"/>
    </row>
    <row r="88" ht="22.5" customHeight="1">
      <c r="A88" s="331" t="str">
        <f>Rooster!A89</f>
        <v/>
      </c>
      <c r="B88" s="396" t="str">
        <f>Rooster!B89</f>
        <v/>
      </c>
      <c r="C88" s="15" t="str">
        <f>Rooster!C89</f>
        <v/>
      </c>
      <c r="D88" s="11" t="str">
        <f>Rooster!D89</f>
        <v/>
      </c>
      <c r="E88" s="77"/>
      <c r="F88" s="327" t="str">
        <f>Rooster!E89</f>
        <v/>
      </c>
      <c r="G88" s="319" t="str">
        <f>IFERROR(VLOOKUP(F88, Docenten!$A$2:$G$30, 7, FALSE), "0")</f>
        <v>0</v>
      </c>
      <c r="H88" s="320">
        <f t="shared" si="7"/>
        <v>0</v>
      </c>
      <c r="I88" s="327" t="str">
        <f>Rooster!H89</f>
        <v/>
      </c>
      <c r="J88" s="321" t="str">
        <f>IFERROR(VLOOKUP(I88, Locaties!$A$2:$G$15, 7, FALSE), "0")</f>
        <v>0</v>
      </c>
      <c r="K88" s="42">
        <f t="shared" si="2"/>
        <v>0</v>
      </c>
      <c r="L88" s="322"/>
      <c r="M88" s="327" t="str">
        <f>Augustus!M88</f>
        <v/>
      </c>
      <c r="N88" s="321" t="str">
        <f>IFERROR(VLOOKUP(M88, Tarieven!$A$1:$J$150, 10, FALSE), "0")</f>
        <v>0</v>
      </c>
      <c r="O88" s="323"/>
      <c r="P88" s="381" t="str">
        <f>Augustus!P88</f>
        <v/>
      </c>
      <c r="Q88" s="325" t="str">
        <f>IFERROR(VLOOKUP(P88, Tarieven!$A$2:$J$150, 10, FALSE), "0")</f>
        <v>0</v>
      </c>
      <c r="R88" s="77"/>
      <c r="S88" s="327" t="str">
        <f>Augustus!S88</f>
        <v/>
      </c>
      <c r="T88" s="325" t="str">
        <f>IFERROR(VLOOKUP(S88, Tarieven!$A$2:$J$150, 10, FALSE), "0")</f>
        <v>0</v>
      </c>
      <c r="U88" s="77"/>
      <c r="V88" s="85"/>
      <c r="W88" s="325" t="str">
        <f>IFERROR(VLOOKUP(V88, Tarieven!$A$2:$J$150, 10, FALSE), "0")</f>
        <v>0</v>
      </c>
      <c r="X88" s="397">
        <f>Augustus!X88</f>
        <v>0</v>
      </c>
      <c r="Y88" s="398">
        <v>0.0</v>
      </c>
      <c r="Z88" s="329">
        <f t="shared" si="3"/>
        <v>0</v>
      </c>
      <c r="AA88" s="32">
        <f t="shared" si="4"/>
        <v>0</v>
      </c>
      <c r="AB88" s="32">
        <f t="shared" si="5"/>
        <v>0</v>
      </c>
      <c r="AC88" s="32">
        <f t="shared" si="6"/>
        <v>0</v>
      </c>
      <c r="AD88" s="419"/>
    </row>
    <row r="89" ht="22.5" customHeight="1">
      <c r="A89" s="331" t="str">
        <f>Rooster!A90</f>
        <v/>
      </c>
      <c r="B89" s="396" t="str">
        <f>Rooster!B90</f>
        <v/>
      </c>
      <c r="C89" s="15" t="str">
        <f>Rooster!C90</f>
        <v/>
      </c>
      <c r="D89" s="11" t="str">
        <f>Rooster!D90</f>
        <v/>
      </c>
      <c r="E89" s="77"/>
      <c r="F89" s="327" t="str">
        <f>Rooster!E90</f>
        <v/>
      </c>
      <c r="G89" s="319" t="str">
        <f>IFERROR(VLOOKUP(F89, Docenten!$A$2:$G$30, 7, FALSE), "0")</f>
        <v>0</v>
      </c>
      <c r="H89" s="320">
        <f t="shared" si="7"/>
        <v>0</v>
      </c>
      <c r="I89" s="327" t="str">
        <f>Rooster!H90</f>
        <v/>
      </c>
      <c r="J89" s="321" t="str">
        <f>IFERROR(VLOOKUP(I89, Locaties!$A$2:$G$15, 7, FALSE), "0")</f>
        <v>0</v>
      </c>
      <c r="K89" s="42">
        <f t="shared" si="2"/>
        <v>0</v>
      </c>
      <c r="L89" s="322"/>
      <c r="M89" s="327" t="str">
        <f>Augustus!M89</f>
        <v/>
      </c>
      <c r="N89" s="321" t="str">
        <f>IFERROR(VLOOKUP(M89, Tarieven!$A$1:$J$150, 10, FALSE), "0")</f>
        <v>0</v>
      </c>
      <c r="O89" s="323"/>
      <c r="P89" s="381" t="str">
        <f>Augustus!P89</f>
        <v/>
      </c>
      <c r="Q89" s="325" t="str">
        <f>IFERROR(VLOOKUP(P89, Tarieven!$A$2:$J$150, 10, FALSE), "0")</f>
        <v>0</v>
      </c>
      <c r="R89" s="77"/>
      <c r="S89" s="327" t="str">
        <f>Augustus!S89</f>
        <v/>
      </c>
      <c r="T89" s="325" t="str">
        <f>IFERROR(VLOOKUP(S89, Tarieven!$A$2:$J$150, 10, FALSE), "0")</f>
        <v>0</v>
      </c>
      <c r="U89" s="77"/>
      <c r="V89" s="85"/>
      <c r="W89" s="325" t="str">
        <f>IFERROR(VLOOKUP(V89, Tarieven!$A$2:$J$150, 10, FALSE), "0")</f>
        <v>0</v>
      </c>
      <c r="X89" s="397">
        <f>Augustus!X89</f>
        <v>0</v>
      </c>
      <c r="Y89" s="398">
        <v>0.0</v>
      </c>
      <c r="Z89" s="329">
        <f t="shared" si="3"/>
        <v>0</v>
      </c>
      <c r="AA89" s="32">
        <f t="shared" si="4"/>
        <v>0</v>
      </c>
      <c r="AB89" s="32">
        <f t="shared" si="5"/>
        <v>0</v>
      </c>
      <c r="AC89" s="32">
        <f t="shared" si="6"/>
        <v>0</v>
      </c>
      <c r="AD89" s="419"/>
    </row>
    <row r="90" ht="22.5" customHeight="1">
      <c r="A90" s="331" t="str">
        <f>Rooster!A91</f>
        <v/>
      </c>
      <c r="B90" s="396" t="str">
        <f>Rooster!B91</f>
        <v/>
      </c>
      <c r="C90" s="15" t="str">
        <f>Rooster!C91</f>
        <v/>
      </c>
      <c r="D90" s="11" t="str">
        <f>Rooster!D91</f>
        <v/>
      </c>
      <c r="E90" s="77"/>
      <c r="F90" s="327" t="str">
        <f>Rooster!E91</f>
        <v/>
      </c>
      <c r="G90" s="319" t="str">
        <f>IFERROR(VLOOKUP(F90, Docenten!$A$2:$G$30, 7, FALSE), "0")</f>
        <v>0</v>
      </c>
      <c r="H90" s="320">
        <f t="shared" si="7"/>
        <v>0</v>
      </c>
      <c r="I90" s="327" t="str">
        <f>Rooster!H91</f>
        <v/>
      </c>
      <c r="J90" s="321" t="str">
        <f>IFERROR(VLOOKUP(I90, Locaties!$A$2:$G$15, 7, FALSE), "0")</f>
        <v>0</v>
      </c>
      <c r="K90" s="42">
        <f t="shared" si="2"/>
        <v>0</v>
      </c>
      <c r="L90" s="322"/>
      <c r="M90" s="327" t="str">
        <f>Augustus!M90</f>
        <v/>
      </c>
      <c r="N90" s="321" t="str">
        <f>IFERROR(VLOOKUP(M90, Tarieven!$A$1:$J$150, 10, FALSE), "0")</f>
        <v>0</v>
      </c>
      <c r="O90" s="323"/>
      <c r="P90" s="381" t="str">
        <f>Augustus!P90</f>
        <v/>
      </c>
      <c r="Q90" s="325" t="str">
        <f>IFERROR(VLOOKUP(P90, Tarieven!$A$2:$J$150, 10, FALSE), "0")</f>
        <v>0</v>
      </c>
      <c r="R90" s="77"/>
      <c r="S90" s="327" t="str">
        <f>Augustus!S90</f>
        <v/>
      </c>
      <c r="T90" s="325" t="str">
        <f>IFERROR(VLOOKUP(S90, Tarieven!$A$2:$J$150, 10, FALSE), "0")</f>
        <v>0</v>
      </c>
      <c r="U90" s="77"/>
      <c r="V90" s="85"/>
      <c r="W90" s="325" t="str">
        <f>IFERROR(VLOOKUP(V90, Tarieven!$A$2:$J$150, 10, FALSE), "0")</f>
        <v>0</v>
      </c>
      <c r="X90" s="397">
        <f>Augustus!X90</f>
        <v>0</v>
      </c>
      <c r="Y90" s="398">
        <v>0.0</v>
      </c>
      <c r="Z90" s="329">
        <f t="shared" si="3"/>
        <v>0</v>
      </c>
      <c r="AA90" s="32">
        <f t="shared" si="4"/>
        <v>0</v>
      </c>
      <c r="AB90" s="32">
        <f t="shared" si="5"/>
        <v>0</v>
      </c>
      <c r="AC90" s="32">
        <f t="shared" si="6"/>
        <v>0</v>
      </c>
      <c r="AD90" s="419"/>
    </row>
    <row r="91" ht="22.5" customHeight="1">
      <c r="A91" s="331" t="str">
        <f>Rooster!A92</f>
        <v/>
      </c>
      <c r="B91" s="396" t="str">
        <f>Rooster!B92</f>
        <v/>
      </c>
      <c r="C91" s="15" t="str">
        <f>Rooster!C92</f>
        <v/>
      </c>
      <c r="D91" s="11" t="str">
        <f>Rooster!D92</f>
        <v/>
      </c>
      <c r="E91" s="77"/>
      <c r="F91" s="327" t="str">
        <f>Rooster!E92</f>
        <v/>
      </c>
      <c r="G91" s="319" t="str">
        <f>IFERROR(VLOOKUP(F91, Docenten!$A$2:$G$30, 7, FALSE), "0")</f>
        <v>0</v>
      </c>
      <c r="H91" s="320">
        <f t="shared" si="7"/>
        <v>0</v>
      </c>
      <c r="I91" s="327" t="str">
        <f>Rooster!H92</f>
        <v/>
      </c>
      <c r="J91" s="321" t="str">
        <f>IFERROR(VLOOKUP(I91, Locaties!$A$2:$G$15, 7, FALSE), "0")</f>
        <v>0</v>
      </c>
      <c r="K91" s="42">
        <f t="shared" si="2"/>
        <v>0</v>
      </c>
      <c r="L91" s="322"/>
      <c r="M91" s="327" t="str">
        <f>Augustus!M91</f>
        <v/>
      </c>
      <c r="N91" s="321" t="str">
        <f>IFERROR(VLOOKUP(M91, Tarieven!$A$1:$J$150, 10, FALSE), "0")</f>
        <v>0</v>
      </c>
      <c r="O91" s="323"/>
      <c r="P91" s="381" t="str">
        <f>Augustus!P91</f>
        <v/>
      </c>
      <c r="Q91" s="325" t="str">
        <f>IFERROR(VLOOKUP(P91, Tarieven!$A$2:$J$150, 10, FALSE), "0")</f>
        <v>0</v>
      </c>
      <c r="R91" s="77"/>
      <c r="S91" s="327" t="str">
        <f>Augustus!S91</f>
        <v/>
      </c>
      <c r="T91" s="325" t="str">
        <f>IFERROR(VLOOKUP(S91, Tarieven!$A$2:$J$150, 10, FALSE), "0")</f>
        <v>0</v>
      </c>
      <c r="U91" s="77"/>
      <c r="V91" s="85"/>
      <c r="W91" s="325" t="str">
        <f>IFERROR(VLOOKUP(V91, Tarieven!$A$2:$J$150, 10, FALSE), "0")</f>
        <v>0</v>
      </c>
      <c r="X91" s="397">
        <f>Augustus!X91</f>
        <v>0</v>
      </c>
      <c r="Y91" s="398">
        <v>0.0</v>
      </c>
      <c r="Z91" s="329">
        <f t="shared" si="3"/>
        <v>0</v>
      </c>
      <c r="AA91" s="32">
        <f t="shared" si="4"/>
        <v>0</v>
      </c>
      <c r="AB91" s="32">
        <f t="shared" si="5"/>
        <v>0</v>
      </c>
      <c r="AC91" s="32">
        <f t="shared" si="6"/>
        <v>0</v>
      </c>
      <c r="AD91" s="419"/>
    </row>
    <row r="92" ht="22.5" customHeight="1">
      <c r="A92" s="331" t="str">
        <f>Rooster!A93</f>
        <v/>
      </c>
      <c r="B92" s="396" t="str">
        <f>Rooster!B93</f>
        <v/>
      </c>
      <c r="C92" s="15" t="str">
        <f>Rooster!C93</f>
        <v/>
      </c>
      <c r="D92" s="11" t="str">
        <f>Rooster!D93</f>
        <v/>
      </c>
      <c r="E92" s="77"/>
      <c r="F92" s="327" t="str">
        <f>Rooster!E93</f>
        <v/>
      </c>
      <c r="G92" s="319" t="str">
        <f>IFERROR(VLOOKUP(F92, Docenten!$A$2:$G$30, 7, FALSE), "0")</f>
        <v>0</v>
      </c>
      <c r="H92" s="320">
        <f t="shared" si="7"/>
        <v>0</v>
      </c>
      <c r="I92" s="327" t="str">
        <f>Rooster!H93</f>
        <v/>
      </c>
      <c r="J92" s="321" t="str">
        <f>IFERROR(VLOOKUP(I92, Locaties!$A$2:$G$15, 7, FALSE), "0")</f>
        <v>0</v>
      </c>
      <c r="K92" s="42">
        <f t="shared" si="2"/>
        <v>0</v>
      </c>
      <c r="L92" s="322"/>
      <c r="M92" s="327" t="str">
        <f>Augustus!M92</f>
        <v/>
      </c>
      <c r="N92" s="321" t="str">
        <f>IFERROR(VLOOKUP(M92, Tarieven!$A$1:$J$150, 10, FALSE), "0")</f>
        <v>0</v>
      </c>
      <c r="O92" s="323"/>
      <c r="P92" s="381" t="str">
        <f>Augustus!P92</f>
        <v/>
      </c>
      <c r="Q92" s="325" t="str">
        <f>IFERROR(VLOOKUP(P92, Tarieven!$A$2:$J$150, 10, FALSE), "0")</f>
        <v>0</v>
      </c>
      <c r="R92" s="77"/>
      <c r="S92" s="327" t="str">
        <f>Augustus!S92</f>
        <v/>
      </c>
      <c r="T92" s="325" t="str">
        <f>IFERROR(VLOOKUP(S92, Tarieven!$A$2:$J$150, 10, FALSE), "0")</f>
        <v>0</v>
      </c>
      <c r="U92" s="77"/>
      <c r="V92" s="85"/>
      <c r="W92" s="325" t="str">
        <f>IFERROR(VLOOKUP(V92, Tarieven!$A$2:$J$150, 10, FALSE), "0")</f>
        <v>0</v>
      </c>
      <c r="X92" s="397">
        <f>Augustus!X92</f>
        <v>0</v>
      </c>
      <c r="Y92" s="398">
        <v>0.0</v>
      </c>
      <c r="Z92" s="329">
        <f t="shared" si="3"/>
        <v>0</v>
      </c>
      <c r="AA92" s="32">
        <f t="shared" si="4"/>
        <v>0</v>
      </c>
      <c r="AB92" s="32">
        <f t="shared" si="5"/>
        <v>0</v>
      </c>
      <c r="AC92" s="32">
        <f t="shared" si="6"/>
        <v>0</v>
      </c>
      <c r="AD92" s="419"/>
    </row>
    <row r="93" ht="22.5" customHeight="1">
      <c r="A93" s="331" t="str">
        <f>Rooster!A94</f>
        <v/>
      </c>
      <c r="B93" s="396" t="str">
        <f>Rooster!B94</f>
        <v/>
      </c>
      <c r="C93" s="15" t="str">
        <f>Rooster!C94</f>
        <v/>
      </c>
      <c r="D93" s="11" t="str">
        <f>Rooster!D94</f>
        <v/>
      </c>
      <c r="E93" s="77"/>
      <c r="F93" s="327" t="str">
        <f>Rooster!E94</f>
        <v/>
      </c>
      <c r="G93" s="319" t="str">
        <f>IFERROR(VLOOKUP(F93, Docenten!$A$2:$G$30, 7, FALSE), "0")</f>
        <v>0</v>
      </c>
      <c r="H93" s="320">
        <f t="shared" si="7"/>
        <v>0</v>
      </c>
      <c r="I93" s="327" t="str">
        <f>Rooster!H94</f>
        <v/>
      </c>
      <c r="J93" s="321" t="str">
        <f>IFERROR(VLOOKUP(I93, Locaties!$A$2:$G$15, 7, FALSE), "0")</f>
        <v>0</v>
      </c>
      <c r="K93" s="42">
        <f t="shared" si="2"/>
        <v>0</v>
      </c>
      <c r="L93" s="322"/>
      <c r="M93" s="327" t="str">
        <f>Augustus!M93</f>
        <v/>
      </c>
      <c r="N93" s="321" t="str">
        <f>IFERROR(VLOOKUP(M93, Tarieven!$A$1:$J$150, 10, FALSE), "0")</f>
        <v>0</v>
      </c>
      <c r="O93" s="323"/>
      <c r="P93" s="381" t="str">
        <f>Augustus!P93</f>
        <v/>
      </c>
      <c r="Q93" s="325" t="str">
        <f>IFERROR(VLOOKUP(P93, Tarieven!$A$2:$J$150, 10, FALSE), "0")</f>
        <v>0</v>
      </c>
      <c r="R93" s="77"/>
      <c r="S93" s="327" t="str">
        <f>Augustus!S93</f>
        <v/>
      </c>
      <c r="T93" s="325" t="str">
        <f>IFERROR(VLOOKUP(S93, Tarieven!$A$2:$J$150, 10, FALSE), "0")</f>
        <v>0</v>
      </c>
      <c r="U93" s="77"/>
      <c r="V93" s="85"/>
      <c r="W93" s="325" t="str">
        <f>IFERROR(VLOOKUP(V93, Tarieven!$A$2:$J$150, 10, FALSE), "0")</f>
        <v>0</v>
      </c>
      <c r="X93" s="397">
        <f>Augustus!X93</f>
        <v>0</v>
      </c>
      <c r="Y93" s="398">
        <v>0.0</v>
      </c>
      <c r="Z93" s="329">
        <f t="shared" si="3"/>
        <v>0</v>
      </c>
      <c r="AA93" s="32">
        <f t="shared" si="4"/>
        <v>0</v>
      </c>
      <c r="AB93" s="32">
        <f t="shared" si="5"/>
        <v>0</v>
      </c>
      <c r="AC93" s="32">
        <f t="shared" si="6"/>
        <v>0</v>
      </c>
      <c r="AD93" s="419"/>
    </row>
    <row r="94" ht="22.5" customHeight="1">
      <c r="A94" s="331" t="str">
        <f>Rooster!A95</f>
        <v/>
      </c>
      <c r="B94" s="396" t="str">
        <f>Rooster!B95</f>
        <v/>
      </c>
      <c r="C94" s="15" t="str">
        <f>Rooster!C95</f>
        <v/>
      </c>
      <c r="D94" s="11" t="str">
        <f>Rooster!D95</f>
        <v/>
      </c>
      <c r="E94" s="77"/>
      <c r="F94" s="327" t="str">
        <f>Rooster!E95</f>
        <v/>
      </c>
      <c r="G94" s="319" t="str">
        <f>IFERROR(VLOOKUP(F94, Docenten!$A$2:$G$30, 7, FALSE), "0")</f>
        <v>0</v>
      </c>
      <c r="H94" s="320">
        <f t="shared" si="7"/>
        <v>0</v>
      </c>
      <c r="I94" s="327" t="str">
        <f>Rooster!H95</f>
        <v/>
      </c>
      <c r="J94" s="321" t="str">
        <f>IFERROR(VLOOKUP(I94, Locaties!$A$2:$G$15, 7, FALSE), "0")</f>
        <v>0</v>
      </c>
      <c r="K94" s="42">
        <f t="shared" si="2"/>
        <v>0</v>
      </c>
      <c r="L94" s="322"/>
      <c r="M94" s="327" t="str">
        <f>Augustus!M94</f>
        <v/>
      </c>
      <c r="N94" s="321" t="str">
        <f>IFERROR(VLOOKUP(M94, Tarieven!$A$1:$J$150, 10, FALSE), "0")</f>
        <v>0</v>
      </c>
      <c r="O94" s="323"/>
      <c r="P94" s="381" t="str">
        <f>Augustus!P94</f>
        <v/>
      </c>
      <c r="Q94" s="325" t="str">
        <f>IFERROR(VLOOKUP(P94, Tarieven!$A$2:$J$150, 10, FALSE), "0")</f>
        <v>0</v>
      </c>
      <c r="R94" s="77"/>
      <c r="S94" s="327" t="str">
        <f>Augustus!S94</f>
        <v/>
      </c>
      <c r="T94" s="325" t="str">
        <f>IFERROR(VLOOKUP(S94, Tarieven!$A$2:$J$150, 10, FALSE), "0")</f>
        <v>0</v>
      </c>
      <c r="U94" s="77"/>
      <c r="V94" s="85"/>
      <c r="W94" s="325" t="str">
        <f>IFERROR(VLOOKUP(V94, Tarieven!$A$2:$J$150, 10, FALSE), "0")</f>
        <v>0</v>
      </c>
      <c r="X94" s="397">
        <f>Augustus!X94</f>
        <v>0</v>
      </c>
      <c r="Y94" s="398">
        <v>0.0</v>
      </c>
      <c r="Z94" s="329">
        <f t="shared" si="3"/>
        <v>0</v>
      </c>
      <c r="AA94" s="32">
        <f t="shared" si="4"/>
        <v>0</v>
      </c>
      <c r="AB94" s="32">
        <f t="shared" si="5"/>
        <v>0</v>
      </c>
      <c r="AC94" s="32">
        <f t="shared" si="6"/>
        <v>0</v>
      </c>
      <c r="AD94" s="419"/>
    </row>
    <row r="95" ht="22.5" customHeight="1">
      <c r="A95" s="331" t="str">
        <f>Rooster!A96</f>
        <v/>
      </c>
      <c r="B95" s="396" t="str">
        <f>Rooster!B96</f>
        <v/>
      </c>
      <c r="C95" s="15" t="str">
        <f>Rooster!C96</f>
        <v/>
      </c>
      <c r="D95" s="11" t="str">
        <f>Rooster!D96</f>
        <v/>
      </c>
      <c r="E95" s="77"/>
      <c r="F95" s="327" t="str">
        <f>Rooster!E96</f>
        <v/>
      </c>
      <c r="G95" s="319" t="str">
        <f>IFERROR(VLOOKUP(F95, Docenten!$A$2:$G$30, 7, FALSE), "0")</f>
        <v>0</v>
      </c>
      <c r="H95" s="320">
        <f t="shared" si="7"/>
        <v>0</v>
      </c>
      <c r="I95" s="327" t="str">
        <f>Rooster!H96</f>
        <v/>
      </c>
      <c r="J95" s="321" t="str">
        <f>IFERROR(VLOOKUP(I95, Locaties!$A$2:$G$15, 7, FALSE), "0")</f>
        <v>0</v>
      </c>
      <c r="K95" s="42">
        <f t="shared" si="2"/>
        <v>0</v>
      </c>
      <c r="L95" s="322"/>
      <c r="M95" s="327" t="str">
        <f>Augustus!M95</f>
        <v/>
      </c>
      <c r="N95" s="321" t="str">
        <f>IFERROR(VLOOKUP(M95, Tarieven!$A$1:$J$150, 10, FALSE), "0")</f>
        <v>0</v>
      </c>
      <c r="O95" s="323"/>
      <c r="P95" s="381" t="str">
        <f>Augustus!P95</f>
        <v/>
      </c>
      <c r="Q95" s="325" t="str">
        <f>IFERROR(VLOOKUP(P95, Tarieven!$A$2:$J$150, 10, FALSE), "0")</f>
        <v>0</v>
      </c>
      <c r="R95" s="77"/>
      <c r="S95" s="327" t="str">
        <f>Augustus!S95</f>
        <v/>
      </c>
      <c r="T95" s="325" t="str">
        <f>IFERROR(VLOOKUP(S95, Tarieven!$A$2:$J$150, 10, FALSE), "0")</f>
        <v>0</v>
      </c>
      <c r="U95" s="77"/>
      <c r="V95" s="85"/>
      <c r="W95" s="325" t="str">
        <f>IFERROR(VLOOKUP(V95, Tarieven!$A$2:$J$150, 10, FALSE), "0")</f>
        <v>0</v>
      </c>
      <c r="X95" s="397">
        <f>Augustus!X95</f>
        <v>0</v>
      </c>
      <c r="Y95" s="398">
        <v>0.0</v>
      </c>
      <c r="Z95" s="329">
        <f t="shared" si="3"/>
        <v>0</v>
      </c>
      <c r="AA95" s="32">
        <f t="shared" si="4"/>
        <v>0</v>
      </c>
      <c r="AB95" s="32">
        <f t="shared" si="5"/>
        <v>0</v>
      </c>
      <c r="AC95" s="32">
        <f t="shared" si="6"/>
        <v>0</v>
      </c>
      <c r="AD95" s="419"/>
    </row>
    <row r="96" ht="22.5" customHeight="1">
      <c r="A96" s="331" t="str">
        <f>Rooster!A97</f>
        <v/>
      </c>
      <c r="B96" s="396" t="str">
        <f>Rooster!B97</f>
        <v/>
      </c>
      <c r="C96" s="15" t="str">
        <f>Rooster!C97</f>
        <v/>
      </c>
      <c r="D96" s="11" t="str">
        <f>Rooster!D97</f>
        <v/>
      </c>
      <c r="E96" s="77"/>
      <c r="F96" s="327" t="str">
        <f>Rooster!E97</f>
        <v/>
      </c>
      <c r="G96" s="319" t="str">
        <f>IFERROR(VLOOKUP(F96, Docenten!$A$2:$G$30, 7, FALSE), "0")</f>
        <v>0</v>
      </c>
      <c r="H96" s="320">
        <f t="shared" si="7"/>
        <v>0</v>
      </c>
      <c r="I96" s="327" t="str">
        <f>Rooster!H97</f>
        <v/>
      </c>
      <c r="J96" s="321" t="str">
        <f>IFERROR(VLOOKUP(I96, Locaties!$A$2:$G$15, 7, FALSE), "0")</f>
        <v>0</v>
      </c>
      <c r="K96" s="42">
        <f t="shared" si="2"/>
        <v>0</v>
      </c>
      <c r="L96" s="322"/>
      <c r="M96" s="327" t="str">
        <f>Augustus!M96</f>
        <v/>
      </c>
      <c r="N96" s="321" t="str">
        <f>IFERROR(VLOOKUP(M96, Tarieven!$A$1:$J$150, 10, FALSE), "0")</f>
        <v>0</v>
      </c>
      <c r="O96" s="323"/>
      <c r="P96" s="381" t="str">
        <f>Augustus!P96</f>
        <v/>
      </c>
      <c r="Q96" s="325" t="str">
        <f>IFERROR(VLOOKUP(P96, Tarieven!$A$2:$J$150, 10, FALSE), "0")</f>
        <v>0</v>
      </c>
      <c r="R96" s="77"/>
      <c r="S96" s="327" t="str">
        <f>Augustus!S96</f>
        <v/>
      </c>
      <c r="T96" s="325" t="str">
        <f>IFERROR(VLOOKUP(S96, Tarieven!$A$2:$J$150, 10, FALSE), "0")</f>
        <v>0</v>
      </c>
      <c r="U96" s="77"/>
      <c r="V96" s="85"/>
      <c r="W96" s="325" t="str">
        <f>IFERROR(VLOOKUP(V96, Tarieven!$A$2:$J$150, 10, FALSE), "0")</f>
        <v>0</v>
      </c>
      <c r="X96" s="397">
        <f>Augustus!X96</f>
        <v>0</v>
      </c>
      <c r="Y96" s="398">
        <v>0.0</v>
      </c>
      <c r="Z96" s="329">
        <f t="shared" si="3"/>
        <v>0</v>
      </c>
      <c r="AA96" s="32">
        <f t="shared" si="4"/>
        <v>0</v>
      </c>
      <c r="AB96" s="32">
        <f t="shared" si="5"/>
        <v>0</v>
      </c>
      <c r="AC96" s="32">
        <f t="shared" si="6"/>
        <v>0</v>
      </c>
      <c r="AD96" s="419"/>
    </row>
    <row r="97" ht="22.5" customHeight="1">
      <c r="A97" s="331" t="str">
        <f>Rooster!A98</f>
        <v/>
      </c>
      <c r="B97" s="396" t="str">
        <f>Rooster!B98</f>
        <v/>
      </c>
      <c r="C97" s="15" t="str">
        <f>Rooster!C98</f>
        <v/>
      </c>
      <c r="D97" s="11" t="str">
        <f>Rooster!D98</f>
        <v/>
      </c>
      <c r="E97" s="77"/>
      <c r="F97" s="327" t="str">
        <f>Rooster!E98</f>
        <v/>
      </c>
      <c r="G97" s="319" t="str">
        <f>IFERROR(VLOOKUP(F97, Docenten!$A$2:$G$30, 7, FALSE), "0")</f>
        <v>0</v>
      </c>
      <c r="H97" s="320">
        <f t="shared" si="7"/>
        <v>0</v>
      </c>
      <c r="I97" s="327" t="str">
        <f>Rooster!H98</f>
        <v/>
      </c>
      <c r="J97" s="321" t="str">
        <f>IFERROR(VLOOKUP(I97, Locaties!$A$2:$G$15, 7, FALSE), "0")</f>
        <v>0</v>
      </c>
      <c r="K97" s="42">
        <f t="shared" si="2"/>
        <v>0</v>
      </c>
      <c r="L97" s="322"/>
      <c r="M97" s="327" t="str">
        <f>Augustus!M97</f>
        <v/>
      </c>
      <c r="N97" s="321" t="str">
        <f>IFERROR(VLOOKUP(M97, Tarieven!$A$1:$J$150, 10, FALSE), "0")</f>
        <v>0</v>
      </c>
      <c r="O97" s="323"/>
      <c r="P97" s="381" t="str">
        <f>Augustus!P97</f>
        <v/>
      </c>
      <c r="Q97" s="325" t="str">
        <f>IFERROR(VLOOKUP(P97, Tarieven!$A$2:$J$150, 10, FALSE), "0")</f>
        <v>0</v>
      </c>
      <c r="R97" s="77"/>
      <c r="S97" s="327" t="str">
        <f>Augustus!S97</f>
        <v/>
      </c>
      <c r="T97" s="325" t="str">
        <f>IFERROR(VLOOKUP(S97, Tarieven!$A$2:$J$150, 10, FALSE), "0")</f>
        <v>0</v>
      </c>
      <c r="U97" s="77"/>
      <c r="V97" s="85"/>
      <c r="W97" s="325" t="str">
        <f>IFERROR(VLOOKUP(V97, Tarieven!$A$2:$J$150, 10, FALSE), "0")</f>
        <v>0</v>
      </c>
      <c r="X97" s="397">
        <f>Augustus!X97</f>
        <v>0</v>
      </c>
      <c r="Y97" s="398">
        <v>0.0</v>
      </c>
      <c r="Z97" s="329">
        <f t="shared" si="3"/>
        <v>0</v>
      </c>
      <c r="AA97" s="32">
        <f t="shared" si="4"/>
        <v>0</v>
      </c>
      <c r="AB97" s="32">
        <f t="shared" si="5"/>
        <v>0</v>
      </c>
      <c r="AC97" s="32">
        <f t="shared" si="6"/>
        <v>0</v>
      </c>
      <c r="AD97" s="419"/>
    </row>
    <row r="98" ht="22.5" customHeight="1">
      <c r="A98" s="331" t="str">
        <f>Rooster!A99</f>
        <v/>
      </c>
      <c r="B98" s="396" t="str">
        <f>Rooster!B99</f>
        <v/>
      </c>
      <c r="C98" s="15" t="str">
        <f>Rooster!C99</f>
        <v/>
      </c>
      <c r="D98" s="11" t="str">
        <f>Rooster!D99</f>
        <v/>
      </c>
      <c r="E98" s="77"/>
      <c r="F98" s="327" t="str">
        <f>Rooster!E99</f>
        <v/>
      </c>
      <c r="G98" s="319" t="str">
        <f>IFERROR(VLOOKUP(F98, Docenten!$A$2:$G$30, 7, FALSE), "0")</f>
        <v>0</v>
      </c>
      <c r="H98" s="320">
        <f t="shared" si="7"/>
        <v>0</v>
      </c>
      <c r="I98" s="327" t="str">
        <f>Rooster!H99</f>
        <v/>
      </c>
      <c r="J98" s="321" t="str">
        <f>IFERROR(VLOOKUP(I98, Locaties!$A$2:$G$15, 7, FALSE), "0")</f>
        <v>0</v>
      </c>
      <c r="K98" s="42">
        <f t="shared" si="2"/>
        <v>0</v>
      </c>
      <c r="L98" s="322"/>
      <c r="M98" s="327" t="str">
        <f>Augustus!M98</f>
        <v/>
      </c>
      <c r="N98" s="321" t="str">
        <f>IFERROR(VLOOKUP(M98, Tarieven!$A$1:$J$150, 10, FALSE), "0")</f>
        <v>0</v>
      </c>
      <c r="O98" s="323"/>
      <c r="P98" s="381" t="str">
        <f>Augustus!P98</f>
        <v/>
      </c>
      <c r="Q98" s="325" t="str">
        <f>IFERROR(VLOOKUP(P98, Tarieven!$A$2:$J$150, 10, FALSE), "0")</f>
        <v>0</v>
      </c>
      <c r="R98" s="77"/>
      <c r="S98" s="327" t="str">
        <f>Augustus!S98</f>
        <v/>
      </c>
      <c r="T98" s="325" t="str">
        <f>IFERROR(VLOOKUP(S98, Tarieven!$A$2:$J$150, 10, FALSE), "0")</f>
        <v>0</v>
      </c>
      <c r="U98" s="77"/>
      <c r="V98" s="85"/>
      <c r="W98" s="325" t="str">
        <f>IFERROR(VLOOKUP(V98, Tarieven!$A$2:$J$150, 10, FALSE), "0")</f>
        <v>0</v>
      </c>
      <c r="X98" s="397">
        <f>Augustus!X98</f>
        <v>0</v>
      </c>
      <c r="Y98" s="398">
        <v>0.0</v>
      </c>
      <c r="Z98" s="329">
        <f t="shared" si="3"/>
        <v>0</v>
      </c>
      <c r="AA98" s="32">
        <f t="shared" si="4"/>
        <v>0</v>
      </c>
      <c r="AB98" s="32">
        <f t="shared" si="5"/>
        <v>0</v>
      </c>
      <c r="AC98" s="32">
        <f t="shared" si="6"/>
        <v>0</v>
      </c>
      <c r="AD98" s="419"/>
    </row>
    <row r="99" ht="22.5" customHeight="1">
      <c r="A99" s="331" t="str">
        <f>Rooster!A100</f>
        <v/>
      </c>
      <c r="B99" s="396" t="str">
        <f>Rooster!B100</f>
        <v/>
      </c>
      <c r="C99" s="15" t="str">
        <f>Rooster!C100</f>
        <v/>
      </c>
      <c r="D99" s="11" t="str">
        <f>Rooster!D100</f>
        <v/>
      </c>
      <c r="E99" s="77"/>
      <c r="F99" s="327" t="str">
        <f>Rooster!E100</f>
        <v/>
      </c>
      <c r="G99" s="319" t="str">
        <f>IFERROR(VLOOKUP(F99, Docenten!$A$2:$G$30, 7, FALSE), "0")</f>
        <v>0</v>
      </c>
      <c r="H99" s="320">
        <f t="shared" si="7"/>
        <v>0</v>
      </c>
      <c r="I99" s="327" t="str">
        <f>Rooster!H100</f>
        <v/>
      </c>
      <c r="J99" s="321" t="str">
        <f>IFERROR(VLOOKUP(I99, Locaties!$A$2:$G$15, 7, FALSE), "0")</f>
        <v>0</v>
      </c>
      <c r="K99" s="42">
        <f t="shared" si="2"/>
        <v>0</v>
      </c>
      <c r="L99" s="322"/>
      <c r="M99" s="327" t="str">
        <f>Augustus!M99</f>
        <v/>
      </c>
      <c r="N99" s="321" t="str">
        <f>IFERROR(VLOOKUP(M99, Tarieven!$A$1:$J$150, 10, FALSE), "0")</f>
        <v>0</v>
      </c>
      <c r="O99" s="323"/>
      <c r="P99" s="381" t="str">
        <f>Augustus!P99</f>
        <v/>
      </c>
      <c r="Q99" s="325" t="str">
        <f>IFERROR(VLOOKUP(P99, Tarieven!$A$2:$J$150, 10, FALSE), "0")</f>
        <v>0</v>
      </c>
      <c r="R99" s="77"/>
      <c r="S99" s="327" t="str">
        <f>Augustus!S99</f>
        <v/>
      </c>
      <c r="T99" s="325" t="str">
        <f>IFERROR(VLOOKUP(S99, Tarieven!$A$2:$J$150, 10, FALSE), "0")</f>
        <v>0</v>
      </c>
      <c r="U99" s="77"/>
      <c r="V99" s="85"/>
      <c r="W99" s="325" t="str">
        <f>IFERROR(VLOOKUP(V99, Tarieven!$A$2:$J$150, 10, FALSE), "0")</f>
        <v>0</v>
      </c>
      <c r="X99" s="397">
        <f>Augustus!X99</f>
        <v>0</v>
      </c>
      <c r="Y99" s="398">
        <v>0.0</v>
      </c>
      <c r="Z99" s="329">
        <f t="shared" si="3"/>
        <v>0</v>
      </c>
      <c r="AA99" s="32">
        <f t="shared" si="4"/>
        <v>0</v>
      </c>
      <c r="AB99" s="32">
        <f t="shared" si="5"/>
        <v>0</v>
      </c>
      <c r="AC99" s="32">
        <f t="shared" si="6"/>
        <v>0</v>
      </c>
      <c r="AD99" s="419"/>
    </row>
    <row r="100" ht="22.5" customHeight="1">
      <c r="A100" s="331" t="str">
        <f>Rooster!A101</f>
        <v/>
      </c>
      <c r="B100" s="396" t="str">
        <f>Rooster!B101</f>
        <v/>
      </c>
      <c r="C100" s="15" t="str">
        <f>Rooster!C101</f>
        <v/>
      </c>
      <c r="D100" s="11" t="str">
        <f>Rooster!D101</f>
        <v/>
      </c>
      <c r="E100" s="77"/>
      <c r="F100" s="327" t="str">
        <f>Rooster!E101</f>
        <v/>
      </c>
      <c r="G100" s="319" t="str">
        <f>IFERROR(VLOOKUP(F100, Docenten!$A$2:$G$30, 7, FALSE), "0")</f>
        <v>0</v>
      </c>
      <c r="H100" s="320">
        <f t="shared" si="7"/>
        <v>0</v>
      </c>
      <c r="I100" s="327" t="str">
        <f>Rooster!H101</f>
        <v/>
      </c>
      <c r="J100" s="321" t="str">
        <f>IFERROR(VLOOKUP(I100, Locaties!$A$2:$G$15, 7, FALSE), "0")</f>
        <v>0</v>
      </c>
      <c r="K100" s="42">
        <f t="shared" si="2"/>
        <v>0</v>
      </c>
      <c r="L100" s="322"/>
      <c r="M100" s="327" t="str">
        <f>Augustus!M100</f>
        <v/>
      </c>
      <c r="N100" s="321" t="str">
        <f>IFERROR(VLOOKUP(M100, Tarieven!$A$1:$J$150, 10, FALSE), "0")</f>
        <v>0</v>
      </c>
      <c r="O100" s="323"/>
      <c r="P100" s="381" t="str">
        <f>Augustus!P100</f>
        <v/>
      </c>
      <c r="Q100" s="325" t="str">
        <f>IFERROR(VLOOKUP(P100, Tarieven!$A$2:$J$150, 10, FALSE), "0")</f>
        <v>0</v>
      </c>
      <c r="R100" s="77"/>
      <c r="S100" s="327" t="str">
        <f>Augustus!S100</f>
        <v/>
      </c>
      <c r="T100" s="325" t="str">
        <f>IFERROR(VLOOKUP(S100, Tarieven!$A$2:$J$150, 10, FALSE), "0")</f>
        <v>0</v>
      </c>
      <c r="U100" s="77"/>
      <c r="V100" s="85"/>
      <c r="W100" s="325" t="str">
        <f>IFERROR(VLOOKUP(V100, Tarieven!$A$2:$J$150, 10, FALSE), "0")</f>
        <v>0</v>
      </c>
      <c r="X100" s="397">
        <f>Augustus!X100</f>
        <v>0</v>
      </c>
      <c r="Y100" s="398">
        <v>0.0</v>
      </c>
      <c r="Z100" s="329">
        <f t="shared" si="3"/>
        <v>0</v>
      </c>
      <c r="AA100" s="32">
        <f t="shared" si="4"/>
        <v>0</v>
      </c>
      <c r="AB100" s="32">
        <f t="shared" si="5"/>
        <v>0</v>
      </c>
      <c r="AC100" s="32">
        <f t="shared" si="6"/>
        <v>0</v>
      </c>
      <c r="AD100" s="419"/>
    </row>
    <row r="101" ht="22.5" customHeight="1">
      <c r="A101" s="331" t="str">
        <f>Rooster!A102</f>
        <v/>
      </c>
      <c r="B101" s="396" t="str">
        <f>Rooster!B102</f>
        <v/>
      </c>
      <c r="C101" s="15" t="str">
        <f>Rooster!C102</f>
        <v/>
      </c>
      <c r="D101" s="11" t="str">
        <f>Rooster!D102</f>
        <v/>
      </c>
      <c r="E101" s="426"/>
      <c r="F101" s="331" t="str">
        <f>Rooster!E102</f>
        <v/>
      </c>
      <c r="G101" s="319" t="str">
        <f>IFERROR(VLOOKUP(F101, Docenten!$A$2:$G$30, 7, FALSE), "0")</f>
        <v>0</v>
      </c>
      <c r="H101" s="320">
        <f t="shared" si="7"/>
        <v>0</v>
      </c>
      <c r="I101" s="331" t="str">
        <f>Rooster!H102</f>
        <v/>
      </c>
      <c r="J101" s="321" t="str">
        <f>IFERROR(VLOOKUP(I101, Locaties!$A$2:$G$15, 7, FALSE), "0")</f>
        <v>0</v>
      </c>
      <c r="K101" s="42">
        <f t="shared" si="2"/>
        <v>0</v>
      </c>
      <c r="L101" s="445">
        <f>SUM(L2:L100)</f>
        <v>90</v>
      </c>
      <c r="M101" s="446"/>
      <c r="N101" s="321" t="str">
        <f>IFERROR(VLOOKUP(M101, Tarieven!$A$1:$J$150, 10, FALSE), "0")</f>
        <v>0</v>
      </c>
      <c r="O101" s="445">
        <f>SUM(O2:O100)</f>
        <v>53</v>
      </c>
      <c r="P101" s="447"/>
      <c r="Q101" s="325" t="str">
        <f>IFERROR(VLOOKUP(P101, Tarieven!$A$2:$J$150, 10, FALSE), "0")</f>
        <v>0</v>
      </c>
      <c r="R101" s="448">
        <f>SUM(R2:R100)</f>
        <v>24</v>
      </c>
      <c r="S101" s="446"/>
      <c r="T101" s="325" t="str">
        <f>IFERROR(VLOOKUP(S101, Tarieven!$A$2:$J$150, 10, FALSE), "0")</f>
        <v>0</v>
      </c>
      <c r="U101" s="413">
        <f>SUM(U2:U100)</f>
        <v>0</v>
      </c>
      <c r="V101" s="85"/>
      <c r="W101" s="325" t="str">
        <f>IFERROR(VLOOKUP(V101, Tarieven!$A$2:$J$150, 10, FALSE), "0")</f>
        <v>0</v>
      </c>
      <c r="X101" s="413">
        <f>Augustus!X101</f>
        <v>220</v>
      </c>
      <c r="Y101" s="398">
        <v>0.0</v>
      </c>
      <c r="Z101" s="329">
        <f>SUM(Z2:Z100)</f>
        <v>387</v>
      </c>
      <c r="AA101" s="32">
        <f t="shared" si="4"/>
        <v>0</v>
      </c>
      <c r="AB101" s="32">
        <f t="shared" si="5"/>
        <v>0</v>
      </c>
      <c r="AC101" s="32">
        <f t="shared" si="6"/>
        <v>0</v>
      </c>
      <c r="AD101" s="419"/>
      <c r="AE101" s="449"/>
      <c r="AF101" s="449"/>
      <c r="AG101" s="449"/>
      <c r="AH101" s="449"/>
      <c r="AI101" s="449"/>
      <c r="AJ101" s="449"/>
      <c r="AK101" s="449"/>
      <c r="AL101" s="449"/>
      <c r="AM101" s="449"/>
      <c r="AN101" s="449"/>
      <c r="AO101" s="449"/>
      <c r="AP101" s="449"/>
      <c r="AQ101" s="449"/>
      <c r="AR101" s="449"/>
      <c r="AS101" s="449"/>
      <c r="AT101" s="449"/>
      <c r="AU101" s="449"/>
      <c r="AV101" s="449"/>
    </row>
  </sheetData>
  <conditionalFormatting sqref="AG7">
    <cfRule type="cellIs" dxfId="7" priority="1" operator="lessThan">
      <formula>0</formula>
    </cfRule>
  </conditionalFormatting>
  <conditionalFormatting sqref="AC2:AC101">
    <cfRule type="cellIs" dxfId="7" priority="2" operator="lessThan">
      <formula>0</formula>
    </cfRule>
  </conditionalFormatting>
  <dataValidations>
    <dataValidation type="list" allowBlank="1" sqref="A2:A101">
      <formula1>"Maandag,Dinsdag,Woensdag,Donderdag,Vrijdag,Zaterdag,Zondag"</formula1>
    </dataValidation>
    <dataValidation type="custom" allowBlank="1" showDropDown="1" sqref="B2:B101">
      <formula1>OR(TIMEVALUE(TEXT(B2, "hh:mm:ss"))=B2, AND(ISNUMBER(B2), LEFT(CELL("format", B2))="D"))</formula1>
    </dataValidation>
    <dataValidation type="custom" allowBlank="1" showDropDown="1" sqref="L2:L101 N2:N101 AA2:AB101">
      <formula1>AND(ISNUMBER(L2),(NOT(OR(NOT(ISERROR(DATEVALUE(L2))), AND(ISNUMBER(L2), LEFT(CELL("format", L2))="D")))))</formula1>
    </dataValidation>
    <dataValidation type="list" allowBlank="1" sqref="F2:F101 I2:I101 M2:M101 P2:P101 S2:S101 V2:V101">
      <formula1>#REF!</formula1>
    </dataValidation>
    <dataValidation allowBlank="1" showDropDown="1" sqref="D2:D101"/>
    <dataValidation type="custom" allowBlank="1" showDropDown="1" sqref="C2:C101 E2:E101 G2:H101 J2:K101 O2:O101 Q2:R101 T2:U101 W2:Z101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5.33"/>
    <col customWidth="1" min="2" max="2" width="13.67"/>
    <col customWidth="1" min="3" max="3" width="14.22"/>
    <col customWidth="1" min="4" max="4" width="22.0"/>
    <col customWidth="1" min="5" max="5" width="17.11"/>
    <col customWidth="1" min="6" max="6" width="15.11"/>
    <col customWidth="1" hidden="1" min="7" max="7" width="15.11"/>
    <col customWidth="1" min="8" max="9" width="15.11"/>
    <col customWidth="1" hidden="1" min="10" max="10" width="15.44"/>
    <col customWidth="1" min="11" max="11" width="15.44"/>
    <col customWidth="1" min="12" max="12" width="17.56"/>
    <col customWidth="1" min="13" max="13" width="20.0"/>
    <col customWidth="1" min="14" max="14" width="16.78"/>
    <col customWidth="1" min="15" max="15" width="17.56"/>
    <col customWidth="1" min="16" max="16" width="20.0"/>
    <col customWidth="1" min="17" max="17" width="14.78"/>
    <col customWidth="1" min="18" max="18" width="17.56"/>
    <col customWidth="1" min="19" max="19" width="20.0"/>
    <col customWidth="1" min="20" max="20" width="13.78"/>
    <col customWidth="1" min="21" max="21" width="16.67"/>
    <col customWidth="1" min="22" max="22" width="18.56"/>
    <col customWidth="1" min="23" max="23" width="13.78"/>
    <col customWidth="1" min="24" max="24" width="23.11"/>
    <col customWidth="1" min="25" max="25" width="20.56"/>
    <col customWidth="1" min="26" max="26" width="18.0"/>
    <col customWidth="1" min="27" max="27" width="16.33"/>
    <col customWidth="1" min="28" max="28" width="19.22"/>
    <col customWidth="1" min="29" max="30" width="16.89"/>
    <col customWidth="1" min="31" max="31" width="16.78"/>
    <col customWidth="1" min="32" max="32" width="16.89"/>
    <col customWidth="1" min="33" max="34" width="17.0"/>
  </cols>
  <sheetData>
    <row r="1" ht="22.5" customHeight="1">
      <c r="A1" s="1" t="s">
        <v>94</v>
      </c>
      <c r="B1" s="1" t="s">
        <v>95</v>
      </c>
      <c r="C1" s="1" t="s">
        <v>273</v>
      </c>
      <c r="D1" s="1" t="s">
        <v>98</v>
      </c>
      <c r="E1" s="302" t="s">
        <v>274</v>
      </c>
      <c r="F1" s="302" t="s">
        <v>99</v>
      </c>
      <c r="G1" s="303" t="s">
        <v>100</v>
      </c>
      <c r="H1" s="303" t="s">
        <v>275</v>
      </c>
      <c r="I1" s="304" t="s">
        <v>102</v>
      </c>
      <c r="J1" s="304" t="s">
        <v>103</v>
      </c>
      <c r="K1" s="304" t="s">
        <v>104</v>
      </c>
      <c r="L1" s="422" t="s">
        <v>276</v>
      </c>
      <c r="M1" s="422" t="s">
        <v>298</v>
      </c>
      <c r="N1" s="306" t="s">
        <v>278</v>
      </c>
      <c r="O1" s="423" t="s">
        <v>279</v>
      </c>
      <c r="P1" s="392" t="s">
        <v>300</v>
      </c>
      <c r="Q1" s="308" t="s">
        <v>281</v>
      </c>
      <c r="R1" s="424" t="s">
        <v>282</v>
      </c>
      <c r="S1" s="424" t="s">
        <v>302</v>
      </c>
      <c r="T1" s="310" t="s">
        <v>284</v>
      </c>
      <c r="U1" s="393" t="s">
        <v>285</v>
      </c>
      <c r="V1" s="393" t="s">
        <v>304</v>
      </c>
      <c r="W1" s="311" t="s">
        <v>305</v>
      </c>
      <c r="X1" s="394" t="s">
        <v>306</v>
      </c>
      <c r="Y1" s="395" t="s">
        <v>307</v>
      </c>
      <c r="Z1" s="314" t="s">
        <v>294</v>
      </c>
      <c r="AA1" s="314" t="s">
        <v>295</v>
      </c>
      <c r="AB1" s="1" t="s">
        <v>308</v>
      </c>
      <c r="AC1" s="1" t="s">
        <v>297</v>
      </c>
    </row>
    <row r="2" ht="22.5" customHeight="1">
      <c r="A2" s="331" t="str">
        <f>Rooster!A3</f>
        <v/>
      </c>
      <c r="B2" s="425" t="str">
        <f>Rooster!B3</f>
        <v/>
      </c>
      <c r="C2" s="426" t="str">
        <f>Rooster!C3</f>
        <v/>
      </c>
      <c r="D2" s="11" t="str">
        <f>Rooster!D3</f>
        <v/>
      </c>
      <c r="E2" s="77"/>
      <c r="F2" s="327" t="str">
        <f>Rooster!E3</f>
        <v/>
      </c>
      <c r="G2" s="319" t="str">
        <f>IFERROR(VLOOKUP(F2, Docenten!$A$2:$G$30, 7, FALSE), "0")</f>
        <v>0</v>
      </c>
      <c r="H2" s="320">
        <f t="shared" ref="H2:H41" si="1">SUM(G2/60)*C2</f>
        <v>0</v>
      </c>
      <c r="I2" s="327" t="str">
        <f>Rooster!H3</f>
        <v/>
      </c>
      <c r="J2" s="321" t="str">
        <f>IFERROR(VLOOKUP(I2, Locaties!$A$2:$G$15, 7, FALSE), "0")</f>
        <v>0</v>
      </c>
      <c r="K2" s="42">
        <f t="shared" ref="K2:K101" si="2">SUM(J2/60)*C2</f>
        <v>0</v>
      </c>
      <c r="L2" s="427" t="str">
        <f>September!L2</f>
        <v/>
      </c>
      <c r="M2" s="428" t="str">
        <f>September!M2</f>
        <v/>
      </c>
      <c r="N2" s="321" t="str">
        <f>IFERROR(VLOOKUP(M2, Tarieven!$A$1:$J$150, 10, FALSE), "0")</f>
        <v>0</v>
      </c>
      <c r="O2" s="429" t="str">
        <f>September!O2</f>
        <v/>
      </c>
      <c r="P2" s="430" t="str">
        <f>September!P2</f>
        <v/>
      </c>
      <c r="Q2" s="325" t="str">
        <f>IFERROR(VLOOKUP(P2, Tarieven!$A$2:$J$150, 10, FALSE), "0")</f>
        <v>0</v>
      </c>
      <c r="R2" s="431" t="str">
        <f>September!R2</f>
        <v/>
      </c>
      <c r="S2" s="430" t="str">
        <f>September!S2</f>
        <v/>
      </c>
      <c r="T2" s="325" t="str">
        <f>IFERROR(VLOOKUP(S2, Tarieven!$A$2:$J$150, 10, FALSE), "0")</f>
        <v>0</v>
      </c>
      <c r="U2" s="77" t="str">
        <f>September!U2</f>
        <v/>
      </c>
      <c r="V2" s="327" t="str">
        <f>September!V2</f>
        <v/>
      </c>
      <c r="W2" s="325" t="str">
        <f>IFERROR(VLOOKUP(V2, Tarieven!$A$2:$J$150, 10, FALSE), "0")</f>
        <v>0</v>
      </c>
      <c r="X2" s="138">
        <f>September!X2</f>
        <v>0</v>
      </c>
      <c r="Y2" s="398">
        <v>0.0</v>
      </c>
      <c r="Z2" s="329">
        <f t="shared" ref="Z2:Z101" si="3">SUM(L2+O2+R2+U2+X2)</f>
        <v>0</v>
      </c>
      <c r="AA2" s="32">
        <f t="shared" ref="AA2:AA101" si="4">SUM(H2+K2)*E2</f>
        <v>0</v>
      </c>
      <c r="AB2" s="32">
        <f t="shared" ref="AB2:AB101" si="5">SUM((L2*N2)+(O2*Q2)+(R2*T2)+(U2*W2)+Y2)</f>
        <v>0</v>
      </c>
      <c r="AC2" s="32">
        <f t="shared" ref="AC2:AC101" si="6">SUM(AB2-AA2)</f>
        <v>0</v>
      </c>
      <c r="AE2" s="154" t="s">
        <v>309</v>
      </c>
      <c r="AF2" s="154" t="s">
        <v>310</v>
      </c>
      <c r="AG2" s="109" t="s">
        <v>311</v>
      </c>
    </row>
    <row r="3" ht="22.5" customHeight="1">
      <c r="A3" s="331" t="str">
        <f>Rooster!A4</f>
        <v/>
      </c>
      <c r="B3" s="425" t="str">
        <f>Rooster!B4</f>
        <v/>
      </c>
      <c r="C3" s="426" t="str">
        <f>Rooster!C4</f>
        <v/>
      </c>
      <c r="D3" s="11" t="str">
        <f>Rooster!D4</f>
        <v/>
      </c>
      <c r="E3" s="77"/>
      <c r="F3" s="327" t="str">
        <f>Rooster!E4</f>
        <v/>
      </c>
      <c r="G3" s="319" t="str">
        <f>IFERROR(VLOOKUP(F3, Docenten!$A$2:$G$30, 7, FALSE), "0")</f>
        <v>0</v>
      </c>
      <c r="H3" s="320">
        <f t="shared" si="1"/>
        <v>0</v>
      </c>
      <c r="I3" s="327" t="str">
        <f>Rooster!H4</f>
        <v/>
      </c>
      <c r="J3" s="321" t="str">
        <f>IFERROR(VLOOKUP(I3, Locaties!$A$2:$G$15, 7, FALSE), "0")</f>
        <v>0</v>
      </c>
      <c r="K3" s="42">
        <f t="shared" si="2"/>
        <v>0</v>
      </c>
      <c r="L3" s="427" t="str">
        <f>September!L3</f>
        <v/>
      </c>
      <c r="M3" s="428" t="str">
        <f>September!M3</f>
        <v/>
      </c>
      <c r="N3" s="321" t="str">
        <f>IFERROR(VLOOKUP(M3, Tarieven!$A$1:$J$150, 10, FALSE), "0")</f>
        <v>0</v>
      </c>
      <c r="O3" s="429" t="str">
        <f>September!O3</f>
        <v/>
      </c>
      <c r="P3" s="430" t="str">
        <f>September!P3</f>
        <v/>
      </c>
      <c r="Q3" s="325" t="str">
        <f>IFERROR(VLOOKUP(P3, Tarieven!$A$2:$J$150, 10, FALSE), "0")</f>
        <v>0</v>
      </c>
      <c r="R3" s="431" t="str">
        <f>September!R3</f>
        <v/>
      </c>
      <c r="S3" s="430" t="str">
        <f>September!S3</f>
        <v/>
      </c>
      <c r="T3" s="325" t="str">
        <f>IFERROR(VLOOKUP(S3, Tarieven!$A$2:$J$150, 10, FALSE), "0")</f>
        <v>0</v>
      </c>
      <c r="U3" s="77" t="str">
        <f>September!U3</f>
        <v/>
      </c>
      <c r="V3" s="327" t="str">
        <f>September!V3</f>
        <v/>
      </c>
      <c r="W3" s="325" t="str">
        <f>IFERROR(VLOOKUP(V3, Tarieven!$A$2:$J$150, 10, FALSE), "0")</f>
        <v>0</v>
      </c>
      <c r="X3" s="138">
        <f>September!X3</f>
        <v>0</v>
      </c>
      <c r="Y3" s="398">
        <v>0.0</v>
      </c>
      <c r="Z3" s="329">
        <f t="shared" si="3"/>
        <v>0</v>
      </c>
      <c r="AA3" s="32">
        <f t="shared" si="4"/>
        <v>0</v>
      </c>
      <c r="AB3" s="32">
        <f t="shared" si="5"/>
        <v>0</v>
      </c>
      <c r="AC3" s="32">
        <f t="shared" si="6"/>
        <v>0</v>
      </c>
      <c r="AD3" s="130"/>
      <c r="AE3" s="159" t="s">
        <v>312</v>
      </c>
      <c r="AF3" s="32">
        <f>SUM(AB2:AB102)</f>
        <v>6733.378</v>
      </c>
      <c r="AG3" s="160"/>
    </row>
    <row r="4" ht="22.5" customHeight="1">
      <c r="A4" s="331" t="str">
        <f>Rooster!A5</f>
        <v>Maandag</v>
      </c>
      <c r="B4" s="425">
        <f>Rooster!B5</f>
        <v>0.625</v>
      </c>
      <c r="C4" s="426">
        <f>Rooster!C5</f>
        <v>60</v>
      </c>
      <c r="D4" s="11" t="str">
        <f>Rooster!D5</f>
        <v>Kleuterdans</v>
      </c>
      <c r="E4" s="77"/>
      <c r="F4" s="327"/>
      <c r="G4" s="319" t="str">
        <f>IFERROR(VLOOKUP(F4, Docenten!$A$2:$G$30, 7, FALSE), "0")</f>
        <v>0</v>
      </c>
      <c r="H4" s="320">
        <f t="shared" si="1"/>
        <v>0</v>
      </c>
      <c r="I4" s="327"/>
      <c r="J4" s="321" t="str">
        <f>IFERROR(VLOOKUP(I4, Locaties!$A$2:$G$15, 7, FALSE), "0")</f>
        <v>0</v>
      </c>
      <c r="K4" s="42">
        <f t="shared" si="2"/>
        <v>0</v>
      </c>
      <c r="L4" s="427" t="str">
        <f>September!L4</f>
        <v/>
      </c>
      <c r="M4" s="428" t="str">
        <f>September!M4</f>
        <v/>
      </c>
      <c r="N4" s="321" t="str">
        <f>IFERROR(VLOOKUP(M4, Tarieven!$A$1:$J$150, 10, FALSE), "0")</f>
        <v>0</v>
      </c>
      <c r="O4" s="429" t="str">
        <f>September!O4</f>
        <v/>
      </c>
      <c r="P4" s="430" t="str">
        <f>September!P4</f>
        <v/>
      </c>
      <c r="Q4" s="325" t="str">
        <f>IFERROR(VLOOKUP(P4, Tarieven!$A$2:$J$150, 10, FALSE), "0")</f>
        <v>0</v>
      </c>
      <c r="R4" s="431" t="str">
        <f>September!R4</f>
        <v/>
      </c>
      <c r="S4" s="430" t="str">
        <f>September!S4</f>
        <v/>
      </c>
      <c r="T4" s="325" t="str">
        <f>IFERROR(VLOOKUP(S4, Tarieven!$A$2:$J$150, 10, FALSE), "0")</f>
        <v>0</v>
      </c>
      <c r="U4" s="77" t="str">
        <f>September!U4</f>
        <v/>
      </c>
      <c r="V4" s="327" t="str">
        <f>September!V4</f>
        <v/>
      </c>
      <c r="W4" s="325" t="str">
        <f>IFERROR(VLOOKUP(V4, Tarieven!$A$2:$J$150, 10, FALSE), "0")</f>
        <v>0</v>
      </c>
      <c r="X4" s="138">
        <f>September!X4</f>
        <v>0</v>
      </c>
      <c r="Y4" s="398">
        <v>0.0</v>
      </c>
      <c r="Z4" s="329">
        <f t="shared" si="3"/>
        <v>0</v>
      </c>
      <c r="AA4" s="32">
        <f t="shared" si="4"/>
        <v>0</v>
      </c>
      <c r="AB4" s="32">
        <f t="shared" si="5"/>
        <v>0</v>
      </c>
      <c r="AC4" s="32">
        <f t="shared" si="6"/>
        <v>0</v>
      </c>
      <c r="AD4" s="130"/>
      <c r="AE4" s="159" t="s">
        <v>313</v>
      </c>
      <c r="AF4" s="32">
        <f>'Extra activiteiten'!H3</f>
        <v>700</v>
      </c>
      <c r="AG4" s="159"/>
    </row>
    <row r="5" ht="22.5" customHeight="1">
      <c r="A5" s="331" t="str">
        <f>Rooster!A6</f>
        <v>Maandag</v>
      </c>
      <c r="B5" s="425">
        <f>Rooster!B6</f>
        <v>0.625</v>
      </c>
      <c r="C5" s="426">
        <f>Rooster!C6</f>
        <v>60</v>
      </c>
      <c r="D5" s="11" t="str">
        <f>Rooster!D6</f>
        <v>Streetdance 6+</v>
      </c>
      <c r="E5" s="77"/>
      <c r="F5" s="327" t="str">
        <f>Rooster!E7</f>
        <v>Lotte</v>
      </c>
      <c r="G5" s="319">
        <f>IFERROR(VLOOKUP(F5, Docenten!$A$2:$G$30, 7, FALSE), "0")</f>
        <v>22.5</v>
      </c>
      <c r="H5" s="320">
        <f t="shared" si="1"/>
        <v>22.5</v>
      </c>
      <c r="I5" s="327" t="str">
        <f>Rooster!H7</f>
        <v>Santpoort Zuid</v>
      </c>
      <c r="J5" s="321">
        <f>IFERROR(VLOOKUP(I5, Locaties!$A$2:$G$15, 7, FALSE), "0")</f>
        <v>18.9</v>
      </c>
      <c r="K5" s="42">
        <f t="shared" si="2"/>
        <v>18.9</v>
      </c>
      <c r="L5" s="427">
        <f>September!L5</f>
        <v>2</v>
      </c>
      <c r="M5" s="428" t="str">
        <f>September!M5</f>
        <v>2x per week abbo</v>
      </c>
      <c r="N5" s="321">
        <f>IFERROR(VLOOKUP(M5, Tarieven!$A$1:$J$150, 10, FALSE), "0")</f>
        <v>28.55</v>
      </c>
      <c r="O5" s="429" t="str">
        <f>September!O5</f>
        <v/>
      </c>
      <c r="P5" s="430" t="str">
        <f>September!P5</f>
        <v/>
      </c>
      <c r="Q5" s="325" t="str">
        <f>IFERROR(VLOOKUP(P5, Tarieven!$A$2:$J$150, 10, FALSE), "0")</f>
        <v>0</v>
      </c>
      <c r="R5" s="431" t="str">
        <f>September!R5</f>
        <v/>
      </c>
      <c r="S5" s="430" t="str">
        <f>September!S5</f>
        <v/>
      </c>
      <c r="T5" s="325" t="str">
        <f>IFERROR(VLOOKUP(S5, Tarieven!$A$2:$J$150, 10, FALSE), "0")</f>
        <v>0</v>
      </c>
      <c r="U5" s="77" t="str">
        <f>September!U5</f>
        <v/>
      </c>
      <c r="V5" s="327" t="str">
        <f>September!V5</f>
        <v/>
      </c>
      <c r="W5" s="325" t="str">
        <f>IFERROR(VLOOKUP(V5, Tarieven!$A$2:$J$150, 10, FALSE), "0")</f>
        <v>0</v>
      </c>
      <c r="X5" s="138">
        <f>September!X5</f>
        <v>0</v>
      </c>
      <c r="Y5" s="398">
        <v>0.0</v>
      </c>
      <c r="Z5" s="329">
        <f t="shared" si="3"/>
        <v>2</v>
      </c>
      <c r="AA5" s="32">
        <f t="shared" si="4"/>
        <v>0</v>
      </c>
      <c r="AB5" s="32">
        <f t="shared" si="5"/>
        <v>57.1</v>
      </c>
      <c r="AC5" s="32">
        <f t="shared" si="6"/>
        <v>57.1</v>
      </c>
      <c r="AD5" s="130"/>
      <c r="AE5" s="159" t="s">
        <v>314</v>
      </c>
      <c r="AF5" s="32">
        <f>SUM(September[Kosten per maand])</f>
        <v>4064.65</v>
      </c>
      <c r="AG5" s="159"/>
    </row>
    <row r="6" ht="22.5" customHeight="1">
      <c r="A6" s="331" t="str">
        <f>Rooster!A7</f>
        <v>Maandag</v>
      </c>
      <c r="B6" s="425">
        <f>Rooster!B7</f>
        <v>0.6666666667</v>
      </c>
      <c r="C6" s="426">
        <f>Rooster!C7</f>
        <v>60</v>
      </c>
      <c r="D6" s="11" t="str">
        <f>Rooster!D7</f>
        <v>Urban-Pop-Show 10+</v>
      </c>
      <c r="E6" s="77">
        <v>3.0</v>
      </c>
      <c r="F6" s="70" t="s">
        <v>56</v>
      </c>
      <c r="G6" s="319">
        <f>IFERROR(VLOOKUP(F6, Docenten!$A$2:$G$30, 7, FALSE), "0")</f>
        <v>22.5</v>
      </c>
      <c r="H6" s="320">
        <f t="shared" si="1"/>
        <v>22.5</v>
      </c>
      <c r="I6" s="327" t="str">
        <f>Rooster!H8</f>
        <v>Santpoort Zuid</v>
      </c>
      <c r="J6" s="321">
        <f>IFERROR(VLOOKUP(I6, Locaties!$A$2:$G$15, 7, FALSE), "0")</f>
        <v>18.9</v>
      </c>
      <c r="K6" s="42">
        <f t="shared" si="2"/>
        <v>18.9</v>
      </c>
      <c r="L6" s="427">
        <f>September!L6</f>
        <v>1</v>
      </c>
      <c r="M6" s="428" t="str">
        <f>September!M6</f>
        <v>2x per week abbo</v>
      </c>
      <c r="N6" s="321">
        <f>IFERROR(VLOOKUP(M6, Tarieven!$A$1:$J$150, 10, FALSE), "0")</f>
        <v>28.55</v>
      </c>
      <c r="O6" s="429">
        <f>September!O6</f>
        <v>3</v>
      </c>
      <c r="P6" s="430" t="str">
        <f>September!P6</f>
        <v>1x per week abbo</v>
      </c>
      <c r="Q6" s="325">
        <f>IFERROR(VLOOKUP(P6, Tarieven!$A$2:$J$150, 10, FALSE), "0")</f>
        <v>31</v>
      </c>
      <c r="R6" s="431">
        <f>September!R6</f>
        <v>1</v>
      </c>
      <c r="S6" s="430" t="str">
        <f>September!S6</f>
        <v>1x per week abbo</v>
      </c>
      <c r="T6" s="325">
        <f>IFERROR(VLOOKUP(S6, Tarieven!$A$2:$J$150, 10, FALSE), "0")</f>
        <v>31</v>
      </c>
      <c r="U6" s="77" t="str">
        <f>September!U6</f>
        <v/>
      </c>
      <c r="V6" s="327" t="str">
        <f>September!V6</f>
        <v/>
      </c>
      <c r="W6" s="325" t="str">
        <f>IFERROR(VLOOKUP(V6, Tarieven!$A$2:$J$150, 10, FALSE), "0")</f>
        <v>0</v>
      </c>
      <c r="X6" s="138">
        <f>September!X6</f>
        <v>4</v>
      </c>
      <c r="Y6" s="398">
        <v>0.0</v>
      </c>
      <c r="Z6" s="329">
        <f t="shared" si="3"/>
        <v>9</v>
      </c>
      <c r="AA6" s="32">
        <f t="shared" si="4"/>
        <v>124.2</v>
      </c>
      <c r="AB6" s="32">
        <f t="shared" si="5"/>
        <v>152.55</v>
      </c>
      <c r="AC6" s="32">
        <f t="shared" si="6"/>
        <v>28.35</v>
      </c>
      <c r="AD6" s="409"/>
      <c r="AE6" s="159" t="s">
        <v>315</v>
      </c>
      <c r="AF6" s="408">
        <f>Kosten!D69</f>
        <v>4665.69</v>
      </c>
      <c r="AG6" s="159" t="s">
        <v>316</v>
      </c>
    </row>
    <row r="7" ht="22.5" customHeight="1">
      <c r="A7" s="331" t="str">
        <f>Rooster!A8</f>
        <v>Maandag</v>
      </c>
      <c r="B7" s="425">
        <f>Rooster!B8</f>
        <v>0.7083333333</v>
      </c>
      <c r="C7" s="426">
        <f>Rooster!C8</f>
        <v>60</v>
      </c>
      <c r="D7" s="11" t="str">
        <f>Rooster!D8</f>
        <v>Urban-Pop-Show 12+</v>
      </c>
      <c r="E7" s="77">
        <v>3.0</v>
      </c>
      <c r="F7" s="327" t="str">
        <f>Rooster!E9</f>
        <v>Nova</v>
      </c>
      <c r="G7" s="319">
        <f>IFERROR(VLOOKUP(F7, Docenten!$A$2:$G$30, 7, FALSE), "0")</f>
        <v>22.5</v>
      </c>
      <c r="H7" s="320">
        <f t="shared" si="1"/>
        <v>22.5</v>
      </c>
      <c r="I7" s="327" t="str">
        <f>Rooster!H9</f>
        <v>Santpoort Zuid</v>
      </c>
      <c r="J7" s="321">
        <f>IFERROR(VLOOKUP(I7, Locaties!$A$2:$G$15, 7, FALSE), "0")</f>
        <v>18.9</v>
      </c>
      <c r="K7" s="42">
        <f t="shared" si="2"/>
        <v>18.9</v>
      </c>
      <c r="L7" s="427">
        <f>September!L7</f>
        <v>1</v>
      </c>
      <c r="M7" s="428" t="str">
        <f>September!M7</f>
        <v>1x per week abbo</v>
      </c>
      <c r="N7" s="321">
        <f>IFERROR(VLOOKUP(M7, Tarieven!$A$1:$J$150, 10, FALSE), "0")</f>
        <v>31</v>
      </c>
      <c r="O7" s="429">
        <f>September!O7</f>
        <v>1</v>
      </c>
      <c r="P7" s="430" t="str">
        <f>September!P7</f>
        <v>2x per week abbo</v>
      </c>
      <c r="Q7" s="325">
        <f>IFERROR(VLOOKUP(P7, Tarieven!$A$2:$J$150, 10, FALSE), "0")</f>
        <v>28.55</v>
      </c>
      <c r="R7" s="431">
        <f>September!R7</f>
        <v>1</v>
      </c>
      <c r="S7" s="430" t="str">
        <f>September!S7</f>
        <v>Cheer regulier +1</v>
      </c>
      <c r="T7" s="325">
        <f>IFERROR(VLOOKUP(S7, Tarieven!$A$2:$J$150, 10, FALSE), "0")</f>
        <v>289.5</v>
      </c>
      <c r="U7" s="77" t="str">
        <f>September!U7</f>
        <v/>
      </c>
      <c r="V7" s="327" t="str">
        <f>September!V7</f>
        <v/>
      </c>
      <c r="W7" s="325" t="str">
        <f>IFERROR(VLOOKUP(V7, Tarieven!$A$2:$J$150, 10, FALSE), "0")</f>
        <v>0</v>
      </c>
      <c r="X7" s="138">
        <f>September!X7</f>
        <v>11</v>
      </c>
      <c r="Y7" s="398">
        <v>0.0</v>
      </c>
      <c r="Z7" s="329">
        <f t="shared" si="3"/>
        <v>14</v>
      </c>
      <c r="AA7" s="32">
        <f t="shared" si="4"/>
        <v>124.2</v>
      </c>
      <c r="AB7" s="32">
        <f t="shared" si="5"/>
        <v>349.05</v>
      </c>
      <c r="AC7" s="32">
        <f t="shared" si="6"/>
        <v>224.85</v>
      </c>
      <c r="AE7" s="410" t="s">
        <v>317</v>
      </c>
      <c r="AF7" s="411">
        <f>SUM(AF3+AF4)-AF5-AF6</f>
        <v>-1296.962</v>
      </c>
      <c r="AG7" s="412">
        <f>'Doel vs Werkelijkheid'!B4</f>
        <v>3250</v>
      </c>
    </row>
    <row r="8" ht="22.5" customHeight="1">
      <c r="A8" s="331" t="str">
        <f>Rooster!A9</f>
        <v>Maandag</v>
      </c>
      <c r="B8" s="425">
        <f>Rooster!B9</f>
        <v>0.75</v>
      </c>
      <c r="C8" s="426">
        <f>Rooster!C9</f>
        <v>60</v>
      </c>
      <c r="D8" s="11" t="str">
        <f>Rooster!D9</f>
        <v>Selectie Show</v>
      </c>
      <c r="E8" s="77">
        <v>3.0</v>
      </c>
      <c r="F8" s="327" t="str">
        <f>Rooster!E10</f>
        <v>Nova</v>
      </c>
      <c r="G8" s="319">
        <f>IFERROR(VLOOKUP(F8, Docenten!$A$2:$G$30, 7, FALSE), "0")</f>
        <v>22.5</v>
      </c>
      <c r="H8" s="320">
        <f t="shared" si="1"/>
        <v>22.5</v>
      </c>
      <c r="I8" s="327" t="str">
        <f>Rooster!H10</f>
        <v>Santpoort Zuid</v>
      </c>
      <c r="J8" s="321">
        <f>IFERROR(VLOOKUP(I8, Locaties!$A$2:$G$15, 7, FALSE), "0")</f>
        <v>18.9</v>
      </c>
      <c r="K8" s="42">
        <f t="shared" si="2"/>
        <v>18.9</v>
      </c>
      <c r="L8" s="427">
        <f>September!L8</f>
        <v>2</v>
      </c>
      <c r="M8" s="428" t="str">
        <f>September!M8</f>
        <v>3x per week abbo</v>
      </c>
      <c r="N8" s="321">
        <f>IFERROR(VLOOKUP(M8, Tarieven!$A$1:$J$150, 10, FALSE), "0")</f>
        <v>28.93333333</v>
      </c>
      <c r="O8" s="429">
        <f>September!O8</f>
        <v>3</v>
      </c>
      <c r="P8" s="430" t="str">
        <f>September!P8</f>
        <v>2x per week abbo</v>
      </c>
      <c r="Q8" s="325">
        <f>IFERROR(VLOOKUP(P8, Tarieven!$A$2:$J$150, 10, FALSE), "0")</f>
        <v>28.55</v>
      </c>
      <c r="R8" s="431">
        <f>September!R8</f>
        <v>2</v>
      </c>
      <c r="S8" s="430" t="str">
        <f>September!S8</f>
        <v>Onbeperkt abbo</v>
      </c>
      <c r="T8" s="325">
        <f>IFERROR(VLOOKUP(S8, Tarieven!$A$2:$J$150, 10, FALSE), "0")</f>
        <v>27</v>
      </c>
      <c r="U8" s="77" t="str">
        <f>September!U8</f>
        <v/>
      </c>
      <c r="V8" s="327" t="str">
        <f>September!V8</f>
        <v/>
      </c>
      <c r="W8" s="325" t="str">
        <f>IFERROR(VLOOKUP(V8, Tarieven!$A$2:$J$150, 10, FALSE), "0")</f>
        <v>0</v>
      </c>
      <c r="X8" s="138">
        <f>September!X8</f>
        <v>4</v>
      </c>
      <c r="Y8" s="398">
        <v>0.0</v>
      </c>
      <c r="Z8" s="329">
        <f t="shared" si="3"/>
        <v>11</v>
      </c>
      <c r="AA8" s="32">
        <f t="shared" si="4"/>
        <v>124.2</v>
      </c>
      <c r="AB8" s="32">
        <f t="shared" si="5"/>
        <v>197.5166667</v>
      </c>
      <c r="AC8" s="32">
        <f t="shared" si="6"/>
        <v>73.31666667</v>
      </c>
      <c r="AE8" s="160"/>
      <c r="AF8" s="160"/>
      <c r="AG8" s="160"/>
    </row>
    <row r="9" ht="22.5" customHeight="1">
      <c r="A9" s="331" t="str">
        <f>Rooster!A10</f>
        <v>Maandag</v>
      </c>
      <c r="B9" s="425">
        <f>Rooster!B10</f>
        <v>0.7916666667</v>
      </c>
      <c r="C9" s="426">
        <f>Rooster!C10</f>
        <v>60</v>
      </c>
      <c r="D9" s="11" t="str">
        <f>Rooster!D10</f>
        <v>Commercial 16+</v>
      </c>
      <c r="E9" s="77">
        <v>3.0</v>
      </c>
      <c r="F9" s="327" t="str">
        <f>Rooster!E11</f>
        <v>Nova</v>
      </c>
      <c r="G9" s="319">
        <f>IFERROR(VLOOKUP(F9, Docenten!$A$2:$G$30, 7, FALSE), "0")</f>
        <v>22.5</v>
      </c>
      <c r="H9" s="320">
        <f t="shared" si="1"/>
        <v>22.5</v>
      </c>
      <c r="I9" s="327" t="str">
        <f>Rooster!H11</f>
        <v>Santpoort Zuid</v>
      </c>
      <c r="J9" s="321">
        <f>IFERROR(VLOOKUP(I9, Locaties!$A$2:$G$15, 7, FALSE), "0")</f>
        <v>18.9</v>
      </c>
      <c r="K9" s="42">
        <f t="shared" si="2"/>
        <v>18.9</v>
      </c>
      <c r="L9" s="427">
        <f>September!L9</f>
        <v>3</v>
      </c>
      <c r="M9" s="428" t="str">
        <f>September!M9</f>
        <v>3x per week abbo</v>
      </c>
      <c r="N9" s="321">
        <f>IFERROR(VLOOKUP(M9, Tarieven!$A$1:$J$150, 10, FALSE), "0")</f>
        <v>28.93333333</v>
      </c>
      <c r="O9" s="429">
        <f>September!O9</f>
        <v>1</v>
      </c>
      <c r="P9" s="430" t="str">
        <f>September!P9</f>
        <v>1x per week abbo</v>
      </c>
      <c r="Q9" s="325">
        <f>IFERROR(VLOOKUP(P9, Tarieven!$A$2:$J$150, 10, FALSE), "0")</f>
        <v>31</v>
      </c>
      <c r="R9" s="431">
        <f>September!R9</f>
        <v>3</v>
      </c>
      <c r="S9" s="430" t="str">
        <f>September!S9</f>
        <v>2x per week abbo</v>
      </c>
      <c r="T9" s="325">
        <f>IFERROR(VLOOKUP(S9, Tarieven!$A$2:$J$150, 10, FALSE), "0")</f>
        <v>28.55</v>
      </c>
      <c r="U9" s="77" t="str">
        <f>September!U9</f>
        <v/>
      </c>
      <c r="V9" s="327" t="str">
        <f>September!V9</f>
        <v/>
      </c>
      <c r="W9" s="325" t="str">
        <f>IFERROR(VLOOKUP(V9, Tarieven!$A$2:$J$150, 10, FALSE), "0")</f>
        <v>0</v>
      </c>
      <c r="X9" s="138">
        <f>September!X9</f>
        <v>5</v>
      </c>
      <c r="Y9" s="398">
        <v>0.0</v>
      </c>
      <c r="Z9" s="329">
        <f t="shared" si="3"/>
        <v>12</v>
      </c>
      <c r="AA9" s="32">
        <f t="shared" si="4"/>
        <v>124.2</v>
      </c>
      <c r="AB9" s="32">
        <f t="shared" si="5"/>
        <v>203.45</v>
      </c>
      <c r="AC9" s="32">
        <f t="shared" si="6"/>
        <v>79.25</v>
      </c>
      <c r="AE9" s="159" t="s">
        <v>19</v>
      </c>
      <c r="AF9" s="413">
        <f>Z101</f>
        <v>395</v>
      </c>
      <c r="AG9" s="160"/>
    </row>
    <row r="10" ht="22.5" customHeight="1">
      <c r="A10" s="331" t="str">
        <f>Rooster!A11</f>
        <v>Maandag</v>
      </c>
      <c r="B10" s="425">
        <f>Rooster!B11</f>
        <v>0.8333333333</v>
      </c>
      <c r="C10" s="426">
        <f>Rooster!C11</f>
        <v>60</v>
      </c>
      <c r="D10" s="11" t="str">
        <f>Rooster!D11</f>
        <v>Commercial 20+</v>
      </c>
      <c r="E10" s="77">
        <v>3.0</v>
      </c>
      <c r="F10" s="327" t="str">
        <f>Rooster!E12</f>
        <v>Nova</v>
      </c>
      <c r="G10" s="319">
        <f>IFERROR(VLOOKUP(F10, Docenten!$A$2:$G$30, 7, FALSE), "0")</f>
        <v>22.5</v>
      </c>
      <c r="H10" s="320">
        <f t="shared" si="1"/>
        <v>22.5</v>
      </c>
      <c r="I10" s="327" t="str">
        <f>Rooster!H12</f>
        <v>Santpoort Zuid</v>
      </c>
      <c r="J10" s="321">
        <f>IFERROR(VLOOKUP(I10, Locaties!$A$2:$G$15, 7, FALSE), "0")</f>
        <v>18.9</v>
      </c>
      <c r="K10" s="42">
        <f t="shared" si="2"/>
        <v>18.9</v>
      </c>
      <c r="L10" s="427">
        <f>September!L10</f>
        <v>4</v>
      </c>
      <c r="M10" s="428" t="str">
        <f>September!M10</f>
        <v>Volwassenen 2x abbo</v>
      </c>
      <c r="N10" s="321">
        <f>IFERROR(VLOOKUP(M10, Tarieven!$A$1:$J$150, 10, FALSE), "0")</f>
        <v>27.255</v>
      </c>
      <c r="O10" s="429">
        <f>September!O10</f>
        <v>3</v>
      </c>
      <c r="P10" s="430" t="str">
        <f>September!P10</f>
        <v>Volwassenen 1x abbo</v>
      </c>
      <c r="Q10" s="325">
        <f>IFERROR(VLOOKUP(P10, Tarieven!$A$2:$J$150, 10, FALSE), "0")</f>
        <v>25.596</v>
      </c>
      <c r="R10" s="431">
        <f>September!R10</f>
        <v>1</v>
      </c>
      <c r="S10" s="430" t="str">
        <f>September!S10</f>
        <v>Strippenkaart 18+</v>
      </c>
      <c r="T10" s="325">
        <f>IFERROR(VLOOKUP(S10, Tarieven!$A$2:$J$150, 10, FALSE), "0")</f>
        <v>47.4</v>
      </c>
      <c r="U10" s="77" t="str">
        <f>September!U10</f>
        <v/>
      </c>
      <c r="V10" s="327" t="str">
        <f>September!V10</f>
        <v/>
      </c>
      <c r="W10" s="325" t="str">
        <f>IFERROR(VLOOKUP(V10, Tarieven!$A$2:$J$150, 10, FALSE), "0")</f>
        <v>0</v>
      </c>
      <c r="X10" s="138">
        <f>September!X10</f>
        <v>8</v>
      </c>
      <c r="Y10" s="398">
        <v>0.0</v>
      </c>
      <c r="Z10" s="329">
        <f t="shared" si="3"/>
        <v>16</v>
      </c>
      <c r="AA10" s="32">
        <f t="shared" si="4"/>
        <v>124.2</v>
      </c>
      <c r="AB10" s="32">
        <f t="shared" si="5"/>
        <v>233.208</v>
      </c>
      <c r="AC10" s="32">
        <f t="shared" si="6"/>
        <v>109.008</v>
      </c>
      <c r="AE10" s="330"/>
      <c r="AF10" s="330"/>
    </row>
    <row r="11" ht="22.5" customHeight="1">
      <c r="A11" s="331" t="str">
        <f>Rooster!A12</f>
        <v>Maandag</v>
      </c>
      <c r="B11" s="425">
        <f>Rooster!B12</f>
        <v>0.875</v>
      </c>
      <c r="C11" s="426">
        <f>Rooster!C12</f>
        <v>60</v>
      </c>
      <c r="D11" s="11" t="str">
        <f>Rooster!D12</f>
        <v>Jazz 20+</v>
      </c>
      <c r="E11" s="77">
        <v>3.0</v>
      </c>
      <c r="F11" s="70" t="s">
        <v>45</v>
      </c>
      <c r="G11" s="319">
        <f>IFERROR(VLOOKUP(F11, Docenten!$A$2:$G$30, 7, FALSE), "0")</f>
        <v>22.5</v>
      </c>
      <c r="H11" s="320">
        <f t="shared" si="1"/>
        <v>22.5</v>
      </c>
      <c r="I11" s="327" t="str">
        <f>Rooster!H13</f>
        <v>Santpoort Noord</v>
      </c>
      <c r="J11" s="321">
        <f>IFERROR(VLOOKUP(I11, Locaties!$A$2:$G$15, 7, FALSE), "0")</f>
        <v>14.2</v>
      </c>
      <c r="K11" s="42">
        <f t="shared" si="2"/>
        <v>14.2</v>
      </c>
      <c r="L11" s="427">
        <f>September!L11</f>
        <v>4</v>
      </c>
      <c r="M11" s="428" t="str">
        <f>September!M11</f>
        <v>Volwassenen 2x abbo</v>
      </c>
      <c r="N11" s="321">
        <f>IFERROR(VLOOKUP(M11, Tarieven!$A$1:$J$150, 10, FALSE), "0")</f>
        <v>27.255</v>
      </c>
      <c r="O11" s="429" t="str">
        <f>September!O11</f>
        <v/>
      </c>
      <c r="P11" s="430" t="str">
        <f>September!P11</f>
        <v/>
      </c>
      <c r="Q11" s="325" t="str">
        <f>IFERROR(VLOOKUP(P11, Tarieven!$A$2:$J$150, 10, FALSE), "0")</f>
        <v>0</v>
      </c>
      <c r="R11" s="431" t="str">
        <f>September!R11</f>
        <v/>
      </c>
      <c r="S11" s="430" t="str">
        <f>September!S11</f>
        <v/>
      </c>
      <c r="T11" s="325" t="str">
        <f>IFERROR(VLOOKUP(S11, Tarieven!$A$2:$J$150, 10, FALSE), "0")</f>
        <v>0</v>
      </c>
      <c r="U11" s="77" t="str">
        <f>September!U11</f>
        <v/>
      </c>
      <c r="V11" s="327" t="str">
        <f>September!V11</f>
        <v/>
      </c>
      <c r="W11" s="325" t="str">
        <f>IFERROR(VLOOKUP(V11, Tarieven!$A$2:$J$150, 10, FALSE), "0")</f>
        <v>0</v>
      </c>
      <c r="X11" s="138">
        <f>September!X11</f>
        <v>4</v>
      </c>
      <c r="Y11" s="398">
        <v>0.0</v>
      </c>
      <c r="Z11" s="329">
        <f t="shared" si="3"/>
        <v>8</v>
      </c>
      <c r="AA11" s="32">
        <f t="shared" si="4"/>
        <v>110.1</v>
      </c>
      <c r="AB11" s="32">
        <f t="shared" si="5"/>
        <v>109.02</v>
      </c>
      <c r="AC11" s="32">
        <f t="shared" si="6"/>
        <v>-1.08</v>
      </c>
      <c r="AE11" s="330"/>
      <c r="AF11" s="330"/>
    </row>
    <row r="12" ht="22.5" customHeight="1">
      <c r="A12" s="331" t="str">
        <f>Rooster!A13</f>
        <v>Maandag</v>
      </c>
      <c r="B12" s="425">
        <f>Rooster!B13</f>
        <v>0.6666666667</v>
      </c>
      <c r="C12" s="426">
        <f>Rooster!C13</f>
        <v>60</v>
      </c>
      <c r="D12" s="11" t="str">
        <f>Rooster!D13</f>
        <v>Streetdance 6+</v>
      </c>
      <c r="E12" s="77">
        <v>3.0</v>
      </c>
      <c r="F12" s="327" t="str">
        <f>Rooster!E14</f>
        <v>Julia</v>
      </c>
      <c r="G12" s="319">
        <f>IFERROR(VLOOKUP(F12, Docenten!$A$2:$G$30, 7, FALSE), "0")</f>
        <v>15</v>
      </c>
      <c r="H12" s="320">
        <f t="shared" si="1"/>
        <v>15</v>
      </c>
      <c r="I12" s="327" t="str">
        <f>Rooster!H14</f>
        <v>Santpoort Noord</v>
      </c>
      <c r="J12" s="321">
        <f>IFERROR(VLOOKUP(I12, Locaties!$A$2:$G$15, 7, FALSE), "0")</f>
        <v>14.2</v>
      </c>
      <c r="K12" s="42">
        <f t="shared" si="2"/>
        <v>14.2</v>
      </c>
      <c r="L12" s="427">
        <f>September!L12</f>
        <v>3</v>
      </c>
      <c r="M12" s="428" t="str">
        <f>September!M12</f>
        <v>1x per week abbo</v>
      </c>
      <c r="N12" s="321">
        <f>IFERROR(VLOOKUP(M12, Tarieven!$A$1:$J$150, 10, FALSE), "0")</f>
        <v>31</v>
      </c>
      <c r="O12" s="437">
        <v>1.0</v>
      </c>
      <c r="P12" s="438" t="s">
        <v>46</v>
      </c>
      <c r="Q12" s="432">
        <v>20.0</v>
      </c>
      <c r="R12" s="431" t="str">
        <f>September!R12</f>
        <v/>
      </c>
      <c r="S12" s="430" t="str">
        <f>September!S12</f>
        <v/>
      </c>
      <c r="T12" s="325" t="str">
        <f>IFERROR(VLOOKUP(S12, Tarieven!$A$2:$J$150, 10, FALSE), "0")</f>
        <v>0</v>
      </c>
      <c r="U12" s="77" t="str">
        <f>September!U12</f>
        <v/>
      </c>
      <c r="V12" s="327" t="str">
        <f>September!V12</f>
        <v/>
      </c>
      <c r="W12" s="325" t="str">
        <f>IFERROR(VLOOKUP(V12, Tarieven!$A$2:$J$150, 10, FALSE), "0")</f>
        <v>0</v>
      </c>
      <c r="X12" s="138">
        <f>September!X12</f>
        <v>2</v>
      </c>
      <c r="Y12" s="398">
        <v>0.0</v>
      </c>
      <c r="Z12" s="329">
        <f t="shared" si="3"/>
        <v>6</v>
      </c>
      <c r="AA12" s="32">
        <f t="shared" si="4"/>
        <v>87.6</v>
      </c>
      <c r="AB12" s="32">
        <f t="shared" si="5"/>
        <v>113</v>
      </c>
      <c r="AC12" s="32">
        <f t="shared" si="6"/>
        <v>25.4</v>
      </c>
      <c r="AE12" s="330"/>
      <c r="AF12" s="330"/>
    </row>
    <row r="13" ht="22.5" customHeight="1">
      <c r="A13" s="331" t="str">
        <f>Rooster!A14</f>
        <v>Maandag</v>
      </c>
      <c r="B13" s="425">
        <f>Rooster!B14</f>
        <v>0.7083333333</v>
      </c>
      <c r="C13" s="426">
        <f>Rooster!C14</f>
        <v>60</v>
      </c>
      <c r="D13" s="11" t="str">
        <f>Rooster!D14</f>
        <v>Streetdance 8+</v>
      </c>
      <c r="E13" s="77">
        <v>3.0</v>
      </c>
      <c r="F13" s="70" t="s">
        <v>55</v>
      </c>
      <c r="G13" s="319">
        <f>IFERROR(VLOOKUP(F13, Docenten!$A$2:$G$30, 7, FALSE), "0")</f>
        <v>15</v>
      </c>
      <c r="H13" s="320">
        <f t="shared" si="1"/>
        <v>15</v>
      </c>
      <c r="I13" s="327" t="str">
        <f>Rooster!H15</f>
        <v>Santpoort Zuid</v>
      </c>
      <c r="J13" s="321">
        <f>IFERROR(VLOOKUP(I13, Locaties!$A$2:$G$15, 7, FALSE), "0")</f>
        <v>18.9</v>
      </c>
      <c r="K13" s="42">
        <f t="shared" si="2"/>
        <v>18.9</v>
      </c>
      <c r="L13" s="427">
        <f>September!L13</f>
        <v>5</v>
      </c>
      <c r="M13" s="428" t="str">
        <f>September!M13</f>
        <v>2x per week abbo</v>
      </c>
      <c r="N13" s="321">
        <f>IFERROR(VLOOKUP(M13, Tarieven!$A$1:$J$150, 10, FALSE), "0")</f>
        <v>28.55</v>
      </c>
      <c r="O13" s="429">
        <f>September!O13</f>
        <v>1</v>
      </c>
      <c r="P13" s="430" t="str">
        <f>September!P13</f>
        <v>1x per week abbo</v>
      </c>
      <c r="Q13" s="325">
        <f>IFERROR(VLOOKUP(P13, Tarieven!$A$2:$J$150, 10, FALSE), "0")</f>
        <v>31</v>
      </c>
      <c r="R13" s="431" t="str">
        <f>September!R13</f>
        <v/>
      </c>
      <c r="S13" s="430" t="str">
        <f>September!S13</f>
        <v/>
      </c>
      <c r="T13" s="325" t="str">
        <f>IFERROR(VLOOKUP(S13, Tarieven!$A$2:$J$150, 10, FALSE), "0")</f>
        <v>0</v>
      </c>
      <c r="U13" s="77" t="str">
        <f>September!U13</f>
        <v/>
      </c>
      <c r="V13" s="327" t="str">
        <f>September!V13</f>
        <v/>
      </c>
      <c r="W13" s="325" t="str">
        <f>IFERROR(VLOOKUP(V13, Tarieven!$A$2:$J$150, 10, FALSE), "0")</f>
        <v>0</v>
      </c>
      <c r="X13" s="138">
        <f>September!X13</f>
        <v>13</v>
      </c>
      <c r="Y13" s="398">
        <v>0.0</v>
      </c>
      <c r="Z13" s="329">
        <f t="shared" si="3"/>
        <v>19</v>
      </c>
      <c r="AA13" s="32">
        <f t="shared" si="4"/>
        <v>101.7</v>
      </c>
      <c r="AB13" s="32">
        <f t="shared" si="5"/>
        <v>173.75</v>
      </c>
      <c r="AC13" s="32">
        <f t="shared" si="6"/>
        <v>72.05</v>
      </c>
    </row>
    <row r="14" ht="22.5" customHeight="1">
      <c r="A14" s="331" t="str">
        <f>Rooster!A15</f>
        <v>Dinsdag</v>
      </c>
      <c r="B14" s="425">
        <f>Rooster!B15</f>
        <v>0.6666666667</v>
      </c>
      <c r="C14" s="426">
        <f>Rooster!C15</f>
        <v>60</v>
      </c>
      <c r="D14" s="11" t="str">
        <f>Rooster!D15</f>
        <v>Modern 8+</v>
      </c>
      <c r="E14" s="77">
        <v>3.0</v>
      </c>
      <c r="F14" s="70" t="s">
        <v>55</v>
      </c>
      <c r="G14" s="319">
        <f>IFERROR(VLOOKUP(F14, Docenten!$A$2:$G$30, 7, FALSE), "0")</f>
        <v>15</v>
      </c>
      <c r="H14" s="320">
        <f t="shared" si="1"/>
        <v>15</v>
      </c>
      <c r="I14" s="327" t="str">
        <f>Rooster!H16</f>
        <v>Santpoort Zuid</v>
      </c>
      <c r="J14" s="321">
        <f>IFERROR(VLOOKUP(I14, Locaties!$A$2:$G$15, 7, FALSE), "0")</f>
        <v>18.9</v>
      </c>
      <c r="K14" s="42">
        <f t="shared" si="2"/>
        <v>18.9</v>
      </c>
      <c r="L14" s="427">
        <f>September!L14</f>
        <v>3</v>
      </c>
      <c r="M14" s="428" t="str">
        <f>September!M14</f>
        <v>Cheer regulier + onbeperkt abbo</v>
      </c>
      <c r="N14" s="321">
        <f>IFERROR(VLOOKUP(M14, Tarieven!$A$1:$J$150, 10, FALSE), "0")</f>
        <v>44.45</v>
      </c>
      <c r="O14" s="429">
        <f>September!O14</f>
        <v>4</v>
      </c>
      <c r="P14" s="430" t="str">
        <f>September!P14</f>
        <v>2x per week abbo</v>
      </c>
      <c r="Q14" s="325">
        <f>IFERROR(VLOOKUP(P14, Tarieven!$A$2:$J$150, 10, FALSE), "0")</f>
        <v>28.55</v>
      </c>
      <c r="R14" s="431">
        <f>September!R14</f>
        <v>1</v>
      </c>
      <c r="S14" s="430" t="str">
        <f>September!S14</f>
        <v>Cheer regulier +1 abbo</v>
      </c>
      <c r="T14" s="325">
        <f>IFERROR(VLOOKUP(S14, Tarieven!$A$2:$J$150, 10, FALSE), "0")</f>
        <v>32.25</v>
      </c>
      <c r="U14" s="77" t="str">
        <f>September!U14</f>
        <v/>
      </c>
      <c r="V14" s="327" t="str">
        <f>September!V14</f>
        <v/>
      </c>
      <c r="W14" s="325" t="str">
        <f>IFERROR(VLOOKUP(V14, Tarieven!$A$2:$J$150, 10, FALSE), "0")</f>
        <v>0</v>
      </c>
      <c r="X14" s="138">
        <f>September!X14</f>
        <v>8</v>
      </c>
      <c r="Y14" s="398">
        <v>0.0</v>
      </c>
      <c r="Z14" s="329">
        <f t="shared" si="3"/>
        <v>16</v>
      </c>
      <c r="AA14" s="32">
        <f t="shared" si="4"/>
        <v>101.7</v>
      </c>
      <c r="AB14" s="32">
        <f t="shared" si="5"/>
        <v>279.8</v>
      </c>
      <c r="AC14" s="32">
        <f t="shared" si="6"/>
        <v>178.1</v>
      </c>
    </row>
    <row r="15" ht="22.5" customHeight="1">
      <c r="A15" s="331" t="str">
        <f>Rooster!A16</f>
        <v>Dinsdag</v>
      </c>
      <c r="B15" s="425">
        <f>Rooster!B16</f>
        <v>0.7083333333</v>
      </c>
      <c r="C15" s="426">
        <f>Rooster!C16</f>
        <v>60</v>
      </c>
      <c r="D15" s="11" t="str">
        <f>Rooster!D16</f>
        <v>Selectie show 8+</v>
      </c>
      <c r="E15" s="77">
        <v>3.0</v>
      </c>
      <c r="F15" s="327" t="str">
        <f>Rooster!E17</f>
        <v>Eigenaar</v>
      </c>
      <c r="G15" s="319">
        <f>IFERROR(VLOOKUP(F15, Docenten!$A$2:$G$30, 7, FALSE), "0")</f>
        <v>0</v>
      </c>
      <c r="H15" s="320">
        <f t="shared" si="1"/>
        <v>0</v>
      </c>
      <c r="I15" s="327" t="str">
        <f>Rooster!H17</f>
        <v>Santpoort Zuid</v>
      </c>
      <c r="J15" s="321">
        <f>IFERROR(VLOOKUP(I15, Locaties!$A$2:$G$15, 7, FALSE), "0")</f>
        <v>18.9</v>
      </c>
      <c r="K15" s="42">
        <f t="shared" si="2"/>
        <v>18.9</v>
      </c>
      <c r="L15" s="427">
        <f>September!L15</f>
        <v>2</v>
      </c>
      <c r="M15" s="428" t="str">
        <f>September!M15</f>
        <v>Cheer regulier + onbeperkt abbo</v>
      </c>
      <c r="N15" s="321">
        <f>IFERROR(VLOOKUP(M15, Tarieven!$A$1:$J$150, 10, FALSE), "0")</f>
        <v>44.45</v>
      </c>
      <c r="O15" s="429">
        <f>September!O15</f>
        <v>2</v>
      </c>
      <c r="P15" s="430" t="str">
        <f>September!P15</f>
        <v>2x per week abbo</v>
      </c>
      <c r="Q15" s="325">
        <f>IFERROR(VLOOKUP(P15, Tarieven!$A$2:$J$150, 10, FALSE), "0")</f>
        <v>28.55</v>
      </c>
      <c r="R15" s="431">
        <f>September!R15</f>
        <v>1</v>
      </c>
      <c r="S15" s="430" t="str">
        <f>September!S15</f>
        <v>Cheer regulier +2 abbo</v>
      </c>
      <c r="T15" s="325">
        <f>IFERROR(VLOOKUP(S15, Tarieven!$A$2:$J$150, 10, FALSE), "0")</f>
        <v>29.03333333</v>
      </c>
      <c r="U15" s="77" t="str">
        <f>September!U15</f>
        <v/>
      </c>
      <c r="V15" s="327" t="str">
        <f>September!V15</f>
        <v/>
      </c>
      <c r="W15" s="325" t="str">
        <f>IFERROR(VLOOKUP(V15, Tarieven!$A$2:$J$150, 10, FALSE), "0")</f>
        <v>0</v>
      </c>
      <c r="X15" s="138">
        <f>September!X15</f>
        <v>7</v>
      </c>
      <c r="Y15" s="398">
        <v>0.0</v>
      </c>
      <c r="Z15" s="329">
        <f t="shared" si="3"/>
        <v>12</v>
      </c>
      <c r="AA15" s="32">
        <f t="shared" si="4"/>
        <v>56.7</v>
      </c>
      <c r="AB15" s="32">
        <f t="shared" si="5"/>
        <v>175.0333333</v>
      </c>
      <c r="AC15" s="32">
        <f t="shared" si="6"/>
        <v>118.3333333</v>
      </c>
    </row>
    <row r="16" ht="22.5" customHeight="1">
      <c r="A16" s="331" t="str">
        <f>Rooster!A17</f>
        <v>Dinsdag</v>
      </c>
      <c r="B16" s="425">
        <f>Rooster!B17</f>
        <v>0.75</v>
      </c>
      <c r="C16" s="426">
        <f>Rooster!C17</f>
        <v>90</v>
      </c>
      <c r="D16" s="11" t="str">
        <f>Rooster!D17</f>
        <v>Selectie Cheer</v>
      </c>
      <c r="E16" s="77">
        <v>3.0</v>
      </c>
      <c r="F16" s="327" t="str">
        <f>Rooster!E18</f>
        <v>Eigenaar</v>
      </c>
      <c r="G16" s="319">
        <f>IFERROR(VLOOKUP(F16, Docenten!$A$2:$G$30, 7, FALSE), "0")</f>
        <v>0</v>
      </c>
      <c r="H16" s="320">
        <f t="shared" si="1"/>
        <v>0</v>
      </c>
      <c r="I16" s="327" t="str">
        <f>Rooster!H18</f>
        <v>Santpoort Zuid</v>
      </c>
      <c r="J16" s="321">
        <f>IFERROR(VLOOKUP(I16, Locaties!$A$2:$G$15, 7, FALSE), "0")</f>
        <v>18.9</v>
      </c>
      <c r="K16" s="42">
        <f t="shared" si="2"/>
        <v>28.35</v>
      </c>
      <c r="L16" s="427">
        <f>September!L16</f>
        <v>2</v>
      </c>
      <c r="M16" s="428" t="str">
        <f>September!M16</f>
        <v>Cheer selectie +2 abbo</v>
      </c>
      <c r="N16" s="321">
        <f>IFERROR(VLOOKUP(M16, Tarieven!$A$1:$J$150, 10, FALSE), "0")</f>
        <v>31.53333333</v>
      </c>
      <c r="O16" s="429">
        <f>September!O16</f>
        <v>1</v>
      </c>
      <c r="P16" s="430" t="str">
        <f>September!P16</f>
        <v>Cheer selectie +1 abbo</v>
      </c>
      <c r="Q16" s="325">
        <f>IFERROR(VLOOKUP(P16, Tarieven!$A$2:$J$150, 10, FALSE), "0")</f>
        <v>34.25</v>
      </c>
      <c r="R16" s="431" t="str">
        <f>September!R16</f>
        <v/>
      </c>
      <c r="S16" s="430" t="str">
        <f>September!S16</f>
        <v/>
      </c>
      <c r="T16" s="325" t="str">
        <f>IFERROR(VLOOKUP(S16, Tarieven!$A$2:$J$150, 10, FALSE), "0")</f>
        <v>0</v>
      </c>
      <c r="U16" s="77" t="str">
        <f>September!U16</f>
        <v/>
      </c>
      <c r="V16" s="327" t="str">
        <f>September!V16</f>
        <v/>
      </c>
      <c r="W16" s="325" t="str">
        <f>IFERROR(VLOOKUP(V16, Tarieven!$A$2:$J$150, 10, FALSE), "0")</f>
        <v>0</v>
      </c>
      <c r="X16" s="138">
        <f>September!X16</f>
        <v>8</v>
      </c>
      <c r="Y16" s="398">
        <v>0.0</v>
      </c>
      <c r="Z16" s="329">
        <f t="shared" si="3"/>
        <v>11</v>
      </c>
      <c r="AA16" s="32">
        <f t="shared" si="4"/>
        <v>85.05</v>
      </c>
      <c r="AB16" s="32">
        <f t="shared" si="5"/>
        <v>97.31666667</v>
      </c>
      <c r="AC16" s="32">
        <f t="shared" si="6"/>
        <v>12.26666667</v>
      </c>
    </row>
    <row r="17" ht="22.5" customHeight="1">
      <c r="A17" s="331" t="str">
        <f>Rooster!A18</f>
        <v>Dinsdag</v>
      </c>
      <c r="B17" s="425">
        <f>Rooster!B18</f>
        <v>0.8125</v>
      </c>
      <c r="C17" s="426">
        <f>Rooster!C18</f>
        <v>60</v>
      </c>
      <c r="D17" s="11" t="str">
        <f>Rooster!D18</f>
        <v>Hiphop 15+</v>
      </c>
      <c r="E17" s="77">
        <v>4.0</v>
      </c>
      <c r="F17" s="70" t="s">
        <v>318</v>
      </c>
      <c r="G17" s="319" t="str">
        <f>IFERROR(VLOOKUP(F17, Docenten!$A$2:$G$30, 7, FALSE), "0")</f>
        <v>0</v>
      </c>
      <c r="H17" s="320">
        <f t="shared" si="1"/>
        <v>0</v>
      </c>
      <c r="I17" s="327" t="str">
        <f>Rooster!H19</f>
        <v>Santpoort Noord</v>
      </c>
      <c r="J17" s="321">
        <f>IFERROR(VLOOKUP(I17, Locaties!$A$2:$G$15, 7, FALSE), "0")</f>
        <v>14.2</v>
      </c>
      <c r="K17" s="42">
        <f t="shared" si="2"/>
        <v>14.2</v>
      </c>
      <c r="L17" s="427">
        <f>September!L17</f>
        <v>1</v>
      </c>
      <c r="M17" s="428" t="str">
        <f>September!M17</f>
        <v>2x per week abbo</v>
      </c>
      <c r="N17" s="321">
        <f>IFERROR(VLOOKUP(M17, Tarieven!$A$1:$J$150, 10, FALSE), "0")</f>
        <v>28.55</v>
      </c>
      <c r="O17" s="429">
        <f>September!O17</f>
        <v>3</v>
      </c>
      <c r="P17" s="430" t="str">
        <f>September!P17</f>
        <v>3x per week abbo</v>
      </c>
      <c r="Q17" s="325">
        <f>IFERROR(VLOOKUP(P17, Tarieven!$A$2:$J$150, 10, FALSE), "0")</f>
        <v>28.93333333</v>
      </c>
      <c r="R17" s="431">
        <f>September!R17</f>
        <v>1</v>
      </c>
      <c r="S17" s="430" t="str">
        <f>September!S17</f>
        <v>1x per week abbo</v>
      </c>
      <c r="T17" s="325">
        <f>IFERROR(VLOOKUP(S17, Tarieven!$A$2:$J$150, 10, FALSE), "0")</f>
        <v>31</v>
      </c>
      <c r="U17" s="77">
        <v>1.0</v>
      </c>
      <c r="V17" s="70" t="s">
        <v>46</v>
      </c>
      <c r="W17" s="432">
        <v>20.0</v>
      </c>
      <c r="X17" s="138">
        <f>September!X17</f>
        <v>9</v>
      </c>
      <c r="Y17" s="398">
        <v>0.0</v>
      </c>
      <c r="Z17" s="329">
        <f t="shared" si="3"/>
        <v>15</v>
      </c>
      <c r="AA17" s="32">
        <f t="shared" si="4"/>
        <v>56.8</v>
      </c>
      <c r="AB17" s="32">
        <f t="shared" si="5"/>
        <v>166.35</v>
      </c>
      <c r="AC17" s="32">
        <f t="shared" si="6"/>
        <v>109.55</v>
      </c>
    </row>
    <row r="18" ht="22.5" customHeight="1">
      <c r="A18" s="331" t="str">
        <f>Rooster!A19</f>
        <v>Woensdag</v>
      </c>
      <c r="B18" s="425">
        <f>Rooster!B19</f>
        <v>0.6041666667</v>
      </c>
      <c r="C18" s="426">
        <f>Rooster!C19</f>
        <v>60</v>
      </c>
      <c r="D18" s="11" t="str">
        <f>Rooster!D19</f>
        <v>Streetdance 6+</v>
      </c>
      <c r="E18" s="77">
        <v>4.0</v>
      </c>
      <c r="F18" s="327" t="str">
        <f>Rooster!E20</f>
        <v>Julia</v>
      </c>
      <c r="G18" s="319">
        <f>IFERROR(VLOOKUP(F18, Docenten!$A$2:$G$30, 7, FALSE), "0")</f>
        <v>15</v>
      </c>
      <c r="H18" s="320">
        <f t="shared" si="1"/>
        <v>15</v>
      </c>
      <c r="I18" s="327" t="str">
        <f>Rooster!H20</f>
        <v>Santpoort Noord</v>
      </c>
      <c r="J18" s="321">
        <f>IFERROR(VLOOKUP(I18, Locaties!$A$2:$G$15, 7, FALSE), "0")</f>
        <v>14.2</v>
      </c>
      <c r="K18" s="42">
        <f t="shared" si="2"/>
        <v>14.2</v>
      </c>
      <c r="L18" s="440">
        <v>5.0</v>
      </c>
      <c r="M18" s="428" t="str">
        <f>September!M18</f>
        <v>1x per week abbo</v>
      </c>
      <c r="N18" s="321">
        <f>IFERROR(VLOOKUP(M18, Tarieven!$A$1:$J$150, 10, FALSE), "0")</f>
        <v>31</v>
      </c>
      <c r="O18" s="429">
        <f>September!O18</f>
        <v>1</v>
      </c>
      <c r="P18" s="430" t="str">
        <f>September!P18</f>
        <v>Cheer regulier +1 abbo</v>
      </c>
      <c r="Q18" s="325">
        <f>IFERROR(VLOOKUP(P18, Tarieven!$A$2:$J$150, 10, FALSE), "0")</f>
        <v>32.25</v>
      </c>
      <c r="R18" s="431">
        <f>September!R18</f>
        <v>1</v>
      </c>
      <c r="S18" s="430" t="str">
        <f>September!S18</f>
        <v>Cheer regulier + onbeperkt abbo</v>
      </c>
      <c r="T18" s="325">
        <f>IFERROR(VLOOKUP(S18, Tarieven!$A$2:$J$150, 10, FALSE), "0")</f>
        <v>44.45</v>
      </c>
      <c r="U18" s="77">
        <v>1.0</v>
      </c>
      <c r="V18" s="70" t="s">
        <v>48</v>
      </c>
      <c r="W18" s="432">
        <v>229.0</v>
      </c>
      <c r="X18" s="138">
        <f>September!X18</f>
        <v>9</v>
      </c>
      <c r="Y18" s="398">
        <v>0.0</v>
      </c>
      <c r="Z18" s="329">
        <f t="shared" si="3"/>
        <v>17</v>
      </c>
      <c r="AA18" s="32">
        <f t="shared" si="4"/>
        <v>116.8</v>
      </c>
      <c r="AB18" s="32">
        <f t="shared" si="5"/>
        <v>460.7</v>
      </c>
      <c r="AC18" s="32">
        <f t="shared" si="6"/>
        <v>343.9</v>
      </c>
    </row>
    <row r="19" ht="22.5" customHeight="1">
      <c r="A19" s="331" t="str">
        <f>Rooster!A20</f>
        <v>Woensdag</v>
      </c>
      <c r="B19" s="425">
        <f>Rooster!B20</f>
        <v>0.6458333333</v>
      </c>
      <c r="C19" s="426">
        <f>Rooster!C20</f>
        <v>60</v>
      </c>
      <c r="D19" s="11" t="str">
        <f>Rooster!D20</f>
        <v>Streetdance 8+</v>
      </c>
      <c r="E19" s="77">
        <v>4.0</v>
      </c>
      <c r="F19" s="327" t="str">
        <f>Rooster!E21</f>
        <v>Julia</v>
      </c>
      <c r="G19" s="319">
        <f>IFERROR(VLOOKUP(F19, Docenten!$A$2:$G$30, 7, FALSE), "0")</f>
        <v>15</v>
      </c>
      <c r="H19" s="320">
        <f t="shared" si="1"/>
        <v>15</v>
      </c>
      <c r="I19" s="327" t="str">
        <f>Rooster!H21</f>
        <v>Santpoort Noord</v>
      </c>
      <c r="J19" s="321">
        <f>IFERROR(VLOOKUP(I19, Locaties!$A$2:$G$15, 7, FALSE), "0")</f>
        <v>14.2</v>
      </c>
      <c r="K19" s="42">
        <f t="shared" si="2"/>
        <v>14.2</v>
      </c>
      <c r="L19" s="427">
        <f>September!L19</f>
        <v>3</v>
      </c>
      <c r="M19" s="428" t="str">
        <f>September!M19</f>
        <v>1x per week abbo</v>
      </c>
      <c r="N19" s="321">
        <f>IFERROR(VLOOKUP(M19, Tarieven!$A$1:$J$150, 10, FALSE), "0")</f>
        <v>31</v>
      </c>
      <c r="O19" s="429">
        <f>September!O19</f>
        <v>1</v>
      </c>
      <c r="P19" s="430" t="str">
        <f>September!P19</f>
        <v>Cheer regulier +1 abbo</v>
      </c>
      <c r="Q19" s="325">
        <f>IFERROR(VLOOKUP(P19, Tarieven!$A$2:$J$150, 10, FALSE), "0")</f>
        <v>32.25</v>
      </c>
      <c r="R19" s="431">
        <f>September!R19</f>
        <v>1</v>
      </c>
      <c r="S19" s="430" t="str">
        <f>September!S19</f>
        <v>Cheer regulier + onbeperkt abbo</v>
      </c>
      <c r="T19" s="325">
        <f>IFERROR(VLOOKUP(S19, Tarieven!$A$2:$J$150, 10, FALSE), "0")</f>
        <v>44.45</v>
      </c>
      <c r="U19" s="77" t="str">
        <f>September!U19</f>
        <v/>
      </c>
      <c r="V19" s="327" t="str">
        <f>September!V19</f>
        <v/>
      </c>
      <c r="W19" s="325" t="str">
        <f>IFERROR(VLOOKUP(V19, Tarieven!$A$2:$J$150, 10, FALSE), "0")</f>
        <v>0</v>
      </c>
      <c r="X19" s="138">
        <f>September!X19</f>
        <v>11</v>
      </c>
      <c r="Y19" s="398">
        <v>0.0</v>
      </c>
      <c r="Z19" s="329">
        <f t="shared" si="3"/>
        <v>16</v>
      </c>
      <c r="AA19" s="32">
        <f t="shared" si="4"/>
        <v>116.8</v>
      </c>
      <c r="AB19" s="32">
        <f t="shared" si="5"/>
        <v>169.7</v>
      </c>
      <c r="AC19" s="32">
        <f t="shared" si="6"/>
        <v>52.9</v>
      </c>
    </row>
    <row r="20" ht="22.5" customHeight="1">
      <c r="A20" s="331" t="str">
        <f>Rooster!A21</f>
        <v>Woensdag</v>
      </c>
      <c r="B20" s="425">
        <f>Rooster!B21</f>
        <v>0.6875</v>
      </c>
      <c r="C20" s="426">
        <f>Rooster!C21</f>
        <v>60</v>
      </c>
      <c r="D20" s="11" t="str">
        <f>Rooster!D21</f>
        <v>Modern 11+</v>
      </c>
      <c r="E20" s="77">
        <v>4.0</v>
      </c>
      <c r="F20" s="70" t="s">
        <v>55</v>
      </c>
      <c r="G20" s="319">
        <f>IFERROR(VLOOKUP(F20, Docenten!$A$2:$G$30, 7, FALSE), "0")</f>
        <v>15</v>
      </c>
      <c r="H20" s="320">
        <f t="shared" si="1"/>
        <v>15</v>
      </c>
      <c r="I20" s="327" t="str">
        <f>Rooster!H22</f>
        <v>Santpoort Noord</v>
      </c>
      <c r="J20" s="321">
        <f>IFERROR(VLOOKUP(I20, Locaties!$A$2:$G$15, 7, FALSE), "0")</f>
        <v>14.2</v>
      </c>
      <c r="K20" s="42">
        <f t="shared" si="2"/>
        <v>14.2</v>
      </c>
      <c r="L20" s="427">
        <f>September!L20</f>
        <v>1</v>
      </c>
      <c r="M20" s="428" t="str">
        <f>September!M20</f>
        <v>1x per week abbo</v>
      </c>
      <c r="N20" s="321">
        <f>IFERROR(VLOOKUP(M20, Tarieven!$A$1:$J$150, 10, FALSE), "0")</f>
        <v>31</v>
      </c>
      <c r="O20" s="429">
        <f>September!O20</f>
        <v>3</v>
      </c>
      <c r="P20" s="430" t="str">
        <f>September!P20</f>
        <v>2x per week abbo</v>
      </c>
      <c r="Q20" s="325">
        <f>IFERROR(VLOOKUP(P20, Tarieven!$A$2:$J$150, 10, FALSE), "0")</f>
        <v>28.55</v>
      </c>
      <c r="R20" s="431">
        <f>September!R20</f>
        <v>1</v>
      </c>
      <c r="S20" s="430" t="str">
        <f>September!S20</f>
        <v>Cheer regulier +1 abbo</v>
      </c>
      <c r="T20" s="325">
        <f>IFERROR(VLOOKUP(S20, Tarieven!$A$2:$J$150, 10, FALSE), "0")</f>
        <v>32.25</v>
      </c>
      <c r="U20" s="77" t="str">
        <f>September!U20</f>
        <v/>
      </c>
      <c r="V20" s="327" t="str">
        <f>September!V20</f>
        <v/>
      </c>
      <c r="W20" s="325" t="str">
        <f>IFERROR(VLOOKUP(V20, Tarieven!$A$2:$J$150, 10, FALSE), "0")</f>
        <v>0</v>
      </c>
      <c r="X20" s="138">
        <f>September!X20</f>
        <v>9</v>
      </c>
      <c r="Y20" s="398">
        <v>0.0</v>
      </c>
      <c r="Z20" s="329">
        <f t="shared" si="3"/>
        <v>14</v>
      </c>
      <c r="AA20" s="32">
        <f t="shared" si="4"/>
        <v>116.8</v>
      </c>
      <c r="AB20" s="32">
        <f t="shared" si="5"/>
        <v>148.9</v>
      </c>
      <c r="AC20" s="32">
        <f t="shared" si="6"/>
        <v>32.1</v>
      </c>
    </row>
    <row r="21" ht="22.5" customHeight="1">
      <c r="A21" s="331" t="str">
        <f>Rooster!A22</f>
        <v>Woensdag</v>
      </c>
      <c r="B21" s="425">
        <f>Rooster!B22</f>
        <v>0.7291666667</v>
      </c>
      <c r="C21" s="426">
        <f>Rooster!C22</f>
        <v>60</v>
      </c>
      <c r="D21" s="11" t="str">
        <f>Rooster!D22</f>
        <v>Selectie Hiphop 11+</v>
      </c>
      <c r="E21" s="77">
        <v>4.0</v>
      </c>
      <c r="F21" s="327" t="str">
        <f>Rooster!E23</f>
        <v>Eigenaar</v>
      </c>
      <c r="G21" s="319">
        <f>IFERROR(VLOOKUP(F21, Docenten!$A$2:$G$30, 7, FALSE), "0")</f>
        <v>0</v>
      </c>
      <c r="H21" s="320">
        <f t="shared" si="1"/>
        <v>0</v>
      </c>
      <c r="I21" s="327" t="str">
        <f>Rooster!H23</f>
        <v>Santpoort Noord</v>
      </c>
      <c r="J21" s="321">
        <f>IFERROR(VLOOKUP(I21, Locaties!$A$2:$G$15, 7, FALSE), "0")</f>
        <v>14.2</v>
      </c>
      <c r="K21" s="42">
        <f t="shared" si="2"/>
        <v>14.2</v>
      </c>
      <c r="L21" s="427">
        <f>September!L21</f>
        <v>1</v>
      </c>
      <c r="M21" s="428" t="str">
        <f>September!M21</f>
        <v>Cheer selectie +1 abbo</v>
      </c>
      <c r="N21" s="321">
        <f>IFERROR(VLOOKUP(M21, Tarieven!$A$1:$J$150, 10, FALSE), "0")</f>
        <v>34.25</v>
      </c>
      <c r="O21" s="429" t="str">
        <f>September!O21</f>
        <v/>
      </c>
      <c r="P21" s="430" t="str">
        <f>September!P21</f>
        <v/>
      </c>
      <c r="Q21" s="325" t="str">
        <f>IFERROR(VLOOKUP(P21, Tarieven!$A$2:$J$150, 10, FALSE), "0")</f>
        <v>0</v>
      </c>
      <c r="R21" s="431" t="str">
        <f>September!R21</f>
        <v/>
      </c>
      <c r="S21" s="430" t="str">
        <f>September!S21</f>
        <v/>
      </c>
      <c r="T21" s="325" t="str">
        <f>IFERROR(VLOOKUP(S21, Tarieven!$A$2:$J$150, 10, FALSE), "0")</f>
        <v>0</v>
      </c>
      <c r="U21" s="77" t="str">
        <f>September!U21</f>
        <v/>
      </c>
      <c r="V21" s="327" t="str">
        <f>September!V21</f>
        <v/>
      </c>
      <c r="W21" s="325" t="str">
        <f>IFERROR(VLOOKUP(V21, Tarieven!$A$2:$J$150, 10, FALSE), "0")</f>
        <v>0</v>
      </c>
      <c r="X21" s="138">
        <f>September!X21</f>
        <v>11</v>
      </c>
      <c r="Y21" s="398">
        <v>0.0</v>
      </c>
      <c r="Z21" s="329">
        <f t="shared" si="3"/>
        <v>12</v>
      </c>
      <c r="AA21" s="32">
        <f t="shared" si="4"/>
        <v>56.8</v>
      </c>
      <c r="AB21" s="32">
        <f t="shared" si="5"/>
        <v>34.25</v>
      </c>
      <c r="AC21" s="32">
        <f t="shared" si="6"/>
        <v>-22.55</v>
      </c>
    </row>
    <row r="22" ht="22.5" customHeight="1">
      <c r="A22" s="331" t="str">
        <f>Rooster!A23</f>
        <v>Woensdag</v>
      </c>
      <c r="B22" s="425">
        <f>Rooster!B23</f>
        <v>0.7708333333</v>
      </c>
      <c r="C22" s="426">
        <f>Rooster!C23</f>
        <v>60</v>
      </c>
      <c r="D22" s="11" t="str">
        <f>Rooster!D23</f>
        <v>Show 12+</v>
      </c>
      <c r="E22" s="77">
        <v>4.0</v>
      </c>
      <c r="F22" s="70" t="s">
        <v>318</v>
      </c>
      <c r="G22" s="319" t="str">
        <f>IFERROR(VLOOKUP(F22, Docenten!$A$2:$G$30, 7, FALSE), "0")</f>
        <v>0</v>
      </c>
      <c r="H22" s="320">
        <f t="shared" si="1"/>
        <v>0</v>
      </c>
      <c r="I22" s="327" t="str">
        <f>Rooster!H24</f>
        <v/>
      </c>
      <c r="J22" s="321" t="str">
        <f>IFERROR(VLOOKUP(I22, Locaties!$A$2:$G$15, 7, FALSE), "0")</f>
        <v>0</v>
      </c>
      <c r="K22" s="42">
        <f t="shared" si="2"/>
        <v>0</v>
      </c>
      <c r="L22" s="427">
        <f>September!L22</f>
        <v>1</v>
      </c>
      <c r="M22" s="428" t="str">
        <f>September!M22</f>
        <v>1x per week abbo</v>
      </c>
      <c r="N22" s="321">
        <f>IFERROR(VLOOKUP(M22, Tarieven!$A$1:$J$150, 10, FALSE), "0")</f>
        <v>31</v>
      </c>
      <c r="O22" s="437">
        <v>1.0</v>
      </c>
      <c r="P22" s="438" t="s">
        <v>48</v>
      </c>
      <c r="Q22" s="325">
        <f>IFERROR(VLOOKUP(P22, Tarieven!$A$2:$J$150, 10, FALSE), "0")</f>
        <v>279</v>
      </c>
      <c r="R22" s="431"/>
      <c r="S22" s="430"/>
      <c r="T22" s="325" t="str">
        <f>IFERROR(VLOOKUP(S22, Tarieven!$A$2:$J$150, 10, FALSE), "0")</f>
        <v>0</v>
      </c>
      <c r="U22" s="77" t="str">
        <f>September!U22</f>
        <v/>
      </c>
      <c r="V22" s="327" t="str">
        <f>September!V22</f>
        <v/>
      </c>
      <c r="W22" s="325" t="str">
        <f>IFERROR(VLOOKUP(V22, Tarieven!$A$2:$J$150, 10, FALSE), "0")</f>
        <v>0</v>
      </c>
      <c r="X22" s="138">
        <f>September!X22</f>
        <v>9</v>
      </c>
      <c r="Y22" s="398">
        <v>0.0</v>
      </c>
      <c r="Z22" s="329">
        <f t="shared" si="3"/>
        <v>11</v>
      </c>
      <c r="AA22" s="32">
        <f t="shared" si="4"/>
        <v>0</v>
      </c>
      <c r="AB22" s="32">
        <f t="shared" si="5"/>
        <v>310</v>
      </c>
      <c r="AC22" s="32">
        <f t="shared" si="6"/>
        <v>310</v>
      </c>
    </row>
    <row r="23" ht="22.5" customHeight="1">
      <c r="A23" s="331" t="str">
        <f>Rooster!A24</f>
        <v/>
      </c>
      <c r="B23" s="425" t="str">
        <f>Rooster!B24</f>
        <v/>
      </c>
      <c r="C23" s="426" t="str">
        <f>Rooster!C24</f>
        <v/>
      </c>
      <c r="D23" s="11" t="str">
        <f>Rooster!D24</f>
        <v/>
      </c>
      <c r="E23" s="77"/>
      <c r="F23" s="327"/>
      <c r="G23" s="319" t="str">
        <f>IFERROR(VLOOKUP(F23, Docenten!$A$2:$G$30, 7, FALSE), "0")</f>
        <v>0</v>
      </c>
      <c r="H23" s="320">
        <f t="shared" si="1"/>
        <v>0</v>
      </c>
      <c r="I23" s="327"/>
      <c r="J23" s="321" t="str">
        <f>IFERROR(VLOOKUP(I23, Locaties!$A$2:$G$15, 7, FALSE), "0")</f>
        <v>0</v>
      </c>
      <c r="K23" s="42">
        <f t="shared" si="2"/>
        <v>0</v>
      </c>
      <c r="L23" s="427" t="str">
        <f>September!L23</f>
        <v/>
      </c>
      <c r="M23" s="428" t="str">
        <f>September!M23</f>
        <v/>
      </c>
      <c r="N23" s="321" t="str">
        <f>IFERROR(VLOOKUP(M23, Tarieven!$A$1:$J$150, 10, FALSE), "0")</f>
        <v>0</v>
      </c>
      <c r="O23" s="429" t="str">
        <f>September!O23</f>
        <v/>
      </c>
      <c r="P23" s="430" t="str">
        <f>September!P23</f>
        <v/>
      </c>
      <c r="Q23" s="325" t="str">
        <f>IFERROR(VLOOKUP(P23, Tarieven!$A$2:$J$150, 10, FALSE), "0")</f>
        <v>0</v>
      </c>
      <c r="R23" s="431" t="str">
        <f>September!R23</f>
        <v/>
      </c>
      <c r="S23" s="430" t="str">
        <f>September!S23</f>
        <v/>
      </c>
      <c r="T23" s="325" t="str">
        <f>IFERROR(VLOOKUP(S23, Tarieven!$A$2:$J$150, 10, FALSE), "0")</f>
        <v>0</v>
      </c>
      <c r="U23" s="77" t="str">
        <f>September!U23</f>
        <v/>
      </c>
      <c r="V23" s="327" t="str">
        <f>September!V23</f>
        <v/>
      </c>
      <c r="W23" s="325" t="str">
        <f>IFERROR(VLOOKUP(V23, Tarieven!$A$2:$J$150, 10, FALSE), "0")</f>
        <v>0</v>
      </c>
      <c r="X23" s="138">
        <f>September!X23</f>
        <v>0</v>
      </c>
      <c r="Y23" s="398">
        <v>0.0</v>
      </c>
      <c r="Z23" s="329">
        <f t="shared" si="3"/>
        <v>0</v>
      </c>
      <c r="AA23" s="32">
        <f t="shared" si="4"/>
        <v>0</v>
      </c>
      <c r="AB23" s="32">
        <f t="shared" si="5"/>
        <v>0</v>
      </c>
      <c r="AC23" s="32">
        <f t="shared" si="6"/>
        <v>0</v>
      </c>
    </row>
    <row r="24" ht="22.5" customHeight="1">
      <c r="A24" s="331" t="str">
        <f>Rooster!A25</f>
        <v>Donderdag</v>
      </c>
      <c r="B24" s="425">
        <f>Rooster!B25</f>
        <v>0.6458333333</v>
      </c>
      <c r="C24" s="426">
        <f>Rooster!C25</f>
        <v>60</v>
      </c>
      <c r="D24" s="11" t="str">
        <f>Rooster!D25</f>
        <v>Showdance 6+</v>
      </c>
      <c r="E24" s="77">
        <v>4.0</v>
      </c>
      <c r="F24" s="327" t="str">
        <f>Rooster!E26</f>
        <v>Eigenaar</v>
      </c>
      <c r="G24" s="319">
        <f>IFERROR(VLOOKUP(F24, Docenten!$A$2:$G$30, 7, FALSE), "0")</f>
        <v>0</v>
      </c>
      <c r="H24" s="320">
        <f t="shared" si="1"/>
        <v>0</v>
      </c>
      <c r="I24" s="327" t="str">
        <f>Rooster!H26</f>
        <v>Santpoort Zuid</v>
      </c>
      <c r="J24" s="321">
        <f>IFERROR(VLOOKUP(I24, Locaties!$A$2:$G$15, 7, FALSE), "0")</f>
        <v>18.9</v>
      </c>
      <c r="K24" s="42">
        <f t="shared" si="2"/>
        <v>18.9</v>
      </c>
      <c r="L24" s="440">
        <v>4.0</v>
      </c>
      <c r="M24" s="428" t="str">
        <f>September!M24</f>
        <v>1x per week abbo</v>
      </c>
      <c r="N24" s="321">
        <f>IFERROR(VLOOKUP(M24, Tarieven!$A$1:$J$150, 10, FALSE), "0")</f>
        <v>31</v>
      </c>
      <c r="O24" s="429">
        <f>September!O24</f>
        <v>3</v>
      </c>
      <c r="P24" s="430" t="str">
        <f>September!P24</f>
        <v>2x per week abbo</v>
      </c>
      <c r="Q24" s="325">
        <f>IFERROR(VLOOKUP(P24, Tarieven!$A$2:$J$150, 10, FALSE), "0")</f>
        <v>28.55</v>
      </c>
      <c r="R24" s="431" t="str">
        <f>September!R24</f>
        <v/>
      </c>
      <c r="S24" s="430" t="str">
        <f>September!S24</f>
        <v/>
      </c>
      <c r="T24" s="325" t="str">
        <f>IFERROR(VLOOKUP(S24, Tarieven!$A$2:$J$150, 10, FALSE), "0")</f>
        <v>0</v>
      </c>
      <c r="U24" s="77" t="str">
        <f>September!U24</f>
        <v/>
      </c>
      <c r="V24" s="327" t="str">
        <f>September!V24</f>
        <v/>
      </c>
      <c r="W24" s="325" t="str">
        <f>IFERROR(VLOOKUP(V24, Tarieven!$A$2:$J$150, 10, FALSE), "0")</f>
        <v>0</v>
      </c>
      <c r="X24" s="138">
        <f>September!X24</f>
        <v>4</v>
      </c>
      <c r="Y24" s="398">
        <v>0.0</v>
      </c>
      <c r="Z24" s="329">
        <f t="shared" si="3"/>
        <v>11</v>
      </c>
      <c r="AA24" s="32">
        <f t="shared" si="4"/>
        <v>75.6</v>
      </c>
      <c r="AB24" s="32">
        <f t="shared" si="5"/>
        <v>209.65</v>
      </c>
      <c r="AC24" s="32">
        <f t="shared" si="6"/>
        <v>134.05</v>
      </c>
    </row>
    <row r="25" ht="22.5" customHeight="1">
      <c r="A25" s="331" t="str">
        <f>Rooster!A26</f>
        <v>Donderdag</v>
      </c>
      <c r="B25" s="425">
        <f>Rooster!B26</f>
        <v>0.6875</v>
      </c>
      <c r="C25" s="426">
        <f>Rooster!C26</f>
        <v>60</v>
      </c>
      <c r="D25" s="11" t="str">
        <f>Rooster!D26</f>
        <v>Showdance 8+</v>
      </c>
      <c r="E25" s="77">
        <v>4.0</v>
      </c>
      <c r="F25" s="327" t="str">
        <f>Rooster!E27</f>
        <v>Eigenaar</v>
      </c>
      <c r="G25" s="319">
        <f>IFERROR(VLOOKUP(F25, Docenten!$A$2:$G$30, 7, FALSE), "0")</f>
        <v>0</v>
      </c>
      <c r="H25" s="320">
        <f t="shared" si="1"/>
        <v>0</v>
      </c>
      <c r="I25" s="327" t="str">
        <f>Rooster!H27</f>
        <v>Santpoort Zuid</v>
      </c>
      <c r="J25" s="321">
        <f>IFERROR(VLOOKUP(I25, Locaties!$A$2:$G$15, 7, FALSE), "0")</f>
        <v>18.9</v>
      </c>
      <c r="K25" s="42">
        <f t="shared" si="2"/>
        <v>18.9</v>
      </c>
      <c r="L25" s="427">
        <f>September!L25</f>
        <v>3</v>
      </c>
      <c r="M25" s="428" t="str">
        <f>September!M25</f>
        <v>1x per week abbo</v>
      </c>
      <c r="N25" s="321">
        <f>IFERROR(VLOOKUP(M25, Tarieven!$A$1:$J$150, 10, FALSE), "0")</f>
        <v>31</v>
      </c>
      <c r="O25" s="429">
        <f>September!O25</f>
        <v>2</v>
      </c>
      <c r="P25" s="430" t="str">
        <f>September!P25</f>
        <v>Cheer regulier + onbeperkt abbo</v>
      </c>
      <c r="Q25" s="325">
        <f>IFERROR(VLOOKUP(P25, Tarieven!$A$2:$J$150, 10, FALSE), "0")</f>
        <v>44.45</v>
      </c>
      <c r="R25" s="431">
        <f>September!R25</f>
        <v>1</v>
      </c>
      <c r="S25" s="430" t="str">
        <f>September!S25</f>
        <v>Cheer regulier +1 abbo</v>
      </c>
      <c r="T25" s="325">
        <f>IFERROR(VLOOKUP(S25, Tarieven!$A$2:$J$150, 10, FALSE), "0")</f>
        <v>32.25</v>
      </c>
      <c r="U25" s="77" t="str">
        <f>September!U25</f>
        <v/>
      </c>
      <c r="V25" s="327" t="str">
        <f>September!V25</f>
        <v/>
      </c>
      <c r="W25" s="325" t="str">
        <f>IFERROR(VLOOKUP(V25, Tarieven!$A$2:$J$150, 10, FALSE), "0")</f>
        <v>0</v>
      </c>
      <c r="X25" s="138">
        <f>September!X25</f>
        <v>4</v>
      </c>
      <c r="Y25" s="398">
        <v>0.0</v>
      </c>
      <c r="Z25" s="329">
        <f t="shared" si="3"/>
        <v>10</v>
      </c>
      <c r="AA25" s="32">
        <f t="shared" si="4"/>
        <v>75.6</v>
      </c>
      <c r="AB25" s="32">
        <f t="shared" si="5"/>
        <v>214.15</v>
      </c>
      <c r="AC25" s="32">
        <f t="shared" si="6"/>
        <v>138.55</v>
      </c>
    </row>
    <row r="26" ht="22.5" customHeight="1">
      <c r="A26" s="331" t="str">
        <f>Rooster!A27</f>
        <v>Donderdag</v>
      </c>
      <c r="B26" s="425">
        <f>Rooster!B27</f>
        <v>0.7291666667</v>
      </c>
      <c r="C26" s="426">
        <f>Rooster!C27</f>
        <v>60</v>
      </c>
      <c r="D26" s="11" t="str">
        <f>Rooster!D27</f>
        <v>Modern 14+</v>
      </c>
      <c r="E26" s="77">
        <v>4.0</v>
      </c>
      <c r="F26" s="70" t="s">
        <v>318</v>
      </c>
      <c r="G26" s="319" t="str">
        <f>IFERROR(VLOOKUP(F26, Docenten!$A$2:$G$30, 7, FALSE), "0")</f>
        <v>0</v>
      </c>
      <c r="H26" s="320">
        <f t="shared" si="1"/>
        <v>0</v>
      </c>
      <c r="I26" s="327" t="str">
        <f>Rooster!H28</f>
        <v>Santpoort Zuid</v>
      </c>
      <c r="J26" s="321">
        <f>IFERROR(VLOOKUP(I26, Locaties!$A$2:$G$15, 7, FALSE), "0")</f>
        <v>18.9</v>
      </c>
      <c r="K26" s="42">
        <f t="shared" si="2"/>
        <v>18.9</v>
      </c>
      <c r="L26" s="427">
        <f>September!L26</f>
        <v>2</v>
      </c>
      <c r="M26" s="428" t="str">
        <f>September!M26</f>
        <v>3x per week abbo</v>
      </c>
      <c r="N26" s="321">
        <f>IFERROR(VLOOKUP(M26, Tarieven!$A$1:$J$150, 10, FALSE), "0")</f>
        <v>28.93333333</v>
      </c>
      <c r="O26" s="429" t="str">
        <f>September!O26</f>
        <v/>
      </c>
      <c r="P26" s="430" t="str">
        <f>September!P26</f>
        <v/>
      </c>
      <c r="Q26" s="325" t="str">
        <f>IFERROR(VLOOKUP(P26, Tarieven!$A$2:$J$150, 10, FALSE), "0")</f>
        <v>0</v>
      </c>
      <c r="R26" s="431">
        <f>September!R26</f>
        <v>2</v>
      </c>
      <c r="S26" s="430" t="str">
        <f>September!S26</f>
        <v>Cheer selectie +2 abbo</v>
      </c>
      <c r="T26" s="325">
        <f>IFERROR(VLOOKUP(S26, Tarieven!$A$2:$J$150, 10, FALSE), "0")</f>
        <v>31.53333333</v>
      </c>
      <c r="U26" s="77" t="str">
        <f>September!U26</f>
        <v/>
      </c>
      <c r="V26" s="327" t="str">
        <f>September!V26</f>
        <v/>
      </c>
      <c r="W26" s="325" t="str">
        <f>IFERROR(VLOOKUP(V26, Tarieven!$A$2:$J$150, 10, FALSE), "0")</f>
        <v>0</v>
      </c>
      <c r="X26" s="138">
        <f>September!X26</f>
        <v>7</v>
      </c>
      <c r="Y26" s="398">
        <v>0.0</v>
      </c>
      <c r="Z26" s="329">
        <f t="shared" si="3"/>
        <v>11</v>
      </c>
      <c r="AA26" s="32">
        <f t="shared" si="4"/>
        <v>75.6</v>
      </c>
      <c r="AB26" s="32">
        <f t="shared" si="5"/>
        <v>120.9333333</v>
      </c>
      <c r="AC26" s="32">
        <f t="shared" si="6"/>
        <v>45.33333333</v>
      </c>
    </row>
    <row r="27" ht="22.5" customHeight="1">
      <c r="A27" s="331" t="str">
        <f>Rooster!A28</f>
        <v>Donderdag</v>
      </c>
      <c r="B27" s="425">
        <f>Rooster!B28</f>
        <v>0.7708333333</v>
      </c>
      <c r="C27" s="426">
        <f>Rooster!C28</f>
        <v>60</v>
      </c>
      <c r="D27" s="11" t="str">
        <f>Rooster!D28</f>
        <v>Commercial 14+</v>
      </c>
      <c r="E27" s="77">
        <v>4.0</v>
      </c>
      <c r="F27" s="327" t="str">
        <f>Rooster!E29</f>
        <v>Nova</v>
      </c>
      <c r="G27" s="319">
        <f>IFERROR(VLOOKUP(F27, Docenten!$A$2:$G$30, 7, FALSE), "0")</f>
        <v>22.5</v>
      </c>
      <c r="H27" s="320">
        <f t="shared" si="1"/>
        <v>22.5</v>
      </c>
      <c r="I27" s="327" t="str">
        <f>Rooster!H29</f>
        <v>Santpoort Zuid</v>
      </c>
      <c r="J27" s="321">
        <f>IFERROR(VLOOKUP(I27, Locaties!$A$2:$G$15, 7, FALSE), "0")</f>
        <v>18.9</v>
      </c>
      <c r="K27" s="42">
        <f t="shared" si="2"/>
        <v>18.9</v>
      </c>
      <c r="L27" s="427">
        <f>September!L27</f>
        <v>2</v>
      </c>
      <c r="M27" s="428" t="str">
        <f>September!M27</f>
        <v>Cheer selectie +2 abbo</v>
      </c>
      <c r="N27" s="321">
        <f>IFERROR(VLOOKUP(M27, Tarieven!$A$1:$J$150, 10, FALSE), "0")</f>
        <v>31.53333333</v>
      </c>
      <c r="O27" s="429">
        <f>September!O27</f>
        <v>3</v>
      </c>
      <c r="P27" s="430" t="str">
        <f>September!P27</f>
        <v>3x per week abbo</v>
      </c>
      <c r="Q27" s="325">
        <f>IFERROR(VLOOKUP(P27, Tarieven!$A$2:$J$150, 10, FALSE), "0")</f>
        <v>28.93333333</v>
      </c>
      <c r="R27" s="431">
        <f>September!R27</f>
        <v>2</v>
      </c>
      <c r="S27" s="430" t="str">
        <f>September!S27</f>
        <v>2x per week abbo</v>
      </c>
      <c r="T27" s="325">
        <f>IFERROR(VLOOKUP(S27, Tarieven!$A$2:$J$150, 10, FALSE), "0")</f>
        <v>28.55</v>
      </c>
      <c r="U27" s="77">
        <v>1.0</v>
      </c>
      <c r="V27" s="70" t="s">
        <v>54</v>
      </c>
      <c r="W27" s="325">
        <f>IFERROR(VLOOKUP(V27, Tarieven!$A$2:$J$150, 10, FALSE), "0")</f>
        <v>31</v>
      </c>
      <c r="X27" s="138">
        <f>September!X27</f>
        <v>10</v>
      </c>
      <c r="Y27" s="398">
        <v>0.0</v>
      </c>
      <c r="Z27" s="329">
        <f t="shared" si="3"/>
        <v>18</v>
      </c>
      <c r="AA27" s="32">
        <f t="shared" si="4"/>
        <v>165.6</v>
      </c>
      <c r="AB27" s="32">
        <f t="shared" si="5"/>
        <v>237.9666667</v>
      </c>
      <c r="AC27" s="32">
        <f t="shared" si="6"/>
        <v>72.36666667</v>
      </c>
    </row>
    <row r="28" ht="22.5" customHeight="1">
      <c r="A28" s="331" t="str">
        <f>Rooster!A29</f>
        <v>Donderdag</v>
      </c>
      <c r="B28" s="425">
        <f>Rooster!B29</f>
        <v>0.8125</v>
      </c>
      <c r="C28" s="426">
        <f>Rooster!C29</f>
        <v>60</v>
      </c>
      <c r="D28" s="11" t="str">
        <f>Rooster!D29</f>
        <v>Selectie Hiphop 16+</v>
      </c>
      <c r="E28" s="77">
        <v>4.0</v>
      </c>
      <c r="F28" s="327" t="str">
        <f>Rooster!E30</f>
        <v>Nova</v>
      </c>
      <c r="G28" s="319">
        <f>IFERROR(VLOOKUP(F28, Docenten!$A$2:$G$30, 7, FALSE), "0")</f>
        <v>22.5</v>
      </c>
      <c r="H28" s="320">
        <f t="shared" si="1"/>
        <v>22.5</v>
      </c>
      <c r="I28" s="327" t="str">
        <f>Rooster!H30</f>
        <v>Santpoort Zuid</v>
      </c>
      <c r="J28" s="321">
        <f>IFERROR(VLOOKUP(I28, Locaties!$A$2:$G$15, 7, FALSE), "0")</f>
        <v>18.9</v>
      </c>
      <c r="K28" s="42">
        <f t="shared" si="2"/>
        <v>18.9</v>
      </c>
      <c r="L28" s="427">
        <f>September!L28</f>
        <v>2</v>
      </c>
      <c r="M28" s="428" t="str">
        <f>September!M28</f>
        <v>2x per week abbo</v>
      </c>
      <c r="N28" s="321">
        <f>IFERROR(VLOOKUP(M28, Tarieven!$A$1:$J$150, 10, FALSE), "0")</f>
        <v>28.55</v>
      </c>
      <c r="O28" s="429">
        <f>September!O28</f>
        <v>2</v>
      </c>
      <c r="P28" s="430" t="str">
        <f>September!P28</f>
        <v>3x per week abbo</v>
      </c>
      <c r="Q28" s="325">
        <f>IFERROR(VLOOKUP(P28, Tarieven!$A$2:$J$150, 10, FALSE), "0")</f>
        <v>28.93333333</v>
      </c>
      <c r="R28" s="431">
        <f>September!R28</f>
        <v>2</v>
      </c>
      <c r="S28" s="430" t="str">
        <f>September!S28</f>
        <v>Onbeperkt abbo</v>
      </c>
      <c r="T28" s="325">
        <f>IFERROR(VLOOKUP(S28, Tarieven!$A$2:$J$150, 10, FALSE), "0")</f>
        <v>27</v>
      </c>
      <c r="U28" s="77" t="str">
        <f>September!U28</f>
        <v/>
      </c>
      <c r="V28" s="327" t="str">
        <f>September!V28</f>
        <v/>
      </c>
      <c r="W28" s="325" t="str">
        <f>IFERROR(VLOOKUP(V28, Tarieven!$A$2:$J$150, 10, FALSE), "0")</f>
        <v>0</v>
      </c>
      <c r="X28" s="138">
        <f>September!X28</f>
        <v>8</v>
      </c>
      <c r="Y28" s="398">
        <v>0.0</v>
      </c>
      <c r="Z28" s="329">
        <f t="shared" si="3"/>
        <v>14</v>
      </c>
      <c r="AA28" s="32">
        <f t="shared" si="4"/>
        <v>165.6</v>
      </c>
      <c r="AB28" s="32">
        <f t="shared" si="5"/>
        <v>168.9666667</v>
      </c>
      <c r="AC28" s="32">
        <f t="shared" si="6"/>
        <v>3.366666667</v>
      </c>
    </row>
    <row r="29" ht="22.5" customHeight="1">
      <c r="A29" s="331" t="str">
        <f>Rooster!A30</f>
        <v>Donderdag</v>
      </c>
      <c r="B29" s="425">
        <f>Rooster!B30</f>
        <v>0.8541666667</v>
      </c>
      <c r="C29" s="426">
        <f>Rooster!C30</f>
        <v>60</v>
      </c>
      <c r="D29" s="11" t="str">
        <f>Rooster!D30</f>
        <v>Modern 16+</v>
      </c>
      <c r="E29" s="77">
        <v>4.0</v>
      </c>
      <c r="F29" s="70" t="s">
        <v>45</v>
      </c>
      <c r="G29" s="319">
        <f>IFERROR(VLOOKUP(F29, Docenten!$A$2:$G$30, 7, FALSE), "0")</f>
        <v>22.5</v>
      </c>
      <c r="H29" s="320">
        <f t="shared" si="1"/>
        <v>22.5</v>
      </c>
      <c r="I29" s="327" t="str">
        <f>Rooster!H31</f>
        <v>Santpoort Zuid</v>
      </c>
      <c r="J29" s="321">
        <f>IFERROR(VLOOKUP(I29, Locaties!$A$2:$G$15, 7, FALSE), "0")</f>
        <v>18.9</v>
      </c>
      <c r="K29" s="42">
        <f t="shared" si="2"/>
        <v>18.9</v>
      </c>
      <c r="L29" s="427" t="str">
        <f>September!L29</f>
        <v/>
      </c>
      <c r="M29" s="428" t="str">
        <f>September!M29</f>
        <v/>
      </c>
      <c r="N29" s="321" t="str">
        <f>IFERROR(VLOOKUP(M29, Tarieven!$A$1:$J$150, 10, FALSE), "0")</f>
        <v>0</v>
      </c>
      <c r="O29" s="429">
        <f>September!O29</f>
        <v>1</v>
      </c>
      <c r="P29" s="430" t="str">
        <f>September!P29</f>
        <v>3x per week abbo</v>
      </c>
      <c r="Q29" s="325">
        <f>IFERROR(VLOOKUP(P29, Tarieven!$A$2:$J$150, 10, FALSE), "0")</f>
        <v>28.93333333</v>
      </c>
      <c r="R29" s="431">
        <f>September!R29</f>
        <v>1</v>
      </c>
      <c r="S29" s="430" t="str">
        <f>September!S29</f>
        <v>1x per week abbo</v>
      </c>
      <c r="T29" s="325">
        <f>IFERROR(VLOOKUP(S29, Tarieven!$A$2:$J$150, 10, FALSE), "0")</f>
        <v>31</v>
      </c>
      <c r="U29" s="77" t="str">
        <f>September!U29</f>
        <v/>
      </c>
      <c r="V29" s="327" t="str">
        <f>September!V29</f>
        <v/>
      </c>
      <c r="W29" s="325" t="str">
        <f>IFERROR(VLOOKUP(V29, Tarieven!$A$2:$J$150, 10, FALSE), "0")</f>
        <v>0</v>
      </c>
      <c r="X29" s="138">
        <f>September!X29</f>
        <v>5</v>
      </c>
      <c r="Y29" s="398">
        <v>0.0</v>
      </c>
      <c r="Z29" s="329">
        <f t="shared" si="3"/>
        <v>7</v>
      </c>
      <c r="AA29" s="32">
        <f t="shared" si="4"/>
        <v>165.6</v>
      </c>
      <c r="AB29" s="32">
        <f t="shared" si="5"/>
        <v>59.93333333</v>
      </c>
      <c r="AC29" s="32">
        <f t="shared" si="6"/>
        <v>-105.6666667</v>
      </c>
    </row>
    <row r="30" ht="22.5" customHeight="1">
      <c r="A30" s="331" t="str">
        <f>Rooster!A31</f>
        <v>Vrijdag</v>
      </c>
      <c r="B30" s="425">
        <f>Rooster!B31</f>
        <v>0.625</v>
      </c>
      <c r="C30" s="426">
        <f>Rooster!C31</f>
        <v>60</v>
      </c>
      <c r="D30" s="11" t="str">
        <f>Rooster!D31</f>
        <v>Selectie Hiphop 8+</v>
      </c>
      <c r="E30" s="77">
        <v>4.0</v>
      </c>
      <c r="F30" s="327" t="str">
        <f>Rooster!E32</f>
        <v>Eigenaar</v>
      </c>
      <c r="G30" s="319">
        <f>IFERROR(VLOOKUP(F30, Docenten!$A$2:$G$30, 7, FALSE), "0")</f>
        <v>0</v>
      </c>
      <c r="H30" s="320">
        <f t="shared" si="1"/>
        <v>0</v>
      </c>
      <c r="I30" s="327" t="str">
        <f>Rooster!H32</f>
        <v>Santpoort Zuid</v>
      </c>
      <c r="J30" s="321">
        <f>IFERROR(VLOOKUP(I30, Locaties!$A$2:$G$15, 7, FALSE), "0")</f>
        <v>18.9</v>
      </c>
      <c r="K30" s="42">
        <f t="shared" si="2"/>
        <v>18.9</v>
      </c>
      <c r="L30" s="427">
        <f>September!L30</f>
        <v>3</v>
      </c>
      <c r="M30" s="428" t="str">
        <f>September!M30</f>
        <v>Cheer regulier + onbeperkt abbo</v>
      </c>
      <c r="N30" s="321">
        <f>IFERROR(VLOOKUP(M30, Tarieven!$A$1:$J$150, 10, FALSE), "0")</f>
        <v>44.45</v>
      </c>
      <c r="O30" s="429">
        <f>September!O30</f>
        <v>5</v>
      </c>
      <c r="P30" s="430" t="str">
        <f>September!P30</f>
        <v>2x per week abbo</v>
      </c>
      <c r="Q30" s="325">
        <f>IFERROR(VLOOKUP(P30, Tarieven!$A$2:$J$150, 10, FALSE), "0")</f>
        <v>28.55</v>
      </c>
      <c r="R30" s="431">
        <f>September!R30</f>
        <v>1</v>
      </c>
      <c r="S30" s="430" t="str">
        <f>September!S30</f>
        <v>Cheer regulier +2 abbo</v>
      </c>
      <c r="T30" s="325">
        <f>IFERROR(VLOOKUP(S30, Tarieven!$A$2:$J$150, 10, FALSE), "0")</f>
        <v>29.03333333</v>
      </c>
      <c r="U30" s="77" t="str">
        <f>September!U30</f>
        <v/>
      </c>
      <c r="V30" s="327" t="str">
        <f>September!V30</f>
        <v/>
      </c>
      <c r="W30" s="325" t="str">
        <f>IFERROR(VLOOKUP(V30, Tarieven!$A$2:$J$150, 10, FALSE), "0")</f>
        <v>0</v>
      </c>
      <c r="X30" s="138">
        <f>September!X30</f>
        <v>4</v>
      </c>
      <c r="Y30" s="398">
        <v>0.0</v>
      </c>
      <c r="Z30" s="329">
        <f t="shared" si="3"/>
        <v>13</v>
      </c>
      <c r="AA30" s="32">
        <f t="shared" si="4"/>
        <v>75.6</v>
      </c>
      <c r="AB30" s="32">
        <f t="shared" si="5"/>
        <v>305.1333333</v>
      </c>
      <c r="AC30" s="32">
        <f t="shared" si="6"/>
        <v>229.5333333</v>
      </c>
    </row>
    <row r="31" ht="22.5" customHeight="1">
      <c r="A31" s="331" t="str">
        <f>Rooster!A32</f>
        <v>Vrijdag</v>
      </c>
      <c r="B31" s="425">
        <f>Rooster!B32</f>
        <v>0.6666666667</v>
      </c>
      <c r="C31" s="426">
        <f>Rooster!C32</f>
        <v>60</v>
      </c>
      <c r="D31" s="11" t="str">
        <f>Rooster!D32</f>
        <v>Cheer 8+</v>
      </c>
      <c r="E31" s="77">
        <v>4.0</v>
      </c>
      <c r="F31" s="327" t="str">
        <f>Rooster!E33</f>
        <v>Eigenaar</v>
      </c>
      <c r="G31" s="319">
        <f>IFERROR(VLOOKUP(F31, Docenten!$A$2:$G$30, 7, FALSE), "0")</f>
        <v>0</v>
      </c>
      <c r="H31" s="320">
        <f t="shared" si="1"/>
        <v>0</v>
      </c>
      <c r="I31" s="327" t="str">
        <f>Rooster!H33</f>
        <v>Santpoort Zuid</v>
      </c>
      <c r="J31" s="321">
        <f>IFERROR(VLOOKUP(I31, Locaties!$A$2:$G$15, 7, FALSE), "0")</f>
        <v>18.9</v>
      </c>
      <c r="K31" s="42">
        <f t="shared" si="2"/>
        <v>18.9</v>
      </c>
      <c r="L31" s="427">
        <f>September!L31</f>
        <v>4</v>
      </c>
      <c r="M31" s="428" t="str">
        <f>September!M31</f>
        <v>Cheer regulier +1 abbo</v>
      </c>
      <c r="N31" s="321">
        <f>IFERROR(VLOOKUP(M31, Tarieven!$A$1:$J$150, 10, FALSE), "0")</f>
        <v>32.25</v>
      </c>
      <c r="O31" s="429">
        <f>September!O31</f>
        <v>3</v>
      </c>
      <c r="P31" s="430" t="str">
        <f>September!P31</f>
        <v>Cheer regulier + onbeperkt abbo</v>
      </c>
      <c r="Q31" s="325">
        <f>IFERROR(VLOOKUP(P31, Tarieven!$A$2:$J$150, 10, FALSE), "0")</f>
        <v>44.45</v>
      </c>
      <c r="R31" s="441">
        <v>1.0</v>
      </c>
      <c r="S31" s="438" t="s">
        <v>81</v>
      </c>
      <c r="T31" s="432">
        <v>256.0</v>
      </c>
      <c r="U31" s="77" t="str">
        <f>September!U31</f>
        <v/>
      </c>
      <c r="V31" s="327" t="str">
        <f>September!V31</f>
        <v/>
      </c>
      <c r="W31" s="325" t="str">
        <f>IFERROR(VLOOKUP(V31, Tarieven!$A$2:$J$150, 10, FALSE), "0")</f>
        <v>0</v>
      </c>
      <c r="X31" s="138">
        <f>September!X31</f>
        <v>11</v>
      </c>
      <c r="Y31" s="398">
        <v>0.0</v>
      </c>
      <c r="Z31" s="329">
        <f t="shared" si="3"/>
        <v>19</v>
      </c>
      <c r="AA31" s="32">
        <f t="shared" si="4"/>
        <v>75.6</v>
      </c>
      <c r="AB31" s="32">
        <f t="shared" si="5"/>
        <v>518.35</v>
      </c>
      <c r="AC31" s="32">
        <f t="shared" si="6"/>
        <v>442.75</v>
      </c>
    </row>
    <row r="32" ht="22.5" customHeight="1">
      <c r="A32" s="331" t="str">
        <f>Rooster!A33</f>
        <v>Vrijdag</v>
      </c>
      <c r="B32" s="425">
        <f>Rooster!B33</f>
        <v>0.7083333333</v>
      </c>
      <c r="C32" s="426">
        <f>Rooster!C33</f>
        <v>60</v>
      </c>
      <c r="D32" s="11" t="str">
        <f>Rooster!D33</f>
        <v>Cheer 12+</v>
      </c>
      <c r="E32" s="77">
        <v>4.0</v>
      </c>
      <c r="F32" s="327" t="str">
        <f>Rooster!E34</f>
        <v>Eigenaar</v>
      </c>
      <c r="G32" s="319">
        <f>IFERROR(VLOOKUP(F32, Docenten!$A$2:$G$30, 7, FALSE), "0")</f>
        <v>0</v>
      </c>
      <c r="H32" s="320">
        <f t="shared" si="1"/>
        <v>0</v>
      </c>
      <c r="I32" s="327" t="str">
        <f>Rooster!H34</f>
        <v>Santpoort Noord</v>
      </c>
      <c r="J32" s="321">
        <f>IFERROR(VLOOKUP(I32, Locaties!$A$2:$G$15, 7, FALSE), "0")</f>
        <v>14.2</v>
      </c>
      <c r="K32" s="42">
        <f t="shared" si="2"/>
        <v>14.2</v>
      </c>
      <c r="L32" s="427">
        <f>September!L32</f>
        <v>2</v>
      </c>
      <c r="M32" s="428" t="str">
        <f>September!M32</f>
        <v>Cheer regulier +1 abbo</v>
      </c>
      <c r="N32" s="321">
        <f>IFERROR(VLOOKUP(M32, Tarieven!$A$1:$J$150, 10, FALSE), "0")</f>
        <v>32.25</v>
      </c>
      <c r="O32" s="429"/>
      <c r="P32" s="430"/>
      <c r="Q32" s="325"/>
      <c r="R32" s="431" t="str">
        <f>September!R32</f>
        <v/>
      </c>
      <c r="S32" s="430" t="str">
        <f>September!S32</f>
        <v/>
      </c>
      <c r="T32" s="325" t="str">
        <f>IFERROR(VLOOKUP(S32, Tarieven!$A$2:$J$150, 10, FALSE), "0")</f>
        <v>0</v>
      </c>
      <c r="U32" s="77" t="str">
        <f>September!U32</f>
        <v/>
      </c>
      <c r="V32" s="327" t="str">
        <f>September!V32</f>
        <v/>
      </c>
      <c r="W32" s="325" t="str">
        <f>IFERROR(VLOOKUP(V32, Tarieven!$A$2:$J$150, 10, FALSE), "0")</f>
        <v>0</v>
      </c>
      <c r="X32" s="138">
        <f>September!X32</f>
        <v>5</v>
      </c>
      <c r="Y32" s="398">
        <v>0.0</v>
      </c>
      <c r="Z32" s="329">
        <f t="shared" si="3"/>
        <v>7</v>
      </c>
      <c r="AA32" s="32">
        <f t="shared" si="4"/>
        <v>56.8</v>
      </c>
      <c r="AB32" s="32">
        <f t="shared" si="5"/>
        <v>64.5</v>
      </c>
      <c r="AC32" s="32">
        <f t="shared" si="6"/>
        <v>7.7</v>
      </c>
    </row>
    <row r="33" ht="22.5" customHeight="1">
      <c r="A33" s="331" t="str">
        <f>Rooster!A34</f>
        <v>Vrijdag</v>
      </c>
      <c r="B33" s="425">
        <f>Rooster!B34</f>
        <v>0.75</v>
      </c>
      <c r="C33" s="426">
        <f>Rooster!C34</f>
        <v>60</v>
      </c>
      <c r="D33" s="11" t="str">
        <f>Rooster!D34</f>
        <v>Urban-pop-Show 11+</v>
      </c>
      <c r="E33" s="77">
        <v>4.0</v>
      </c>
      <c r="F33" s="327" t="str">
        <f>Rooster!E35</f>
        <v>Frederique</v>
      </c>
      <c r="G33" s="319">
        <f>IFERROR(VLOOKUP(F33, Docenten!$A$2:$G$30, 7, FALSE), "0")</f>
        <v>12.5</v>
      </c>
      <c r="H33" s="320">
        <f t="shared" si="1"/>
        <v>12.5</v>
      </c>
      <c r="I33" s="327" t="str">
        <f>Rooster!H35</f>
        <v>Santpoort Noord</v>
      </c>
      <c r="J33" s="321">
        <f>IFERROR(VLOOKUP(I33, Locaties!$A$2:$G$15, 7, FALSE), "0")</f>
        <v>14.2</v>
      </c>
      <c r="K33" s="42">
        <f t="shared" si="2"/>
        <v>14.2</v>
      </c>
      <c r="L33" s="427">
        <f>September!L33</f>
        <v>1</v>
      </c>
      <c r="M33" s="428" t="str">
        <f>September!M33</f>
        <v>1x per week abbo</v>
      </c>
      <c r="N33" s="321">
        <f>IFERROR(VLOOKUP(M33, Tarieven!$A$1:$J$150, 10, FALSE), "0")</f>
        <v>31</v>
      </c>
      <c r="O33" s="437">
        <v>1.0</v>
      </c>
      <c r="P33" s="438" t="s">
        <v>81</v>
      </c>
      <c r="Q33" s="432">
        <v>256.0</v>
      </c>
      <c r="R33" s="431" t="str">
        <f>September!R33</f>
        <v/>
      </c>
      <c r="S33" s="430" t="str">
        <f>September!S33</f>
        <v/>
      </c>
      <c r="T33" s="325" t="str">
        <f>IFERROR(VLOOKUP(S33, Tarieven!$A$2:$J$150, 10, FALSE), "0")</f>
        <v>0</v>
      </c>
      <c r="U33" s="77" t="str">
        <f>September!U33</f>
        <v/>
      </c>
      <c r="V33" s="327" t="str">
        <f>September!V33</f>
        <v/>
      </c>
      <c r="W33" s="325" t="str">
        <f>IFERROR(VLOOKUP(V33, Tarieven!$A$2:$J$150, 10, FALSE), "0")</f>
        <v>0</v>
      </c>
      <c r="X33" s="138">
        <f>September!X33</f>
        <v>8</v>
      </c>
      <c r="Y33" s="398">
        <v>0.0</v>
      </c>
      <c r="Z33" s="329">
        <f t="shared" si="3"/>
        <v>10</v>
      </c>
      <c r="AA33" s="32">
        <f t="shared" si="4"/>
        <v>106.8</v>
      </c>
      <c r="AB33" s="32">
        <f t="shared" si="5"/>
        <v>287</v>
      </c>
      <c r="AC33" s="32">
        <f t="shared" si="6"/>
        <v>180.2</v>
      </c>
    </row>
    <row r="34" ht="22.5" customHeight="1">
      <c r="A34" s="331" t="str">
        <f>Rooster!A35</f>
        <v>Zaterdag</v>
      </c>
      <c r="B34" s="425">
        <f>Rooster!B35</f>
        <v>0.375</v>
      </c>
      <c r="C34" s="426">
        <f>Rooster!C35</f>
        <v>60</v>
      </c>
      <c r="D34" s="11" t="str">
        <f>Rooster!D35</f>
        <v>Peuters</v>
      </c>
      <c r="E34" s="77">
        <v>4.0</v>
      </c>
      <c r="F34" s="327" t="str">
        <f>Rooster!E36</f>
        <v>Frederique</v>
      </c>
      <c r="G34" s="319">
        <f>IFERROR(VLOOKUP(F34, Docenten!$A$2:$G$30, 7, FALSE), "0")</f>
        <v>12.5</v>
      </c>
      <c r="H34" s="320">
        <f t="shared" si="1"/>
        <v>12.5</v>
      </c>
      <c r="I34" s="327" t="str">
        <f>Rooster!H36</f>
        <v>Santpoort Noord</v>
      </c>
      <c r="J34" s="321">
        <f>IFERROR(VLOOKUP(I34, Locaties!$A$2:$G$15, 7, FALSE), "0")</f>
        <v>14.2</v>
      </c>
      <c r="K34" s="42">
        <f t="shared" si="2"/>
        <v>14.2</v>
      </c>
      <c r="L34" s="440">
        <v>9.0</v>
      </c>
      <c r="M34" s="428" t="str">
        <f>September!M34</f>
        <v>1x per week abbo</v>
      </c>
      <c r="N34" s="321">
        <f>IFERROR(VLOOKUP(M34, Tarieven!$A$1:$J$150, 10, FALSE), "0")</f>
        <v>31</v>
      </c>
      <c r="O34" s="429" t="str">
        <f>September!O34</f>
        <v/>
      </c>
      <c r="P34" s="430" t="str">
        <f>September!P34</f>
        <v/>
      </c>
      <c r="Q34" s="325"/>
      <c r="R34" s="431" t="str">
        <f>September!R34</f>
        <v/>
      </c>
      <c r="S34" s="430" t="str">
        <f>September!S34</f>
        <v/>
      </c>
      <c r="T34" s="325" t="str">
        <f>IFERROR(VLOOKUP(S34, Tarieven!$A$2:$J$150, 10, FALSE), "0")</f>
        <v>0</v>
      </c>
      <c r="U34" s="77" t="str">
        <f>September!U34</f>
        <v/>
      </c>
      <c r="V34" s="327" t="str">
        <f>September!V34</f>
        <v/>
      </c>
      <c r="W34" s="325" t="str">
        <f>IFERROR(VLOOKUP(V34, Tarieven!$A$2:$J$150, 10, FALSE), "0")</f>
        <v>0</v>
      </c>
      <c r="X34" s="138">
        <f>September!X34</f>
        <v>4</v>
      </c>
      <c r="Y34" s="398">
        <v>0.0</v>
      </c>
      <c r="Z34" s="329">
        <f t="shared" si="3"/>
        <v>13</v>
      </c>
      <c r="AA34" s="32">
        <f t="shared" si="4"/>
        <v>106.8</v>
      </c>
      <c r="AB34" s="32">
        <f t="shared" si="5"/>
        <v>279</v>
      </c>
      <c r="AC34" s="32">
        <f t="shared" si="6"/>
        <v>172.2</v>
      </c>
    </row>
    <row r="35" ht="22.5" customHeight="1">
      <c r="A35" s="331" t="str">
        <f>Rooster!A36</f>
        <v>Zaterdag</v>
      </c>
      <c r="B35" s="425">
        <f>Rooster!B36</f>
        <v>0.40625</v>
      </c>
      <c r="C35" s="426">
        <f>Rooster!C36</f>
        <v>60</v>
      </c>
      <c r="D35" s="11" t="str">
        <f>Rooster!D36</f>
        <v>Kleuters</v>
      </c>
      <c r="E35" s="77">
        <v>4.0</v>
      </c>
      <c r="F35" s="327" t="str">
        <f>Rooster!E37</f>
        <v>Frederique</v>
      </c>
      <c r="G35" s="319">
        <f>IFERROR(VLOOKUP(F35, Docenten!$A$2:$G$30, 7, FALSE), "0")</f>
        <v>12.5</v>
      </c>
      <c r="H35" s="320">
        <f t="shared" si="1"/>
        <v>12.5</v>
      </c>
      <c r="I35" s="327" t="str">
        <f>Rooster!H37</f>
        <v>Santpoort Noord</v>
      </c>
      <c r="J35" s="321">
        <f>IFERROR(VLOOKUP(I35, Locaties!$A$2:$G$15, 7, FALSE), "0")</f>
        <v>14.2</v>
      </c>
      <c r="K35" s="42">
        <f t="shared" si="2"/>
        <v>14.2</v>
      </c>
      <c r="L35" s="440">
        <v>11.0</v>
      </c>
      <c r="M35" s="428" t="str">
        <f>September!M35</f>
        <v>1x per week abbo</v>
      </c>
      <c r="N35" s="321">
        <f>IFERROR(VLOOKUP(M35, Tarieven!$A$1:$J$150, 10, FALSE), "0")</f>
        <v>31</v>
      </c>
      <c r="O35" s="429" t="str">
        <f>September!O35</f>
        <v/>
      </c>
      <c r="P35" s="430" t="str">
        <f>September!P35</f>
        <v/>
      </c>
      <c r="Q35" s="325" t="str">
        <f>IFERROR(VLOOKUP(P35, Tarieven!$A$2:$J$150, 10, FALSE), "0")</f>
        <v>0</v>
      </c>
      <c r="R35" s="431" t="str">
        <f>September!R35</f>
        <v/>
      </c>
      <c r="S35" s="430" t="str">
        <f>September!S35</f>
        <v/>
      </c>
      <c r="T35" s="325" t="str">
        <f>IFERROR(VLOOKUP(S35, Tarieven!$A$2:$J$150, 10, FALSE), "0")</f>
        <v>0</v>
      </c>
      <c r="U35" s="77" t="str">
        <f>September!U35</f>
        <v/>
      </c>
      <c r="V35" s="327" t="str">
        <f>September!V35</f>
        <v/>
      </c>
      <c r="W35" s="325" t="str">
        <f>IFERROR(VLOOKUP(V35, Tarieven!$A$2:$J$150, 10, FALSE), "0")</f>
        <v>0</v>
      </c>
      <c r="X35" s="138">
        <f>September!X35</f>
        <v>5</v>
      </c>
      <c r="Y35" s="398">
        <v>0.0</v>
      </c>
      <c r="Z35" s="329">
        <f t="shared" si="3"/>
        <v>16</v>
      </c>
      <c r="AA35" s="32">
        <f t="shared" si="4"/>
        <v>106.8</v>
      </c>
      <c r="AB35" s="32">
        <f t="shared" si="5"/>
        <v>341</v>
      </c>
      <c r="AC35" s="32">
        <f t="shared" si="6"/>
        <v>234.2</v>
      </c>
    </row>
    <row r="36" ht="22.5" customHeight="1">
      <c r="A36" s="331" t="str">
        <f>Rooster!A37</f>
        <v>Zaterdag</v>
      </c>
      <c r="B36" s="425">
        <f>Rooster!B37</f>
        <v>0.4375</v>
      </c>
      <c r="C36" s="426">
        <f>Rooster!C37</f>
        <v>60</v>
      </c>
      <c r="D36" s="11" t="str">
        <f>Rooster!D37</f>
        <v>Showdance 5-6</v>
      </c>
      <c r="E36" s="77">
        <v>4.0</v>
      </c>
      <c r="F36" s="327" t="str">
        <f>Rooster!E38</f>
        <v>Frederique</v>
      </c>
      <c r="G36" s="319">
        <f>IFERROR(VLOOKUP(F36, Docenten!$A$2:$G$30, 7, FALSE), "0")</f>
        <v>12.5</v>
      </c>
      <c r="H36" s="320">
        <f t="shared" si="1"/>
        <v>12.5</v>
      </c>
      <c r="I36" s="327" t="str">
        <f>Rooster!H38</f>
        <v>Santpoort Noord</v>
      </c>
      <c r="J36" s="321">
        <f>IFERROR(VLOOKUP(I36, Locaties!$A$2:$G$15, 7, FALSE), "0")</f>
        <v>14.2</v>
      </c>
      <c r="K36" s="42">
        <f t="shared" si="2"/>
        <v>14.2</v>
      </c>
      <c r="L36" s="440">
        <v>3.0</v>
      </c>
      <c r="M36" s="428" t="str">
        <f>September!M36</f>
        <v>1x per week abbo</v>
      </c>
      <c r="N36" s="321">
        <f>IFERROR(VLOOKUP(M36, Tarieven!$A$1:$J$150, 10, FALSE), "0")</f>
        <v>31</v>
      </c>
      <c r="O36" s="429">
        <f>September!O36</f>
        <v>1</v>
      </c>
      <c r="P36" s="430" t="str">
        <f>September!P36</f>
        <v>2x per week abbo</v>
      </c>
      <c r="Q36" s="325">
        <f>IFERROR(VLOOKUP(P36, Tarieven!$A$2:$J$150, 10, FALSE), "0")</f>
        <v>28.55</v>
      </c>
      <c r="R36" s="431" t="str">
        <f>September!R36</f>
        <v/>
      </c>
      <c r="S36" s="430" t="str">
        <f>September!S36</f>
        <v/>
      </c>
      <c r="T36" s="325" t="str">
        <f>IFERROR(VLOOKUP(S36, Tarieven!$A$2:$J$150, 10, FALSE), "0")</f>
        <v>0</v>
      </c>
      <c r="U36" s="77" t="str">
        <f>September!U36</f>
        <v/>
      </c>
      <c r="V36" s="327" t="str">
        <f>September!V36</f>
        <v/>
      </c>
      <c r="W36" s="325" t="str">
        <f>IFERROR(VLOOKUP(V36, Tarieven!$A$2:$J$150, 10, FALSE), "0")</f>
        <v>0</v>
      </c>
      <c r="X36" s="138">
        <f>September!X36</f>
        <v>9</v>
      </c>
      <c r="Y36" s="398">
        <v>0.0</v>
      </c>
      <c r="Z36" s="329">
        <f t="shared" si="3"/>
        <v>13</v>
      </c>
      <c r="AA36" s="32">
        <f t="shared" si="4"/>
        <v>106.8</v>
      </c>
      <c r="AB36" s="32">
        <f t="shared" si="5"/>
        <v>121.55</v>
      </c>
      <c r="AC36" s="32">
        <f t="shared" si="6"/>
        <v>14.75</v>
      </c>
    </row>
    <row r="37" ht="22.5" customHeight="1">
      <c r="A37" s="331" t="str">
        <f>Rooster!A38</f>
        <v>Zaterdag</v>
      </c>
      <c r="B37" s="425">
        <f>Rooster!B38</f>
        <v>0.4791666667</v>
      </c>
      <c r="C37" s="426">
        <f>Rooster!C38</f>
        <v>60</v>
      </c>
      <c r="D37" s="11" t="str">
        <f>Rooster!D38</f>
        <v>Showdance 7+</v>
      </c>
      <c r="E37" s="77">
        <v>4.0</v>
      </c>
      <c r="F37" s="70" t="s">
        <v>49</v>
      </c>
      <c r="G37" s="319">
        <f>IFERROR(VLOOKUP(F37, Docenten!$A$2:$G$30, 7, FALSE), "0")</f>
        <v>12.5</v>
      </c>
      <c r="H37" s="320">
        <f t="shared" si="1"/>
        <v>12.5</v>
      </c>
      <c r="I37" s="70" t="s">
        <v>28</v>
      </c>
      <c r="J37" s="321">
        <f>IFERROR(VLOOKUP(I37, Locaties!$A$2:$G$15, 7, FALSE), "0")</f>
        <v>14.2</v>
      </c>
      <c r="K37" s="42">
        <f t="shared" si="2"/>
        <v>14.2</v>
      </c>
      <c r="L37" s="440">
        <v>6.0</v>
      </c>
      <c r="M37" s="428" t="str">
        <f>September!M37</f>
        <v>1x per week abbo</v>
      </c>
      <c r="N37" s="321">
        <f>IFERROR(VLOOKUP(M37, Tarieven!$A$1:$J$150, 10, FALSE), "0")</f>
        <v>31</v>
      </c>
      <c r="O37" s="437">
        <v>1.0</v>
      </c>
      <c r="P37" s="438" t="s">
        <v>62</v>
      </c>
      <c r="Q37" s="325">
        <f>IFERROR(VLOOKUP(P37, Tarieven!$A$2:$J$150, 10, FALSE), "0")</f>
        <v>28.55</v>
      </c>
      <c r="R37" s="431" t="str">
        <f>September!R37</f>
        <v/>
      </c>
      <c r="S37" s="430" t="str">
        <f>September!S37</f>
        <v/>
      </c>
      <c r="T37" s="325" t="str">
        <f>IFERROR(VLOOKUP(S37, Tarieven!$A$2:$J$150, 10, FALSE), "0")</f>
        <v>0</v>
      </c>
      <c r="U37" s="77" t="str">
        <f>September!U37</f>
        <v/>
      </c>
      <c r="V37" s="327" t="str">
        <f>September!V37</f>
        <v/>
      </c>
      <c r="W37" s="325" t="str">
        <f>IFERROR(VLOOKUP(V37, Tarieven!$A$2:$J$150, 10, FALSE), "0")</f>
        <v>0</v>
      </c>
      <c r="X37" s="138">
        <f>September!X37</f>
        <v>4</v>
      </c>
      <c r="Y37" s="398">
        <v>0.0</v>
      </c>
      <c r="Z37" s="329">
        <f t="shared" si="3"/>
        <v>11</v>
      </c>
      <c r="AA37" s="32">
        <f t="shared" si="4"/>
        <v>106.8</v>
      </c>
      <c r="AB37" s="32">
        <f t="shared" si="5"/>
        <v>214.55</v>
      </c>
      <c r="AC37" s="32">
        <f t="shared" si="6"/>
        <v>107.75</v>
      </c>
    </row>
    <row r="38" ht="22.5" customHeight="1">
      <c r="A38" s="331" t="str">
        <f>Rooster!A39</f>
        <v>Zaterdag</v>
      </c>
      <c r="B38" s="425">
        <f>Rooster!B39</f>
        <v>0.4166666667</v>
      </c>
      <c r="C38" s="426">
        <f>Rooster!C39</f>
        <v>60</v>
      </c>
      <c r="D38" s="11" t="str">
        <f>Rooster!D39</f>
        <v>Peuters</v>
      </c>
      <c r="E38" s="77">
        <v>0.0</v>
      </c>
      <c r="F38" s="327" t="str">
        <f>Rooster!E40</f>
        <v>Tess</v>
      </c>
      <c r="G38" s="319">
        <f>IFERROR(VLOOKUP(F38, Docenten!$A$2:$G$30, 7, FALSE), "0")</f>
        <v>17.5</v>
      </c>
      <c r="H38" s="320">
        <f t="shared" si="1"/>
        <v>17.5</v>
      </c>
      <c r="I38" s="327" t="str">
        <f>Rooster!H40</f>
        <v>Santpoort Zuid</v>
      </c>
      <c r="J38" s="321">
        <f>IFERROR(VLOOKUP(I38, Locaties!$A$2:$G$15, 7, FALSE), "0")</f>
        <v>18.9</v>
      </c>
      <c r="K38" s="42">
        <f t="shared" si="2"/>
        <v>18.9</v>
      </c>
      <c r="L38" s="427" t="str">
        <f>September!L38</f>
        <v/>
      </c>
      <c r="M38" s="428" t="str">
        <f>September!M38</f>
        <v/>
      </c>
      <c r="N38" s="321" t="str">
        <f>IFERROR(VLOOKUP(M38, Tarieven!$A$1:$J$150, 10, FALSE), "0")</f>
        <v>0</v>
      </c>
      <c r="O38" s="429" t="str">
        <f>September!O38</f>
        <v/>
      </c>
      <c r="P38" s="430" t="str">
        <f>September!P38</f>
        <v/>
      </c>
      <c r="Q38" s="325" t="str">
        <f>IFERROR(VLOOKUP(P38, Tarieven!$A$2:$J$150, 10, FALSE), "0")</f>
        <v>0</v>
      </c>
      <c r="R38" s="431" t="str">
        <f>September!R38</f>
        <v/>
      </c>
      <c r="S38" s="430" t="str">
        <f>September!S38</f>
        <v/>
      </c>
      <c r="T38" s="325" t="str">
        <f>IFERROR(VLOOKUP(S38, Tarieven!$A$2:$J$150, 10, FALSE), "0")</f>
        <v>0</v>
      </c>
      <c r="U38" s="77" t="str">
        <f>September!U38</f>
        <v/>
      </c>
      <c r="V38" s="327" t="str">
        <f>September!V38</f>
        <v/>
      </c>
      <c r="W38" s="325" t="str">
        <f>IFERROR(VLOOKUP(V38, Tarieven!$A$2:$J$150, 10, FALSE), "0")</f>
        <v>0</v>
      </c>
      <c r="X38" s="138">
        <f>September!X38</f>
        <v>0</v>
      </c>
      <c r="Y38" s="398">
        <v>0.0</v>
      </c>
      <c r="Z38" s="329">
        <f t="shared" si="3"/>
        <v>0</v>
      </c>
      <c r="AA38" s="32">
        <f t="shared" si="4"/>
        <v>0</v>
      </c>
      <c r="AB38" s="32">
        <f t="shared" si="5"/>
        <v>0</v>
      </c>
      <c r="AC38" s="32">
        <f t="shared" si="6"/>
        <v>0</v>
      </c>
    </row>
    <row r="39" ht="22.5" customHeight="1">
      <c r="A39" s="331" t="str">
        <f>Rooster!A40</f>
        <v>Zaterdag</v>
      </c>
      <c r="B39" s="425">
        <f>Rooster!B40</f>
        <v>0.4479166667</v>
      </c>
      <c r="C39" s="426">
        <f>Rooster!C40</f>
        <v>60</v>
      </c>
      <c r="D39" s="11" t="str">
        <f>Rooster!D40</f>
        <v>Kleuters</v>
      </c>
      <c r="E39" s="77">
        <v>0.0</v>
      </c>
      <c r="F39" s="70" t="s">
        <v>64</v>
      </c>
      <c r="G39" s="319">
        <f>IFERROR(VLOOKUP(F39, Docenten!$A$2:$G$30, 7, FALSE), "0")</f>
        <v>17.5</v>
      </c>
      <c r="H39" s="320">
        <f t="shared" si="1"/>
        <v>17.5</v>
      </c>
      <c r="I39" s="70" t="s">
        <v>28</v>
      </c>
      <c r="J39" s="321">
        <f>IFERROR(VLOOKUP(I39, Locaties!$A$2:$G$15, 7, FALSE), "0")</f>
        <v>14.2</v>
      </c>
      <c r="K39" s="42">
        <f t="shared" si="2"/>
        <v>14.2</v>
      </c>
      <c r="L39" s="427" t="str">
        <f>September!L39</f>
        <v/>
      </c>
      <c r="M39" s="428" t="str">
        <f>September!M39</f>
        <v/>
      </c>
      <c r="N39" s="321" t="str">
        <f>IFERROR(VLOOKUP(M39, Tarieven!$A$1:$J$150, 10, FALSE), "0")</f>
        <v>0</v>
      </c>
      <c r="O39" s="429" t="str">
        <f>September!O39</f>
        <v/>
      </c>
      <c r="P39" s="430" t="str">
        <f>September!P39</f>
        <v/>
      </c>
      <c r="Q39" s="325" t="str">
        <f>IFERROR(VLOOKUP(P39, Tarieven!$A$2:$J$150, 10, FALSE), "0")</f>
        <v>0</v>
      </c>
      <c r="R39" s="431" t="str">
        <f>September!R39</f>
        <v/>
      </c>
      <c r="S39" s="430" t="str">
        <f>September!S39</f>
        <v/>
      </c>
      <c r="T39" s="325" t="str">
        <f>IFERROR(VLOOKUP(S39, Tarieven!$A$2:$J$150, 10, FALSE), "0")</f>
        <v>0</v>
      </c>
      <c r="U39" s="77" t="str">
        <f>September!U39</f>
        <v/>
      </c>
      <c r="V39" s="327" t="str">
        <f>September!V39</f>
        <v/>
      </c>
      <c r="W39" s="325" t="str">
        <f>IFERROR(VLOOKUP(V39, Tarieven!$A$2:$J$150, 10, FALSE), "0")</f>
        <v>0</v>
      </c>
      <c r="X39" s="138">
        <f>September!X39</f>
        <v>0</v>
      </c>
      <c r="Y39" s="398">
        <v>0.0</v>
      </c>
      <c r="Z39" s="329">
        <f t="shared" si="3"/>
        <v>0</v>
      </c>
      <c r="AA39" s="32">
        <f t="shared" si="4"/>
        <v>0</v>
      </c>
      <c r="AB39" s="32">
        <f t="shared" si="5"/>
        <v>0</v>
      </c>
      <c r="AC39" s="32">
        <f t="shared" si="6"/>
        <v>0</v>
      </c>
    </row>
    <row r="40" ht="22.5" customHeight="1">
      <c r="A40" s="331" t="str">
        <f>Rooster!A41</f>
        <v/>
      </c>
      <c r="B40" s="425" t="str">
        <f>Rooster!B41</f>
        <v/>
      </c>
      <c r="C40" s="426" t="str">
        <f>Rooster!C41</f>
        <v/>
      </c>
      <c r="D40" s="11" t="str">
        <f>Rooster!D41</f>
        <v/>
      </c>
      <c r="E40" s="77"/>
      <c r="F40" s="327" t="str">
        <f>Rooster!E42</f>
        <v/>
      </c>
      <c r="G40" s="319" t="str">
        <f>IFERROR(VLOOKUP(F40, Docenten!$A$2:$G$30, 7, FALSE), "0")</f>
        <v>0</v>
      </c>
      <c r="H40" s="320">
        <f t="shared" si="1"/>
        <v>0</v>
      </c>
      <c r="I40" s="327" t="str">
        <f>Rooster!H42</f>
        <v/>
      </c>
      <c r="J40" s="321" t="str">
        <f>IFERROR(VLOOKUP(I40, Locaties!$A$2:$G$15, 7, FALSE), "0")</f>
        <v>0</v>
      </c>
      <c r="K40" s="42">
        <f t="shared" si="2"/>
        <v>0</v>
      </c>
      <c r="L40" s="427" t="str">
        <f>September!L40</f>
        <v/>
      </c>
      <c r="M40" s="428" t="str">
        <f>September!M40</f>
        <v/>
      </c>
      <c r="N40" s="321" t="str">
        <f>IFERROR(VLOOKUP(M40, Tarieven!$A$1:$J$150, 10, FALSE), "0")</f>
        <v>0</v>
      </c>
      <c r="O40" s="429" t="str">
        <f>September!O40</f>
        <v/>
      </c>
      <c r="P40" s="430" t="str">
        <f>September!P40</f>
        <v/>
      </c>
      <c r="Q40" s="325" t="str">
        <f>IFERROR(VLOOKUP(P40, Tarieven!$A$2:$J$150, 10, FALSE), "0")</f>
        <v>0</v>
      </c>
      <c r="R40" s="431" t="str">
        <f>September!R40</f>
        <v/>
      </c>
      <c r="S40" s="430" t="str">
        <f>September!S40</f>
        <v/>
      </c>
      <c r="T40" s="325" t="str">
        <f>IFERROR(VLOOKUP(S40, Tarieven!$A$2:$J$150, 10, FALSE), "0")</f>
        <v>0</v>
      </c>
      <c r="U40" s="77" t="str">
        <f>September!U40</f>
        <v/>
      </c>
      <c r="V40" s="327" t="str">
        <f>September!V40</f>
        <v/>
      </c>
      <c r="W40" s="325" t="str">
        <f>IFERROR(VLOOKUP(V40, Tarieven!$A$2:$J$150, 10, FALSE), "0")</f>
        <v>0</v>
      </c>
      <c r="X40" s="138">
        <f>September!X40</f>
        <v>0</v>
      </c>
      <c r="Y40" s="398">
        <v>0.0</v>
      </c>
      <c r="Z40" s="329">
        <f t="shared" si="3"/>
        <v>0</v>
      </c>
      <c r="AA40" s="32">
        <f t="shared" si="4"/>
        <v>0</v>
      </c>
      <c r="AB40" s="32">
        <f t="shared" si="5"/>
        <v>0</v>
      </c>
      <c r="AC40" s="32">
        <f t="shared" si="6"/>
        <v>0</v>
      </c>
    </row>
    <row r="41" ht="22.5" customHeight="1">
      <c r="A41" s="331" t="str">
        <f>Rooster!A42</f>
        <v/>
      </c>
      <c r="B41" s="425" t="str">
        <f>Rooster!B42</f>
        <v/>
      </c>
      <c r="C41" s="426" t="str">
        <f>Rooster!C42</f>
        <v/>
      </c>
      <c r="D41" s="11" t="str">
        <f>Rooster!D42</f>
        <v/>
      </c>
      <c r="E41" s="77"/>
      <c r="F41" s="327"/>
      <c r="G41" s="319" t="str">
        <f>IFERROR(VLOOKUP(F41, Docenten!$A$2:$G$30, 7, FALSE), "0")</f>
        <v>0</v>
      </c>
      <c r="H41" s="320">
        <f t="shared" si="1"/>
        <v>0</v>
      </c>
      <c r="I41" s="327" t="str">
        <f>Rooster!H43</f>
        <v/>
      </c>
      <c r="J41" s="321" t="str">
        <f>IFERROR(VLOOKUP(I41, Locaties!$A$2:$G$15, 7, FALSE), "0")</f>
        <v>0</v>
      </c>
      <c r="K41" s="42">
        <f t="shared" si="2"/>
        <v>0</v>
      </c>
      <c r="L41" s="427" t="str">
        <f>September!L41</f>
        <v/>
      </c>
      <c r="M41" s="428" t="str">
        <f>September!M41</f>
        <v/>
      </c>
      <c r="N41" s="442"/>
      <c r="O41" s="429" t="str">
        <f>September!O41</f>
        <v/>
      </c>
      <c r="P41" s="430" t="str">
        <f>September!P41</f>
        <v/>
      </c>
      <c r="Q41" s="325" t="str">
        <f>IFERROR(VLOOKUP(P41, Tarieven!$A$2:$J$150, 10, FALSE), "0")</f>
        <v>0</v>
      </c>
      <c r="R41" s="431" t="str">
        <f>September!R41</f>
        <v/>
      </c>
      <c r="S41" s="430" t="str">
        <f>September!S41</f>
        <v/>
      </c>
      <c r="T41" s="325" t="str">
        <f>IFERROR(VLOOKUP(S41, Tarieven!$A$2:$J$150, 10, FALSE), "0")</f>
        <v>0</v>
      </c>
      <c r="U41" s="77" t="str">
        <f>September!U41</f>
        <v/>
      </c>
      <c r="V41" s="327" t="str">
        <f>September!V41</f>
        <v/>
      </c>
      <c r="W41" s="325" t="str">
        <f>IFERROR(VLOOKUP(V41, Tarieven!$A$2:$J$150, 10, FALSE), "0")</f>
        <v>0</v>
      </c>
      <c r="X41" s="138">
        <f>September!X41</f>
        <v>0</v>
      </c>
      <c r="Y41" s="398">
        <v>0.0</v>
      </c>
      <c r="Z41" s="329">
        <f t="shared" si="3"/>
        <v>0</v>
      </c>
      <c r="AA41" s="32">
        <f t="shared" si="4"/>
        <v>0</v>
      </c>
      <c r="AB41" s="32">
        <f t="shared" si="5"/>
        <v>0</v>
      </c>
      <c r="AC41" s="32">
        <f t="shared" si="6"/>
        <v>0</v>
      </c>
    </row>
    <row r="42" ht="22.5" customHeight="1">
      <c r="A42" s="331" t="str">
        <f>Rooster!A43</f>
        <v>Maandag</v>
      </c>
      <c r="B42" s="425">
        <f>Rooster!B43</f>
        <v>0.3958333333</v>
      </c>
      <c r="C42" s="426">
        <f>Rooster!C43</f>
        <v>60</v>
      </c>
      <c r="D42" s="11" t="str">
        <f>Rooster!D43</f>
        <v>Kinderopvang</v>
      </c>
      <c r="E42" s="77">
        <v>2.0</v>
      </c>
      <c r="F42" s="70" t="s">
        <v>66</v>
      </c>
      <c r="G42" s="319"/>
      <c r="H42" s="443">
        <v>45.0</v>
      </c>
      <c r="I42" s="70"/>
      <c r="J42" s="321" t="str">
        <f>IFERROR(VLOOKUP(I42, Locaties!$A$2:$G$15, 7, FALSE), "0")</f>
        <v>0</v>
      </c>
      <c r="K42" s="42">
        <f t="shared" si="2"/>
        <v>0</v>
      </c>
      <c r="L42" s="440">
        <v>1.0</v>
      </c>
      <c r="M42" s="439" t="s">
        <v>46</v>
      </c>
      <c r="N42" s="442">
        <v>160.0</v>
      </c>
      <c r="O42" s="429" t="str">
        <f>September!O42</f>
        <v/>
      </c>
      <c r="P42" s="430" t="str">
        <f>September!P42</f>
        <v/>
      </c>
      <c r="Q42" s="325" t="str">
        <f>IFERROR(VLOOKUP(P42, Tarieven!$A$2:$J$150, 10, FALSE), "0")</f>
        <v>0</v>
      </c>
      <c r="R42" s="431" t="str">
        <f>September!R42</f>
        <v/>
      </c>
      <c r="S42" s="430" t="str">
        <f>September!S42</f>
        <v/>
      </c>
      <c r="T42" s="325" t="str">
        <f>IFERROR(VLOOKUP(S42, Tarieven!$A$2:$J$150, 10, FALSE), "0")</f>
        <v>0</v>
      </c>
      <c r="U42" s="77" t="str">
        <f>September!U42</f>
        <v/>
      </c>
      <c r="V42" s="327" t="str">
        <f>September!V42</f>
        <v/>
      </c>
      <c r="W42" s="325" t="str">
        <f>IFERROR(VLOOKUP(V42, Tarieven!$A$2:$J$150, 10, FALSE), "0")</f>
        <v>0</v>
      </c>
      <c r="X42" s="138">
        <f>September!X42</f>
        <v>0</v>
      </c>
      <c r="Y42" s="398">
        <v>0.0</v>
      </c>
      <c r="Z42" s="329">
        <f t="shared" si="3"/>
        <v>1</v>
      </c>
      <c r="AA42" s="32">
        <f t="shared" si="4"/>
        <v>90</v>
      </c>
      <c r="AB42" s="32">
        <f t="shared" si="5"/>
        <v>160</v>
      </c>
      <c r="AC42" s="32">
        <f t="shared" si="6"/>
        <v>70</v>
      </c>
    </row>
    <row r="43" ht="22.5" customHeight="1">
      <c r="A43" s="331" t="str">
        <f>Rooster!A44</f>
        <v>Vrijdag</v>
      </c>
      <c r="B43" s="425">
        <f>Rooster!B44</f>
        <v>0.7916666667</v>
      </c>
      <c r="C43" s="426"/>
      <c r="D43" s="11" t="str">
        <f>Rooster!D44</f>
        <v>Prive training</v>
      </c>
      <c r="E43" s="77"/>
      <c r="F43" s="327"/>
      <c r="G43" s="319"/>
      <c r="H43" s="320">
        <f t="shared" ref="H43:H101" si="7">SUM(G43/60)*C43</f>
        <v>0</v>
      </c>
      <c r="I43" s="70"/>
      <c r="J43" s="321" t="str">
        <f>IFERROR(VLOOKUP(I43, Locaties!$A$2:$G$15, 7, FALSE), "0")</f>
        <v>0</v>
      </c>
      <c r="K43" s="42">
        <f t="shared" si="2"/>
        <v>0</v>
      </c>
      <c r="L43" s="427" t="str">
        <f>September!L43</f>
        <v/>
      </c>
      <c r="M43" s="428" t="str">
        <f>September!M43</f>
        <v/>
      </c>
      <c r="N43" s="321" t="str">
        <f>IFERROR(VLOOKUP(M43, Tarieven!$A$1:$J$150, 10, FALSE), "0")</f>
        <v>0</v>
      </c>
      <c r="O43" s="429" t="str">
        <f>September!O43</f>
        <v/>
      </c>
      <c r="P43" s="430" t="str">
        <f>September!P43</f>
        <v/>
      </c>
      <c r="Q43" s="325" t="str">
        <f>IFERROR(VLOOKUP(P43, Tarieven!$A$2:$J$150, 10, FALSE), "0")</f>
        <v>0</v>
      </c>
      <c r="R43" s="431" t="str">
        <f>September!R43</f>
        <v/>
      </c>
      <c r="S43" s="430" t="str">
        <f>September!S43</f>
        <v/>
      </c>
      <c r="T43" s="325" t="str">
        <f>IFERROR(VLOOKUP(S43, Tarieven!$A$2:$J$150, 10, FALSE), "0")</f>
        <v>0</v>
      </c>
      <c r="U43" s="77" t="str">
        <f>September!U43</f>
        <v/>
      </c>
      <c r="V43" s="327" t="str">
        <f>September!V43</f>
        <v/>
      </c>
      <c r="W43" s="325" t="str">
        <f>IFERROR(VLOOKUP(V43, Tarieven!$A$2:$J$150, 10, FALSE), "0")</f>
        <v>0</v>
      </c>
      <c r="X43" s="138">
        <f>September!X43</f>
        <v>0</v>
      </c>
      <c r="Y43" s="398">
        <v>0.0</v>
      </c>
      <c r="Z43" s="329">
        <f t="shared" si="3"/>
        <v>0</v>
      </c>
      <c r="AA43" s="32">
        <f t="shared" si="4"/>
        <v>0</v>
      </c>
      <c r="AB43" s="32">
        <f t="shared" si="5"/>
        <v>0</v>
      </c>
      <c r="AC43" s="32">
        <f t="shared" si="6"/>
        <v>0</v>
      </c>
    </row>
    <row r="44" ht="22.5" customHeight="1">
      <c r="A44" s="331" t="str">
        <f>Rooster!A45</f>
        <v>Zaterdag</v>
      </c>
      <c r="B44" s="425">
        <f>Rooster!B45</f>
        <v>0.5625</v>
      </c>
      <c r="C44" s="426"/>
      <c r="D44" s="11" t="str">
        <f>Rooster!D45</f>
        <v>Prive training</v>
      </c>
      <c r="E44" s="77"/>
      <c r="F44" s="327" t="str">
        <f>Rooster!E46</f>
        <v/>
      </c>
      <c r="G44" s="319" t="str">
        <f>IFERROR(VLOOKUP(F44, Docenten!$A$2:$G$30, 7, FALSE), "0")</f>
        <v>0</v>
      </c>
      <c r="H44" s="320">
        <f t="shared" si="7"/>
        <v>0</v>
      </c>
      <c r="I44" s="327" t="str">
        <f>Rooster!H46</f>
        <v/>
      </c>
      <c r="J44" s="321" t="str">
        <f>IFERROR(VLOOKUP(I44, Locaties!$A$2:$G$15, 7, FALSE), "0")</f>
        <v>0</v>
      </c>
      <c r="K44" s="42">
        <f t="shared" si="2"/>
        <v>0</v>
      </c>
      <c r="L44" s="427" t="str">
        <f>September!L44</f>
        <v/>
      </c>
      <c r="M44" s="428" t="str">
        <f>September!M44</f>
        <v/>
      </c>
      <c r="N44" s="321" t="str">
        <f>IFERROR(VLOOKUP(M44, Tarieven!$A$1:$J$150, 10, FALSE), "0")</f>
        <v>0</v>
      </c>
      <c r="O44" s="429" t="str">
        <f>September!O44</f>
        <v/>
      </c>
      <c r="P44" s="430" t="str">
        <f>September!P44</f>
        <v/>
      </c>
      <c r="Q44" s="325" t="str">
        <f>IFERROR(VLOOKUP(P44, Tarieven!$A$2:$J$150, 10, FALSE), "0")</f>
        <v>0</v>
      </c>
      <c r="R44" s="431" t="str">
        <f>September!R44</f>
        <v/>
      </c>
      <c r="S44" s="430" t="str">
        <f>September!S44</f>
        <v/>
      </c>
      <c r="T44" s="325" t="str">
        <f>IFERROR(VLOOKUP(S44, Tarieven!$A$2:$J$150, 10, FALSE), "0")</f>
        <v>0</v>
      </c>
      <c r="U44" s="77" t="str">
        <f>September!U44</f>
        <v/>
      </c>
      <c r="V44" s="327" t="str">
        <f>September!V44</f>
        <v/>
      </c>
      <c r="W44" s="325" t="str">
        <f>IFERROR(VLOOKUP(V44, Tarieven!$A$2:$J$150, 10, FALSE), "0")</f>
        <v>0</v>
      </c>
      <c r="X44" s="138">
        <f>September!X44</f>
        <v>0</v>
      </c>
      <c r="Y44" s="398">
        <v>0.0</v>
      </c>
      <c r="Z44" s="329">
        <f t="shared" si="3"/>
        <v>0</v>
      </c>
      <c r="AA44" s="32">
        <f t="shared" si="4"/>
        <v>0</v>
      </c>
      <c r="AB44" s="32">
        <f t="shared" si="5"/>
        <v>0</v>
      </c>
      <c r="AC44" s="32">
        <f t="shared" si="6"/>
        <v>0</v>
      </c>
    </row>
    <row r="45" ht="22.5" customHeight="1">
      <c r="A45" s="331" t="str">
        <f>Rooster!A46</f>
        <v/>
      </c>
      <c r="B45" s="425" t="str">
        <f>Rooster!B46</f>
        <v/>
      </c>
      <c r="C45" s="426" t="str">
        <f>Rooster!C46</f>
        <v/>
      </c>
      <c r="D45" s="11" t="str">
        <f>Rooster!D46</f>
        <v/>
      </c>
      <c r="E45" s="77"/>
      <c r="F45" s="327" t="str">
        <f>Rooster!E47</f>
        <v/>
      </c>
      <c r="G45" s="319" t="str">
        <f>IFERROR(VLOOKUP(F45, Docenten!$A$2:$G$30, 7, FALSE), "0")</f>
        <v>0</v>
      </c>
      <c r="H45" s="320">
        <f t="shared" si="7"/>
        <v>0</v>
      </c>
      <c r="I45" s="327" t="str">
        <f>Rooster!H47</f>
        <v/>
      </c>
      <c r="J45" s="321" t="str">
        <f>IFERROR(VLOOKUP(I45, Locaties!$A$2:$G$15, 7, FALSE), "0")</f>
        <v>0</v>
      </c>
      <c r="K45" s="42">
        <f t="shared" si="2"/>
        <v>0</v>
      </c>
      <c r="L45" s="427" t="str">
        <f>September!L45</f>
        <v/>
      </c>
      <c r="M45" s="428" t="str">
        <f>September!M45</f>
        <v/>
      </c>
      <c r="N45" s="321" t="str">
        <f>IFERROR(VLOOKUP(M45, Tarieven!$A$1:$J$150, 10, FALSE), "0")</f>
        <v>0</v>
      </c>
      <c r="O45" s="429" t="str">
        <f>September!O45</f>
        <v/>
      </c>
      <c r="P45" s="430" t="str">
        <f>September!P45</f>
        <v/>
      </c>
      <c r="Q45" s="325" t="str">
        <f>IFERROR(VLOOKUP(P45, Tarieven!$A$2:$J$150, 10, FALSE), "0")</f>
        <v>0</v>
      </c>
      <c r="R45" s="431" t="str">
        <f>September!R45</f>
        <v/>
      </c>
      <c r="S45" s="430" t="str">
        <f>September!S45</f>
        <v/>
      </c>
      <c r="T45" s="325" t="str">
        <f>IFERROR(VLOOKUP(S45, Tarieven!$A$2:$J$150, 10, FALSE), "0")</f>
        <v>0</v>
      </c>
      <c r="U45" s="77" t="str">
        <f>September!U45</f>
        <v/>
      </c>
      <c r="V45" s="327" t="str">
        <f>September!V45</f>
        <v/>
      </c>
      <c r="W45" s="325" t="str">
        <f>IFERROR(VLOOKUP(V45, Tarieven!$A$2:$J$150, 10, FALSE), "0")</f>
        <v>0</v>
      </c>
      <c r="X45" s="138">
        <f>September!X45</f>
        <v>0</v>
      </c>
      <c r="Y45" s="398">
        <v>0.0</v>
      </c>
      <c r="Z45" s="329">
        <f t="shared" si="3"/>
        <v>0</v>
      </c>
      <c r="AA45" s="32">
        <f t="shared" si="4"/>
        <v>0</v>
      </c>
      <c r="AB45" s="32">
        <f t="shared" si="5"/>
        <v>0</v>
      </c>
      <c r="AC45" s="32">
        <f t="shared" si="6"/>
        <v>0</v>
      </c>
    </row>
    <row r="46" ht="22.5" customHeight="1">
      <c r="A46" s="331" t="str">
        <f>Rooster!A47</f>
        <v/>
      </c>
      <c r="B46" s="425" t="str">
        <f>Rooster!B47</f>
        <v/>
      </c>
      <c r="C46" s="426" t="str">
        <f>Rooster!C47</f>
        <v/>
      </c>
      <c r="D46" s="11" t="str">
        <f>Rooster!D47</f>
        <v/>
      </c>
      <c r="E46" s="77"/>
      <c r="F46" s="327"/>
      <c r="G46" s="319" t="str">
        <f>IFERROR(VLOOKUP(F46, Docenten!$A$2:$G$30, 7, FALSE), "0")</f>
        <v>0</v>
      </c>
      <c r="H46" s="320">
        <f t="shared" si="7"/>
        <v>0</v>
      </c>
      <c r="I46" s="327"/>
      <c r="J46" s="321" t="str">
        <f>IFERROR(VLOOKUP(I46, Locaties!$A$2:$G$15, 7, FALSE), "0")</f>
        <v>0</v>
      </c>
      <c r="K46" s="42">
        <f t="shared" si="2"/>
        <v>0</v>
      </c>
      <c r="L46" s="427" t="str">
        <f>September!L46</f>
        <v/>
      </c>
      <c r="M46" s="428" t="str">
        <f>September!M46</f>
        <v/>
      </c>
      <c r="N46" s="321" t="str">
        <f>IFERROR(VLOOKUP(M46, Tarieven!$A$1:$J$150, 10, FALSE), "0")</f>
        <v>0</v>
      </c>
      <c r="O46" s="429" t="str">
        <f>September!O46</f>
        <v/>
      </c>
      <c r="P46" s="430" t="str">
        <f>September!P46</f>
        <v/>
      </c>
      <c r="Q46" s="325" t="str">
        <f>IFERROR(VLOOKUP(P46, Tarieven!$A$2:$J$150, 10, FALSE), "0")</f>
        <v>0</v>
      </c>
      <c r="R46" s="431" t="str">
        <f>September!R46</f>
        <v/>
      </c>
      <c r="S46" s="430" t="str">
        <f>September!S46</f>
        <v/>
      </c>
      <c r="T46" s="325" t="str">
        <f>IFERROR(VLOOKUP(S46, Tarieven!$A$2:$J$150, 10, FALSE), "0")</f>
        <v>0</v>
      </c>
      <c r="U46" s="77" t="str">
        <f>September!U46</f>
        <v/>
      </c>
      <c r="V46" s="327" t="str">
        <f>September!V46</f>
        <v/>
      </c>
      <c r="W46" s="325" t="str">
        <f>IFERROR(VLOOKUP(V46, Tarieven!$A$2:$J$150, 10, FALSE), "0")</f>
        <v>0</v>
      </c>
      <c r="X46" s="138">
        <f>September!X47</f>
        <v>0</v>
      </c>
      <c r="Y46" s="398">
        <v>0.0</v>
      </c>
      <c r="Z46" s="329">
        <f t="shared" si="3"/>
        <v>0</v>
      </c>
      <c r="AA46" s="32">
        <f t="shared" si="4"/>
        <v>0</v>
      </c>
      <c r="AB46" s="32">
        <f t="shared" si="5"/>
        <v>0</v>
      </c>
      <c r="AC46" s="32">
        <f t="shared" si="6"/>
        <v>0</v>
      </c>
    </row>
    <row r="47" ht="22.5" customHeight="1">
      <c r="A47" s="331" t="str">
        <f>Rooster!A48</f>
        <v>Donderdag</v>
      </c>
      <c r="B47" s="425">
        <f>Rooster!B48</f>
        <v>0.75</v>
      </c>
      <c r="C47" s="426">
        <f>Rooster!C48</f>
        <v>60</v>
      </c>
      <c r="D47" s="11" t="str">
        <f>Rooster!D48</f>
        <v>Turnen 6+</v>
      </c>
      <c r="E47" s="77">
        <v>0.0</v>
      </c>
      <c r="F47" s="327" t="str">
        <f>Rooster!E49</f>
        <v>Dion + 3</v>
      </c>
      <c r="G47" s="319">
        <f>IFERROR(VLOOKUP(F47, Docenten!$A$2:$G$30, 7, FALSE), "0")</f>
        <v>34</v>
      </c>
      <c r="H47" s="320">
        <f t="shared" si="7"/>
        <v>34</v>
      </c>
      <c r="I47" s="327" t="str">
        <f>Rooster!H49</f>
        <v>Santpoort Noord</v>
      </c>
      <c r="J47" s="321">
        <f>IFERROR(VLOOKUP(I47, Locaties!$A$2:$G$15, 7, FALSE), "0")</f>
        <v>14.2</v>
      </c>
      <c r="K47" s="42">
        <f t="shared" si="2"/>
        <v>14.2</v>
      </c>
      <c r="L47" s="427" t="str">
        <f>September!L47</f>
        <v/>
      </c>
      <c r="M47" s="428" t="str">
        <f>September!M47</f>
        <v/>
      </c>
      <c r="N47" s="321" t="str">
        <f>IFERROR(VLOOKUP(M47, Tarieven!$A$1:$J$150, 10, FALSE), "0")</f>
        <v>0</v>
      </c>
      <c r="O47" s="429" t="str">
        <f>September!O47</f>
        <v/>
      </c>
      <c r="P47" s="430" t="str">
        <f>September!P47</f>
        <v/>
      </c>
      <c r="Q47" s="325" t="str">
        <f>IFERROR(VLOOKUP(P47, Tarieven!$A$2:$J$150, 10, FALSE), "0")</f>
        <v>0</v>
      </c>
      <c r="R47" s="431" t="str">
        <f>September!R47</f>
        <v/>
      </c>
      <c r="S47" s="430" t="str">
        <f>September!S47</f>
        <v/>
      </c>
      <c r="T47" s="325" t="str">
        <f>IFERROR(VLOOKUP(S47, Tarieven!$A$2:$J$150, 10, FALSE), "0")</f>
        <v>0</v>
      </c>
      <c r="U47" s="77" t="str">
        <f>September!U47</f>
        <v/>
      </c>
      <c r="V47" s="327" t="str">
        <f>September!V47</f>
        <v/>
      </c>
      <c r="W47" s="325" t="str">
        <f>IFERROR(VLOOKUP(V47, Tarieven!$A$2:$J$150, 10, FALSE), "0")</f>
        <v>0</v>
      </c>
      <c r="X47" s="138">
        <f>September!X48</f>
        <v>0</v>
      </c>
      <c r="Y47" s="398">
        <v>0.0</v>
      </c>
      <c r="Z47" s="329">
        <f t="shared" si="3"/>
        <v>0</v>
      </c>
      <c r="AA47" s="32">
        <f t="shared" si="4"/>
        <v>0</v>
      </c>
      <c r="AB47" s="32">
        <f t="shared" si="5"/>
        <v>0</v>
      </c>
      <c r="AC47" s="32">
        <f t="shared" si="6"/>
        <v>0</v>
      </c>
    </row>
    <row r="48" ht="22.5" customHeight="1">
      <c r="A48" s="331" t="str">
        <f>Rooster!A49</f>
        <v>Donderdag</v>
      </c>
      <c r="B48" s="425">
        <f>Rooster!B49</f>
        <v>0.7916666667</v>
      </c>
      <c r="C48" s="426">
        <f>Rooster!C49</f>
        <v>60</v>
      </c>
      <c r="D48" s="11" t="str">
        <f>Rooster!D49</f>
        <v>Turnen 12+</v>
      </c>
      <c r="E48" s="77">
        <v>0.0</v>
      </c>
      <c r="F48" s="70" t="s">
        <v>79</v>
      </c>
      <c r="G48" s="319">
        <f>IFERROR(VLOOKUP(F48, Docenten!$A$2:$G$30, 7, FALSE), "0")</f>
        <v>34</v>
      </c>
      <c r="H48" s="320">
        <f t="shared" si="7"/>
        <v>34</v>
      </c>
      <c r="I48" s="70" t="s">
        <v>28</v>
      </c>
      <c r="J48" s="321">
        <f>IFERROR(VLOOKUP(I48, Locaties!$A$2:$G$15, 7, FALSE), "0")</f>
        <v>14.2</v>
      </c>
      <c r="K48" s="42">
        <f t="shared" si="2"/>
        <v>14.2</v>
      </c>
      <c r="L48" s="427" t="str">
        <f>September!L48</f>
        <v/>
      </c>
      <c r="M48" s="428" t="str">
        <f>September!M48</f>
        <v/>
      </c>
      <c r="N48" s="321" t="str">
        <f>IFERROR(VLOOKUP(M48, Tarieven!$A$1:$J$150, 10, FALSE), "0")</f>
        <v>0</v>
      </c>
      <c r="O48" s="429" t="str">
        <f>September!O48</f>
        <v/>
      </c>
      <c r="P48" s="430" t="str">
        <f>September!P48</f>
        <v/>
      </c>
      <c r="Q48" s="325" t="str">
        <f>IFERROR(VLOOKUP(P48, Tarieven!$A$2:$J$150, 10, FALSE), "0")</f>
        <v>0</v>
      </c>
      <c r="R48" s="431" t="str">
        <f>September!R48</f>
        <v/>
      </c>
      <c r="S48" s="430" t="str">
        <f>September!S48</f>
        <v/>
      </c>
      <c r="T48" s="325" t="str">
        <f>IFERROR(VLOOKUP(S48, Tarieven!$A$2:$J$150, 10, FALSE), "0")</f>
        <v>0</v>
      </c>
      <c r="U48" s="77" t="str">
        <f>September!U48</f>
        <v/>
      </c>
      <c r="V48" s="327" t="str">
        <f>September!V48</f>
        <v/>
      </c>
      <c r="W48" s="325" t="str">
        <f>IFERROR(VLOOKUP(V48, Tarieven!$A$2:$J$150, 10, FALSE), "0")</f>
        <v>0</v>
      </c>
      <c r="X48" s="138">
        <f>September!X49</f>
        <v>0</v>
      </c>
      <c r="Y48" s="398">
        <v>0.0</v>
      </c>
      <c r="Z48" s="329">
        <f t="shared" si="3"/>
        <v>0</v>
      </c>
      <c r="AA48" s="32">
        <f t="shared" si="4"/>
        <v>0</v>
      </c>
      <c r="AB48" s="32">
        <f t="shared" si="5"/>
        <v>0</v>
      </c>
      <c r="AC48" s="32">
        <f t="shared" si="6"/>
        <v>0</v>
      </c>
    </row>
    <row r="49" ht="22.5" customHeight="1">
      <c r="A49" s="331" t="str">
        <f>Rooster!A50</f>
        <v/>
      </c>
      <c r="B49" s="425" t="str">
        <f>Rooster!B50</f>
        <v/>
      </c>
      <c r="C49" s="426" t="str">
        <f>Rooster!C50</f>
        <v/>
      </c>
      <c r="D49" s="11" t="str">
        <f>Rooster!D50</f>
        <v/>
      </c>
      <c r="E49" s="77"/>
      <c r="F49" s="327" t="str">
        <f>Rooster!E51</f>
        <v/>
      </c>
      <c r="G49" s="319" t="str">
        <f>IFERROR(VLOOKUP(F49, Docenten!$A$2:$G$30, 7, FALSE), "0")</f>
        <v>0</v>
      </c>
      <c r="H49" s="320">
        <f t="shared" si="7"/>
        <v>0</v>
      </c>
      <c r="I49" s="327" t="str">
        <f>Rooster!H51</f>
        <v/>
      </c>
      <c r="J49" s="321" t="str">
        <f>IFERROR(VLOOKUP(I49, Locaties!$A$2:$G$15, 7, FALSE), "0")</f>
        <v>0</v>
      </c>
      <c r="K49" s="42">
        <f t="shared" si="2"/>
        <v>0</v>
      </c>
      <c r="L49" s="427" t="str">
        <f>September!L49</f>
        <v/>
      </c>
      <c r="M49" s="428" t="str">
        <f>September!M49</f>
        <v/>
      </c>
      <c r="N49" s="321" t="str">
        <f>IFERROR(VLOOKUP(M49, Tarieven!$A$1:$J$150, 10, FALSE), "0")</f>
        <v>0</v>
      </c>
      <c r="O49" s="429" t="str">
        <f>September!O49</f>
        <v/>
      </c>
      <c r="P49" s="430" t="str">
        <f>September!P49</f>
        <v/>
      </c>
      <c r="Q49" s="325" t="str">
        <f>IFERROR(VLOOKUP(P49, Tarieven!$A$2:$J$150, 10, FALSE), "0")</f>
        <v>0</v>
      </c>
      <c r="R49" s="431" t="str">
        <f>September!R49</f>
        <v/>
      </c>
      <c r="S49" s="430" t="str">
        <f>September!S49</f>
        <v/>
      </c>
      <c r="T49" s="325" t="str">
        <f>IFERROR(VLOOKUP(S49, Tarieven!$A$2:$J$150, 10, FALSE), "0")</f>
        <v>0</v>
      </c>
      <c r="U49" s="77" t="str">
        <f>September!U49</f>
        <v/>
      </c>
      <c r="V49" s="327" t="str">
        <f>September!V49</f>
        <v/>
      </c>
      <c r="W49" s="325" t="str">
        <f>IFERROR(VLOOKUP(V49, Tarieven!$A$2:$J$150, 10, FALSE), "0")</f>
        <v>0</v>
      </c>
      <c r="X49" s="138">
        <f>September!X50</f>
        <v>0</v>
      </c>
      <c r="Y49" s="398">
        <v>0.0</v>
      </c>
      <c r="Z49" s="329">
        <f t="shared" si="3"/>
        <v>0</v>
      </c>
      <c r="AA49" s="32">
        <f t="shared" si="4"/>
        <v>0</v>
      </c>
      <c r="AB49" s="32">
        <f t="shared" si="5"/>
        <v>0</v>
      </c>
      <c r="AC49" s="32">
        <f t="shared" si="6"/>
        <v>0</v>
      </c>
    </row>
    <row r="50" ht="22.5" customHeight="1">
      <c r="A50" s="331" t="str">
        <f>Rooster!A51</f>
        <v/>
      </c>
      <c r="B50" s="425" t="str">
        <f>Rooster!B51</f>
        <v/>
      </c>
      <c r="C50" s="426" t="str">
        <f>Rooster!C51</f>
        <v/>
      </c>
      <c r="D50" s="11" t="str">
        <f>Rooster!D51</f>
        <v/>
      </c>
      <c r="E50" s="77"/>
      <c r="F50" s="327" t="str">
        <f>Rooster!E52</f>
        <v/>
      </c>
      <c r="G50" s="319" t="str">
        <f>IFERROR(VLOOKUP(F50, Docenten!$A$2:$G$30, 7, FALSE), "0")</f>
        <v>0</v>
      </c>
      <c r="H50" s="320">
        <f t="shared" si="7"/>
        <v>0</v>
      </c>
      <c r="I50" s="327" t="str">
        <f>Rooster!H52</f>
        <v/>
      </c>
      <c r="J50" s="321" t="str">
        <f>IFERROR(VLOOKUP(I50, Locaties!$A$2:$G$15, 7, FALSE), "0")</f>
        <v>0</v>
      </c>
      <c r="K50" s="42">
        <f t="shared" si="2"/>
        <v>0</v>
      </c>
      <c r="L50" s="427" t="str">
        <f>September!L50</f>
        <v/>
      </c>
      <c r="M50" s="428" t="str">
        <f>September!M50</f>
        <v/>
      </c>
      <c r="N50" s="321" t="str">
        <f>IFERROR(VLOOKUP(M50, Tarieven!$A$1:$J$150, 10, FALSE), "0")</f>
        <v>0</v>
      </c>
      <c r="O50" s="429" t="str">
        <f>September!O50</f>
        <v/>
      </c>
      <c r="P50" s="430" t="str">
        <f>September!P50</f>
        <v/>
      </c>
      <c r="Q50" s="325" t="str">
        <f>IFERROR(VLOOKUP(P50, Tarieven!$A$2:$J$150, 10, FALSE), "0")</f>
        <v>0</v>
      </c>
      <c r="R50" s="431" t="str">
        <f>September!R50</f>
        <v/>
      </c>
      <c r="S50" s="430" t="str">
        <f>September!S50</f>
        <v/>
      </c>
      <c r="T50" s="325" t="str">
        <f>IFERROR(VLOOKUP(S50, Tarieven!$A$2:$J$150, 10, FALSE), "0")</f>
        <v>0</v>
      </c>
      <c r="U50" s="77" t="str">
        <f>September!U50</f>
        <v/>
      </c>
      <c r="V50" s="327" t="str">
        <f>September!V50</f>
        <v/>
      </c>
      <c r="W50" s="325" t="str">
        <f>IFERROR(VLOOKUP(V50, Tarieven!$A$2:$J$150, 10, FALSE), "0")</f>
        <v>0</v>
      </c>
      <c r="X50" s="138">
        <f>September!X51</f>
        <v>0</v>
      </c>
      <c r="Y50" s="398">
        <v>0.0</v>
      </c>
      <c r="Z50" s="329">
        <f t="shared" si="3"/>
        <v>0</v>
      </c>
      <c r="AA50" s="32">
        <f t="shared" si="4"/>
        <v>0</v>
      </c>
      <c r="AB50" s="32">
        <f t="shared" si="5"/>
        <v>0</v>
      </c>
      <c r="AC50" s="32">
        <f t="shared" si="6"/>
        <v>0</v>
      </c>
    </row>
    <row r="51" ht="22.5" customHeight="1">
      <c r="A51" s="331" t="str">
        <f>Rooster!A52</f>
        <v/>
      </c>
      <c r="B51" s="425" t="str">
        <f>Rooster!B52</f>
        <v/>
      </c>
      <c r="C51" s="426" t="str">
        <f>Rooster!C52</f>
        <v/>
      </c>
      <c r="D51" s="11" t="str">
        <f>Rooster!D52</f>
        <v/>
      </c>
      <c r="E51" s="77"/>
      <c r="F51" s="327" t="str">
        <f>Rooster!E53</f>
        <v/>
      </c>
      <c r="G51" s="319" t="str">
        <f>IFERROR(VLOOKUP(F51, Docenten!$A$2:$G$30, 7, FALSE), "0")</f>
        <v>0</v>
      </c>
      <c r="H51" s="320">
        <f t="shared" si="7"/>
        <v>0</v>
      </c>
      <c r="I51" s="327" t="str">
        <f>Rooster!H53</f>
        <v/>
      </c>
      <c r="J51" s="321" t="str">
        <f>IFERROR(VLOOKUP(I51, Locaties!$A$2:$G$15, 7, FALSE), "0")</f>
        <v>0</v>
      </c>
      <c r="K51" s="42">
        <f t="shared" si="2"/>
        <v>0</v>
      </c>
      <c r="L51" s="427" t="str">
        <f>September!L51</f>
        <v/>
      </c>
      <c r="M51" s="428" t="str">
        <f>September!M51</f>
        <v/>
      </c>
      <c r="N51" s="321" t="str">
        <f>IFERROR(VLOOKUP(M51, Tarieven!$A$1:$J$150, 10, FALSE), "0")</f>
        <v>0</v>
      </c>
      <c r="O51" s="429" t="str">
        <f>September!O51</f>
        <v/>
      </c>
      <c r="P51" s="430" t="str">
        <f>September!P51</f>
        <v/>
      </c>
      <c r="Q51" s="325" t="str">
        <f>IFERROR(VLOOKUP(P51, Tarieven!$A$2:$J$150, 10, FALSE), "0")</f>
        <v>0</v>
      </c>
      <c r="R51" s="431" t="str">
        <f>September!R51</f>
        <v/>
      </c>
      <c r="S51" s="430" t="str">
        <f>September!S51</f>
        <v/>
      </c>
      <c r="T51" s="325" t="str">
        <f>IFERROR(VLOOKUP(S51, Tarieven!$A$2:$J$150, 10, FALSE), "0")</f>
        <v>0</v>
      </c>
      <c r="U51" s="77" t="str">
        <f>September!U51</f>
        <v/>
      </c>
      <c r="V51" s="327" t="str">
        <f>September!V51</f>
        <v/>
      </c>
      <c r="W51" s="325" t="str">
        <f>IFERROR(VLOOKUP(V51, Tarieven!$A$2:$J$150, 10, FALSE), "0")</f>
        <v>0</v>
      </c>
      <c r="X51" s="138">
        <f>September!X52</f>
        <v>0</v>
      </c>
      <c r="Y51" s="398">
        <v>0.0</v>
      </c>
      <c r="Z51" s="329">
        <f t="shared" si="3"/>
        <v>0</v>
      </c>
      <c r="AA51" s="32">
        <f t="shared" si="4"/>
        <v>0</v>
      </c>
      <c r="AB51" s="32">
        <f t="shared" si="5"/>
        <v>0</v>
      </c>
      <c r="AC51" s="32">
        <f t="shared" si="6"/>
        <v>0</v>
      </c>
    </row>
    <row r="52" ht="22.5" customHeight="1">
      <c r="A52" s="331" t="str">
        <f>Rooster!A53</f>
        <v/>
      </c>
      <c r="B52" s="425" t="str">
        <f>Rooster!B53</f>
        <v/>
      </c>
      <c r="C52" s="426" t="str">
        <f>Rooster!C53</f>
        <v/>
      </c>
      <c r="D52" s="11" t="str">
        <f>Rooster!D53</f>
        <v/>
      </c>
      <c r="E52" s="77"/>
      <c r="F52" s="327" t="str">
        <f>Rooster!E54</f>
        <v/>
      </c>
      <c r="G52" s="319" t="str">
        <f>IFERROR(VLOOKUP(F52, Docenten!$A$2:$G$30, 7, FALSE), "0")</f>
        <v>0</v>
      </c>
      <c r="H52" s="320">
        <f t="shared" si="7"/>
        <v>0</v>
      </c>
      <c r="I52" s="327" t="str">
        <f>Rooster!H54</f>
        <v/>
      </c>
      <c r="J52" s="321" t="str">
        <f>IFERROR(VLOOKUP(I52, Locaties!$A$2:$G$15, 7, FALSE), "0")</f>
        <v>0</v>
      </c>
      <c r="K52" s="42">
        <f t="shared" si="2"/>
        <v>0</v>
      </c>
      <c r="L52" s="427" t="str">
        <f>September!L52</f>
        <v/>
      </c>
      <c r="M52" s="428" t="str">
        <f>September!M52</f>
        <v/>
      </c>
      <c r="N52" s="321" t="str">
        <f>IFERROR(VLOOKUP(M52, Tarieven!$A$1:$J$150, 10, FALSE), "0")</f>
        <v>0</v>
      </c>
      <c r="O52" s="429" t="str">
        <f>September!O52</f>
        <v/>
      </c>
      <c r="P52" s="430" t="str">
        <f>September!P52</f>
        <v/>
      </c>
      <c r="Q52" s="325" t="str">
        <f>IFERROR(VLOOKUP(P52, Tarieven!$A$2:$J$150, 10, FALSE), "0")</f>
        <v>0</v>
      </c>
      <c r="R52" s="431" t="str">
        <f>September!R52</f>
        <v/>
      </c>
      <c r="S52" s="430" t="str">
        <f>September!S52</f>
        <v/>
      </c>
      <c r="T52" s="325" t="str">
        <f>IFERROR(VLOOKUP(S52, Tarieven!$A$2:$J$150, 10, FALSE), "0")</f>
        <v>0</v>
      </c>
      <c r="U52" s="77" t="str">
        <f>September!U52</f>
        <v/>
      </c>
      <c r="V52" s="327" t="str">
        <f>September!V52</f>
        <v/>
      </c>
      <c r="W52" s="325" t="str">
        <f>IFERROR(VLOOKUP(V52, Tarieven!$A$2:$J$150, 10, FALSE), "0")</f>
        <v>0</v>
      </c>
      <c r="X52" s="138">
        <f>September!X53</f>
        <v>0</v>
      </c>
      <c r="Y52" s="398">
        <v>0.0</v>
      </c>
      <c r="Z52" s="329">
        <f t="shared" si="3"/>
        <v>0</v>
      </c>
      <c r="AA52" s="32">
        <f t="shared" si="4"/>
        <v>0</v>
      </c>
      <c r="AB52" s="32">
        <f t="shared" si="5"/>
        <v>0</v>
      </c>
      <c r="AC52" s="32">
        <f t="shared" si="6"/>
        <v>0</v>
      </c>
    </row>
    <row r="53" ht="22.5" customHeight="1">
      <c r="A53" s="331" t="str">
        <f>Rooster!A54</f>
        <v/>
      </c>
      <c r="B53" s="425" t="str">
        <f>Rooster!B54</f>
        <v/>
      </c>
      <c r="C53" s="426" t="str">
        <f>Rooster!C54</f>
        <v/>
      </c>
      <c r="D53" s="11" t="str">
        <f>Rooster!D54</f>
        <v/>
      </c>
      <c r="E53" s="77"/>
      <c r="F53" s="327" t="str">
        <f>Rooster!E55</f>
        <v/>
      </c>
      <c r="G53" s="319" t="str">
        <f>IFERROR(VLOOKUP(F53, Docenten!$A$2:$G$30, 7, FALSE), "0")</f>
        <v>0</v>
      </c>
      <c r="H53" s="320">
        <f t="shared" si="7"/>
        <v>0</v>
      </c>
      <c r="I53" s="327" t="str">
        <f>Rooster!H55</f>
        <v/>
      </c>
      <c r="J53" s="321" t="str">
        <f>IFERROR(VLOOKUP(I53, Locaties!$A$2:$G$15, 7, FALSE), "0")</f>
        <v>0</v>
      </c>
      <c r="K53" s="42">
        <f t="shared" si="2"/>
        <v>0</v>
      </c>
      <c r="L53" s="427" t="str">
        <f>September!L53</f>
        <v/>
      </c>
      <c r="M53" s="428" t="str">
        <f>September!M53</f>
        <v/>
      </c>
      <c r="N53" s="321" t="str">
        <f>IFERROR(VLOOKUP(M53, Tarieven!$A$1:$J$150, 10, FALSE), "0")</f>
        <v>0</v>
      </c>
      <c r="O53" s="429" t="str">
        <f>September!O53</f>
        <v/>
      </c>
      <c r="P53" s="430" t="str">
        <f>September!P53</f>
        <v/>
      </c>
      <c r="Q53" s="325" t="str">
        <f>IFERROR(VLOOKUP(P53, Tarieven!$A$2:$J$150, 10, FALSE), "0")</f>
        <v>0</v>
      </c>
      <c r="R53" s="431" t="str">
        <f>September!R53</f>
        <v/>
      </c>
      <c r="S53" s="430" t="str">
        <f>September!S53</f>
        <v/>
      </c>
      <c r="T53" s="325" t="str">
        <f>IFERROR(VLOOKUP(S53, Tarieven!$A$2:$J$150, 10, FALSE), "0")</f>
        <v>0</v>
      </c>
      <c r="U53" s="77" t="str">
        <f>September!U53</f>
        <v/>
      </c>
      <c r="V53" s="327" t="str">
        <f>September!V53</f>
        <v/>
      </c>
      <c r="W53" s="325" t="str">
        <f>IFERROR(VLOOKUP(V53, Tarieven!$A$2:$J$150, 10, FALSE), "0")</f>
        <v>0</v>
      </c>
      <c r="X53" s="138">
        <f>September!X54</f>
        <v>0</v>
      </c>
      <c r="Y53" s="398">
        <v>0.0</v>
      </c>
      <c r="Z53" s="329">
        <f t="shared" si="3"/>
        <v>0</v>
      </c>
      <c r="AA53" s="32">
        <f t="shared" si="4"/>
        <v>0</v>
      </c>
      <c r="AB53" s="32">
        <f t="shared" si="5"/>
        <v>0</v>
      </c>
      <c r="AC53" s="32">
        <f t="shared" si="6"/>
        <v>0</v>
      </c>
    </row>
    <row r="54" ht="22.5" customHeight="1">
      <c r="A54" s="331" t="str">
        <f>Rooster!A55</f>
        <v/>
      </c>
      <c r="B54" s="425" t="str">
        <f>Rooster!B55</f>
        <v/>
      </c>
      <c r="C54" s="426" t="str">
        <f>Rooster!C55</f>
        <v/>
      </c>
      <c r="D54" s="11" t="str">
        <f>Rooster!D55</f>
        <v/>
      </c>
      <c r="E54" s="77"/>
      <c r="F54" s="327" t="str">
        <f>Rooster!E56</f>
        <v/>
      </c>
      <c r="G54" s="319" t="str">
        <f>IFERROR(VLOOKUP(F54, Docenten!$A$2:$G$30, 7, FALSE), "0")</f>
        <v>0</v>
      </c>
      <c r="H54" s="320">
        <f t="shared" si="7"/>
        <v>0</v>
      </c>
      <c r="I54" s="327" t="str">
        <f>Rooster!H56</f>
        <v/>
      </c>
      <c r="J54" s="321" t="str">
        <f>IFERROR(VLOOKUP(I54, Locaties!$A$2:$G$15, 7, FALSE), "0")</f>
        <v>0</v>
      </c>
      <c r="K54" s="42">
        <f t="shared" si="2"/>
        <v>0</v>
      </c>
      <c r="L54" s="427" t="str">
        <f>September!L54</f>
        <v/>
      </c>
      <c r="M54" s="428" t="str">
        <f>September!M54</f>
        <v/>
      </c>
      <c r="N54" s="321" t="str">
        <f>IFERROR(VLOOKUP(M54, Tarieven!$A$1:$J$150, 10, FALSE), "0")</f>
        <v>0</v>
      </c>
      <c r="O54" s="429" t="str">
        <f>September!O54</f>
        <v/>
      </c>
      <c r="P54" s="430" t="str">
        <f>September!P54</f>
        <v/>
      </c>
      <c r="Q54" s="325" t="str">
        <f>IFERROR(VLOOKUP(P54, Tarieven!$A$2:$J$150, 10, FALSE), "0")</f>
        <v>0</v>
      </c>
      <c r="R54" s="431" t="str">
        <f>September!R54</f>
        <v/>
      </c>
      <c r="S54" s="430" t="str">
        <f>September!S54</f>
        <v/>
      </c>
      <c r="T54" s="325" t="str">
        <f>IFERROR(VLOOKUP(S54, Tarieven!$A$2:$J$150, 10, FALSE), "0")</f>
        <v>0</v>
      </c>
      <c r="U54" s="77" t="str">
        <f>September!U54</f>
        <v/>
      </c>
      <c r="V54" s="327" t="str">
        <f>September!V54</f>
        <v/>
      </c>
      <c r="W54" s="325" t="str">
        <f>IFERROR(VLOOKUP(V54, Tarieven!$A$2:$J$150, 10, FALSE), "0")</f>
        <v>0</v>
      </c>
      <c r="X54" s="138">
        <f>September!X55</f>
        <v>0</v>
      </c>
      <c r="Y54" s="398">
        <v>0.0</v>
      </c>
      <c r="Z54" s="329">
        <f t="shared" si="3"/>
        <v>0</v>
      </c>
      <c r="AA54" s="32">
        <f t="shared" si="4"/>
        <v>0</v>
      </c>
      <c r="AB54" s="32">
        <f t="shared" si="5"/>
        <v>0</v>
      </c>
      <c r="AC54" s="32">
        <f t="shared" si="6"/>
        <v>0</v>
      </c>
    </row>
    <row r="55" ht="22.5" customHeight="1">
      <c r="A55" s="331" t="str">
        <f>Rooster!A56</f>
        <v/>
      </c>
      <c r="B55" s="425" t="str">
        <f>Rooster!B56</f>
        <v/>
      </c>
      <c r="C55" s="426" t="str">
        <f>Rooster!C56</f>
        <v/>
      </c>
      <c r="D55" s="11" t="str">
        <f>Rooster!D56</f>
        <v/>
      </c>
      <c r="E55" s="77"/>
      <c r="F55" s="327" t="str">
        <f>Rooster!E57</f>
        <v/>
      </c>
      <c r="G55" s="319" t="str">
        <f>IFERROR(VLOOKUP(F55, Docenten!$A$2:$G$30, 7, FALSE), "0")</f>
        <v>0</v>
      </c>
      <c r="H55" s="320">
        <f t="shared" si="7"/>
        <v>0</v>
      </c>
      <c r="I55" s="327" t="str">
        <f>Rooster!H57</f>
        <v/>
      </c>
      <c r="J55" s="321" t="str">
        <f>IFERROR(VLOOKUP(I55, Locaties!$A$2:$G$15, 7, FALSE), "0")</f>
        <v>0</v>
      </c>
      <c r="K55" s="42">
        <f t="shared" si="2"/>
        <v>0</v>
      </c>
      <c r="L55" s="427" t="str">
        <f>September!L55</f>
        <v/>
      </c>
      <c r="M55" s="428" t="str">
        <f>September!M55</f>
        <v/>
      </c>
      <c r="N55" s="321" t="str">
        <f>IFERROR(VLOOKUP(M55, Tarieven!$A$1:$J$150, 10, FALSE), "0")</f>
        <v>0</v>
      </c>
      <c r="O55" s="429" t="str">
        <f>September!O55</f>
        <v/>
      </c>
      <c r="P55" s="430" t="str">
        <f>September!P55</f>
        <v/>
      </c>
      <c r="Q55" s="325" t="str">
        <f>IFERROR(VLOOKUP(P55, Tarieven!$A$2:$J$150, 10, FALSE), "0")</f>
        <v>0</v>
      </c>
      <c r="R55" s="431" t="str">
        <f>September!R55</f>
        <v/>
      </c>
      <c r="S55" s="430" t="str">
        <f>September!S55</f>
        <v/>
      </c>
      <c r="T55" s="325" t="str">
        <f>IFERROR(VLOOKUP(S55, Tarieven!$A$2:$J$150, 10, FALSE), "0")</f>
        <v>0</v>
      </c>
      <c r="U55" s="77" t="str">
        <f>September!U55</f>
        <v/>
      </c>
      <c r="V55" s="327" t="str">
        <f>September!V55</f>
        <v/>
      </c>
      <c r="W55" s="325" t="str">
        <f>IFERROR(VLOOKUP(V55, Tarieven!$A$2:$J$150, 10, FALSE), "0")</f>
        <v>0</v>
      </c>
      <c r="X55" s="138">
        <f>September!X56</f>
        <v>0</v>
      </c>
      <c r="Y55" s="398">
        <v>0.0</v>
      </c>
      <c r="Z55" s="329">
        <f t="shared" si="3"/>
        <v>0</v>
      </c>
      <c r="AA55" s="32">
        <f t="shared" si="4"/>
        <v>0</v>
      </c>
      <c r="AB55" s="32">
        <f t="shared" si="5"/>
        <v>0</v>
      </c>
      <c r="AC55" s="32">
        <f t="shared" si="6"/>
        <v>0</v>
      </c>
    </row>
    <row r="56" ht="22.5" customHeight="1">
      <c r="A56" s="331" t="str">
        <f>Rooster!A57</f>
        <v/>
      </c>
      <c r="B56" s="425" t="str">
        <f>Rooster!B57</f>
        <v/>
      </c>
      <c r="C56" s="426" t="str">
        <f>Rooster!C57</f>
        <v/>
      </c>
      <c r="D56" s="11" t="str">
        <f>Rooster!D57</f>
        <v/>
      </c>
      <c r="E56" s="77"/>
      <c r="F56" s="327" t="str">
        <f>Rooster!E58</f>
        <v/>
      </c>
      <c r="G56" s="319" t="str">
        <f>IFERROR(VLOOKUP(F56, Docenten!$A$2:$G$30, 7, FALSE), "0")</f>
        <v>0</v>
      </c>
      <c r="H56" s="320">
        <f t="shared" si="7"/>
        <v>0</v>
      </c>
      <c r="I56" s="327" t="str">
        <f>Rooster!H58</f>
        <v/>
      </c>
      <c r="J56" s="321" t="str">
        <f>IFERROR(VLOOKUP(I56, Locaties!$A$2:$G$15, 7, FALSE), "0")</f>
        <v>0</v>
      </c>
      <c r="K56" s="42">
        <f t="shared" si="2"/>
        <v>0</v>
      </c>
      <c r="L56" s="427" t="str">
        <f>September!L56</f>
        <v/>
      </c>
      <c r="M56" s="428" t="str">
        <f>September!M56</f>
        <v/>
      </c>
      <c r="N56" s="321" t="str">
        <f>IFERROR(VLOOKUP(M56, Tarieven!$A$1:$J$150, 10, FALSE), "0")</f>
        <v>0</v>
      </c>
      <c r="O56" s="429" t="str">
        <f>September!O56</f>
        <v/>
      </c>
      <c r="P56" s="430" t="str">
        <f>September!P56</f>
        <v/>
      </c>
      <c r="Q56" s="325" t="str">
        <f>IFERROR(VLOOKUP(P56, Tarieven!$A$2:$J$150, 10, FALSE), "0")</f>
        <v>0</v>
      </c>
      <c r="R56" s="431" t="str">
        <f>September!R56</f>
        <v/>
      </c>
      <c r="S56" s="430" t="str">
        <f>September!S56</f>
        <v/>
      </c>
      <c r="T56" s="325" t="str">
        <f>IFERROR(VLOOKUP(S56, Tarieven!$A$2:$J$150, 10, FALSE), "0")</f>
        <v>0</v>
      </c>
      <c r="U56" s="77" t="str">
        <f>September!U56</f>
        <v/>
      </c>
      <c r="V56" s="327" t="str">
        <f>September!V56</f>
        <v/>
      </c>
      <c r="W56" s="325" t="str">
        <f>IFERROR(VLOOKUP(V56, Tarieven!$A$2:$J$150, 10, FALSE), "0")</f>
        <v>0</v>
      </c>
      <c r="X56" s="138">
        <f>September!X57</f>
        <v>0</v>
      </c>
      <c r="Y56" s="398">
        <v>0.0</v>
      </c>
      <c r="Z56" s="329">
        <f t="shared" si="3"/>
        <v>0</v>
      </c>
      <c r="AA56" s="32">
        <f t="shared" si="4"/>
        <v>0</v>
      </c>
      <c r="AB56" s="32">
        <f t="shared" si="5"/>
        <v>0</v>
      </c>
      <c r="AC56" s="32">
        <f t="shared" si="6"/>
        <v>0</v>
      </c>
    </row>
    <row r="57" ht="22.5" customHeight="1">
      <c r="A57" s="331" t="str">
        <f>Rooster!A58</f>
        <v/>
      </c>
      <c r="B57" s="425" t="str">
        <f>Rooster!B58</f>
        <v/>
      </c>
      <c r="C57" s="426" t="str">
        <f>Rooster!C58</f>
        <v/>
      </c>
      <c r="D57" s="11" t="str">
        <f>Rooster!D58</f>
        <v/>
      </c>
      <c r="E57" s="77"/>
      <c r="F57" s="327" t="str">
        <f>Rooster!E59</f>
        <v/>
      </c>
      <c r="G57" s="319" t="str">
        <f>IFERROR(VLOOKUP(F57, Docenten!$A$2:$G$30, 7, FALSE), "0")</f>
        <v>0</v>
      </c>
      <c r="H57" s="320">
        <f t="shared" si="7"/>
        <v>0</v>
      </c>
      <c r="I57" s="327" t="str">
        <f>Rooster!H59</f>
        <v/>
      </c>
      <c r="J57" s="321" t="str">
        <f>IFERROR(VLOOKUP(I57, Locaties!$A$2:$G$15, 7, FALSE), "0")</f>
        <v>0</v>
      </c>
      <c r="K57" s="42">
        <f t="shared" si="2"/>
        <v>0</v>
      </c>
      <c r="L57" s="427" t="str">
        <f>September!L57</f>
        <v/>
      </c>
      <c r="M57" s="428" t="str">
        <f>September!M57</f>
        <v/>
      </c>
      <c r="N57" s="321" t="str">
        <f>IFERROR(VLOOKUP(M57, Tarieven!$A$1:$J$150, 10, FALSE), "0")</f>
        <v>0</v>
      </c>
      <c r="O57" s="429" t="str">
        <f>September!O57</f>
        <v/>
      </c>
      <c r="P57" s="430" t="str">
        <f>September!P57</f>
        <v/>
      </c>
      <c r="Q57" s="325" t="str">
        <f>IFERROR(VLOOKUP(P57, Tarieven!$A$2:$J$150, 10, FALSE), "0")</f>
        <v>0</v>
      </c>
      <c r="R57" s="431" t="str">
        <f>September!R57</f>
        <v/>
      </c>
      <c r="S57" s="430" t="str">
        <f>September!S57</f>
        <v/>
      </c>
      <c r="T57" s="325" t="str">
        <f>IFERROR(VLOOKUP(S57, Tarieven!$A$2:$J$150, 10, FALSE), "0")</f>
        <v>0</v>
      </c>
      <c r="U57" s="77" t="str">
        <f>September!U57</f>
        <v/>
      </c>
      <c r="V57" s="327" t="str">
        <f>September!V57</f>
        <v/>
      </c>
      <c r="W57" s="325" t="str">
        <f>IFERROR(VLOOKUP(V57, Tarieven!$A$2:$J$150, 10, FALSE), "0")</f>
        <v>0</v>
      </c>
      <c r="X57" s="138">
        <f>September!X58</f>
        <v>0</v>
      </c>
      <c r="Y57" s="398">
        <v>0.0</v>
      </c>
      <c r="Z57" s="329">
        <f t="shared" si="3"/>
        <v>0</v>
      </c>
      <c r="AA57" s="32">
        <f t="shared" si="4"/>
        <v>0</v>
      </c>
      <c r="AB57" s="32">
        <f t="shared" si="5"/>
        <v>0</v>
      </c>
      <c r="AC57" s="32">
        <f t="shared" si="6"/>
        <v>0</v>
      </c>
    </row>
    <row r="58" ht="22.5" customHeight="1">
      <c r="A58" s="331" t="str">
        <f>Rooster!A59</f>
        <v/>
      </c>
      <c r="B58" s="425" t="str">
        <f>Rooster!B59</f>
        <v/>
      </c>
      <c r="C58" s="426" t="str">
        <f>Rooster!C59</f>
        <v/>
      </c>
      <c r="D58" s="11" t="str">
        <f>Rooster!D59</f>
        <v/>
      </c>
      <c r="E58" s="77"/>
      <c r="F58" s="327" t="str">
        <f>Rooster!E60</f>
        <v/>
      </c>
      <c r="G58" s="319" t="str">
        <f>IFERROR(VLOOKUP(F58, Docenten!$A$2:$G$30, 7, FALSE), "0")</f>
        <v>0</v>
      </c>
      <c r="H58" s="320">
        <f t="shared" si="7"/>
        <v>0</v>
      </c>
      <c r="I58" s="327" t="str">
        <f>Rooster!H60</f>
        <v/>
      </c>
      <c r="J58" s="321" t="str">
        <f>IFERROR(VLOOKUP(I58, Locaties!$A$2:$G$15, 7, FALSE), "0")</f>
        <v>0</v>
      </c>
      <c r="K58" s="42">
        <f t="shared" si="2"/>
        <v>0</v>
      </c>
      <c r="L58" s="427" t="str">
        <f>September!L58</f>
        <v/>
      </c>
      <c r="M58" s="428" t="str">
        <f>September!M58</f>
        <v/>
      </c>
      <c r="N58" s="321" t="str">
        <f>IFERROR(VLOOKUP(M58, Tarieven!$A$1:$J$150, 10, FALSE), "0")</f>
        <v>0</v>
      </c>
      <c r="O58" s="429" t="str">
        <f>September!O58</f>
        <v/>
      </c>
      <c r="P58" s="430" t="str">
        <f>September!P58</f>
        <v/>
      </c>
      <c r="Q58" s="325" t="str">
        <f>IFERROR(VLOOKUP(P58, Tarieven!$A$2:$J$150, 10, FALSE), "0")</f>
        <v>0</v>
      </c>
      <c r="R58" s="431" t="str">
        <f>September!R58</f>
        <v/>
      </c>
      <c r="S58" s="430" t="str">
        <f>September!S58</f>
        <v/>
      </c>
      <c r="T58" s="325" t="str">
        <f>IFERROR(VLOOKUP(S58, Tarieven!$A$2:$J$150, 10, FALSE), "0")</f>
        <v>0</v>
      </c>
      <c r="U58" s="77" t="str">
        <f>September!U58</f>
        <v/>
      </c>
      <c r="V58" s="327" t="str">
        <f>September!V58</f>
        <v/>
      </c>
      <c r="W58" s="325" t="str">
        <f>IFERROR(VLOOKUP(V58, Tarieven!$A$2:$J$150, 10, FALSE), "0")</f>
        <v>0</v>
      </c>
      <c r="X58" s="138">
        <f>September!X59</f>
        <v>0</v>
      </c>
      <c r="Y58" s="398">
        <v>0.0</v>
      </c>
      <c r="Z58" s="329">
        <f t="shared" si="3"/>
        <v>0</v>
      </c>
      <c r="AA58" s="32">
        <f t="shared" si="4"/>
        <v>0</v>
      </c>
      <c r="AB58" s="32">
        <f t="shared" si="5"/>
        <v>0</v>
      </c>
      <c r="AC58" s="32">
        <f t="shared" si="6"/>
        <v>0</v>
      </c>
    </row>
    <row r="59" ht="22.5" customHeight="1">
      <c r="A59" s="331" t="str">
        <f>Rooster!A60</f>
        <v/>
      </c>
      <c r="B59" s="425" t="str">
        <f>Rooster!B60</f>
        <v/>
      </c>
      <c r="C59" s="426" t="str">
        <f>Rooster!C60</f>
        <v/>
      </c>
      <c r="D59" s="11" t="str">
        <f>Rooster!D60</f>
        <v/>
      </c>
      <c r="E59" s="77"/>
      <c r="F59" s="327" t="str">
        <f>Rooster!E61</f>
        <v/>
      </c>
      <c r="G59" s="319" t="str">
        <f>IFERROR(VLOOKUP(F59, Docenten!$A$2:$G$30, 7, FALSE), "0")</f>
        <v>0</v>
      </c>
      <c r="H59" s="320">
        <f t="shared" si="7"/>
        <v>0</v>
      </c>
      <c r="I59" s="327" t="str">
        <f>Rooster!H61</f>
        <v/>
      </c>
      <c r="J59" s="321" t="str">
        <f>IFERROR(VLOOKUP(I59, Locaties!$A$2:$G$15, 7, FALSE), "0")</f>
        <v>0</v>
      </c>
      <c r="K59" s="42">
        <f t="shared" si="2"/>
        <v>0</v>
      </c>
      <c r="L59" s="427" t="str">
        <f>September!L59</f>
        <v/>
      </c>
      <c r="M59" s="428" t="str">
        <f>September!M59</f>
        <v/>
      </c>
      <c r="N59" s="321" t="str">
        <f>IFERROR(VLOOKUP(M59, Tarieven!$A$1:$J$150, 10, FALSE), "0")</f>
        <v>0</v>
      </c>
      <c r="O59" s="429" t="str">
        <f>September!O59</f>
        <v/>
      </c>
      <c r="P59" s="430" t="str">
        <f>September!P59</f>
        <v/>
      </c>
      <c r="Q59" s="325" t="str">
        <f>IFERROR(VLOOKUP(P59, Tarieven!$A$2:$J$150, 10, FALSE), "0")</f>
        <v>0</v>
      </c>
      <c r="R59" s="431" t="str">
        <f>September!R59</f>
        <v/>
      </c>
      <c r="S59" s="430" t="str">
        <f>September!S59</f>
        <v/>
      </c>
      <c r="T59" s="325" t="str">
        <f>IFERROR(VLOOKUP(S59, Tarieven!$A$2:$J$150, 10, FALSE), "0")</f>
        <v>0</v>
      </c>
      <c r="U59" s="77" t="str">
        <f>September!U59</f>
        <v/>
      </c>
      <c r="V59" s="327" t="str">
        <f>September!V59</f>
        <v/>
      </c>
      <c r="W59" s="325" t="str">
        <f>IFERROR(VLOOKUP(V59, Tarieven!$A$2:$J$150, 10, FALSE), "0")</f>
        <v>0</v>
      </c>
      <c r="X59" s="138">
        <f>September!X60</f>
        <v>0</v>
      </c>
      <c r="Y59" s="398">
        <v>0.0</v>
      </c>
      <c r="Z59" s="329">
        <f t="shared" si="3"/>
        <v>0</v>
      </c>
      <c r="AA59" s="32">
        <f t="shared" si="4"/>
        <v>0</v>
      </c>
      <c r="AB59" s="32">
        <f t="shared" si="5"/>
        <v>0</v>
      </c>
      <c r="AC59" s="32">
        <f t="shared" si="6"/>
        <v>0</v>
      </c>
    </row>
    <row r="60" ht="22.5" customHeight="1">
      <c r="A60" s="331" t="str">
        <f>Rooster!A61</f>
        <v/>
      </c>
      <c r="B60" s="425" t="str">
        <f>Rooster!B61</f>
        <v/>
      </c>
      <c r="C60" s="426" t="str">
        <f>Rooster!C61</f>
        <v/>
      </c>
      <c r="D60" s="11" t="str">
        <f>Rooster!D61</f>
        <v/>
      </c>
      <c r="E60" s="77"/>
      <c r="F60" s="327" t="str">
        <f>Rooster!E62</f>
        <v/>
      </c>
      <c r="G60" s="319" t="str">
        <f>IFERROR(VLOOKUP(F60, Docenten!$A$2:$G$30, 7, FALSE), "0")</f>
        <v>0</v>
      </c>
      <c r="H60" s="320">
        <f t="shared" si="7"/>
        <v>0</v>
      </c>
      <c r="I60" s="327" t="str">
        <f>Rooster!H62</f>
        <v/>
      </c>
      <c r="J60" s="321" t="str">
        <f>IFERROR(VLOOKUP(I60, Locaties!$A$2:$G$15, 7, FALSE), "0")</f>
        <v>0</v>
      </c>
      <c r="K60" s="42">
        <f t="shared" si="2"/>
        <v>0</v>
      </c>
      <c r="L60" s="427" t="str">
        <f>September!L60</f>
        <v/>
      </c>
      <c r="M60" s="428" t="str">
        <f>September!M60</f>
        <v/>
      </c>
      <c r="N60" s="321" t="str">
        <f>IFERROR(VLOOKUP(M60, Tarieven!$A$1:$J$150, 10, FALSE), "0")</f>
        <v>0</v>
      </c>
      <c r="O60" s="429" t="str">
        <f>September!O60</f>
        <v/>
      </c>
      <c r="P60" s="430" t="str">
        <f>September!P60</f>
        <v/>
      </c>
      <c r="Q60" s="325" t="str">
        <f>IFERROR(VLOOKUP(P60, Tarieven!$A$2:$J$150, 10, FALSE), "0")</f>
        <v>0</v>
      </c>
      <c r="R60" s="431" t="str">
        <f>September!R60</f>
        <v/>
      </c>
      <c r="S60" s="430" t="str">
        <f>September!S60</f>
        <v/>
      </c>
      <c r="T60" s="325" t="str">
        <f>IFERROR(VLOOKUP(S60, Tarieven!$A$2:$J$150, 10, FALSE), "0")</f>
        <v>0</v>
      </c>
      <c r="U60" s="77" t="str">
        <f>September!U60</f>
        <v/>
      </c>
      <c r="V60" s="327" t="str">
        <f>September!V60</f>
        <v/>
      </c>
      <c r="W60" s="325" t="str">
        <f>IFERROR(VLOOKUP(V60, Tarieven!$A$2:$J$150, 10, FALSE), "0")</f>
        <v>0</v>
      </c>
      <c r="X60" s="138">
        <f>September!X61</f>
        <v>0</v>
      </c>
      <c r="Y60" s="398">
        <v>0.0</v>
      </c>
      <c r="Z60" s="329">
        <f t="shared" si="3"/>
        <v>0</v>
      </c>
      <c r="AA60" s="32">
        <f t="shared" si="4"/>
        <v>0</v>
      </c>
      <c r="AB60" s="32">
        <f t="shared" si="5"/>
        <v>0</v>
      </c>
      <c r="AC60" s="32">
        <f t="shared" si="6"/>
        <v>0</v>
      </c>
    </row>
    <row r="61" ht="22.5" customHeight="1">
      <c r="A61" s="331" t="str">
        <f>Rooster!A62</f>
        <v/>
      </c>
      <c r="B61" s="425" t="str">
        <f>Rooster!B62</f>
        <v/>
      </c>
      <c r="C61" s="426" t="str">
        <f>Rooster!C62</f>
        <v/>
      </c>
      <c r="D61" s="11" t="str">
        <f>Rooster!D62</f>
        <v/>
      </c>
      <c r="E61" s="77"/>
      <c r="F61" s="327" t="str">
        <f>Rooster!E63</f>
        <v/>
      </c>
      <c r="G61" s="319" t="str">
        <f>IFERROR(VLOOKUP(F61, Docenten!$A$2:$G$30, 7, FALSE), "0")</f>
        <v>0</v>
      </c>
      <c r="H61" s="320">
        <f t="shared" si="7"/>
        <v>0</v>
      </c>
      <c r="I61" s="327" t="str">
        <f>Rooster!H63</f>
        <v/>
      </c>
      <c r="J61" s="321" t="str">
        <f>IFERROR(VLOOKUP(I61, Locaties!$A$2:$G$15, 7, FALSE), "0")</f>
        <v>0</v>
      </c>
      <c r="K61" s="42">
        <f t="shared" si="2"/>
        <v>0</v>
      </c>
      <c r="L61" s="427" t="str">
        <f>September!L61</f>
        <v/>
      </c>
      <c r="M61" s="428" t="str">
        <f>September!M61</f>
        <v/>
      </c>
      <c r="N61" s="321" t="str">
        <f>IFERROR(VLOOKUP(M61, Tarieven!$A$1:$J$150, 10, FALSE), "0")</f>
        <v>0</v>
      </c>
      <c r="O61" s="429" t="str">
        <f>September!O61</f>
        <v/>
      </c>
      <c r="P61" s="430" t="str">
        <f>September!P61</f>
        <v/>
      </c>
      <c r="Q61" s="325" t="str">
        <f>IFERROR(VLOOKUP(P61, Tarieven!$A$2:$J$150, 10, FALSE), "0")</f>
        <v>0</v>
      </c>
      <c r="R61" s="431" t="str">
        <f>September!R61</f>
        <v/>
      </c>
      <c r="S61" s="430" t="str">
        <f>September!S61</f>
        <v/>
      </c>
      <c r="T61" s="325" t="str">
        <f>IFERROR(VLOOKUP(S61, Tarieven!$A$2:$J$150, 10, FALSE), "0")</f>
        <v>0</v>
      </c>
      <c r="U61" s="77" t="str">
        <f>September!U61</f>
        <v/>
      </c>
      <c r="V61" s="327" t="str">
        <f>September!V61</f>
        <v/>
      </c>
      <c r="W61" s="325" t="str">
        <f>IFERROR(VLOOKUP(V61, Tarieven!$A$2:$J$150, 10, FALSE), "0")</f>
        <v>0</v>
      </c>
      <c r="X61" s="138">
        <f>September!X62</f>
        <v>0</v>
      </c>
      <c r="Y61" s="398">
        <v>0.0</v>
      </c>
      <c r="Z61" s="329">
        <f t="shared" si="3"/>
        <v>0</v>
      </c>
      <c r="AA61" s="32">
        <f t="shared" si="4"/>
        <v>0</v>
      </c>
      <c r="AB61" s="32">
        <f t="shared" si="5"/>
        <v>0</v>
      </c>
      <c r="AC61" s="32">
        <f t="shared" si="6"/>
        <v>0</v>
      </c>
    </row>
    <row r="62" ht="22.5" customHeight="1">
      <c r="A62" s="331" t="str">
        <f>Rooster!A63</f>
        <v/>
      </c>
      <c r="B62" s="425" t="str">
        <f>Rooster!B63</f>
        <v/>
      </c>
      <c r="C62" s="426" t="str">
        <f>Rooster!C63</f>
        <v/>
      </c>
      <c r="D62" s="11" t="str">
        <f>Rooster!D63</f>
        <v/>
      </c>
      <c r="E62" s="77"/>
      <c r="F62" s="327" t="str">
        <f>Rooster!E64</f>
        <v/>
      </c>
      <c r="G62" s="319" t="str">
        <f>IFERROR(VLOOKUP(F62, Docenten!$A$2:$G$30, 7, FALSE), "0")</f>
        <v>0</v>
      </c>
      <c r="H62" s="320">
        <f t="shared" si="7"/>
        <v>0</v>
      </c>
      <c r="I62" s="327" t="str">
        <f>Rooster!H64</f>
        <v/>
      </c>
      <c r="J62" s="321" t="str">
        <f>IFERROR(VLOOKUP(I62, Locaties!$A$2:$G$15, 7, FALSE), "0")</f>
        <v>0</v>
      </c>
      <c r="K62" s="42">
        <f t="shared" si="2"/>
        <v>0</v>
      </c>
      <c r="L62" s="427" t="str">
        <f>September!L62</f>
        <v/>
      </c>
      <c r="M62" s="428" t="str">
        <f>September!M62</f>
        <v/>
      </c>
      <c r="N62" s="321" t="str">
        <f>IFERROR(VLOOKUP(M62, Tarieven!$A$1:$J$150, 10, FALSE), "0")</f>
        <v>0</v>
      </c>
      <c r="O62" s="429" t="str">
        <f>September!O62</f>
        <v/>
      </c>
      <c r="P62" s="430" t="str">
        <f>September!P62</f>
        <v/>
      </c>
      <c r="Q62" s="325" t="str">
        <f>IFERROR(VLOOKUP(P62, Tarieven!$A$2:$J$150, 10, FALSE), "0")</f>
        <v>0</v>
      </c>
      <c r="R62" s="431" t="str">
        <f>September!R62</f>
        <v/>
      </c>
      <c r="S62" s="430" t="str">
        <f>September!S62</f>
        <v/>
      </c>
      <c r="T62" s="325" t="str">
        <f>IFERROR(VLOOKUP(S62, Tarieven!$A$2:$J$150, 10, FALSE), "0")</f>
        <v>0</v>
      </c>
      <c r="U62" s="77" t="str">
        <f>September!U62</f>
        <v/>
      </c>
      <c r="V62" s="327" t="str">
        <f>September!V62</f>
        <v/>
      </c>
      <c r="W62" s="325" t="str">
        <f>IFERROR(VLOOKUP(V62, Tarieven!$A$2:$J$150, 10, FALSE), "0")</f>
        <v>0</v>
      </c>
      <c r="X62" s="138">
        <f>September!X63</f>
        <v>0</v>
      </c>
      <c r="Y62" s="398">
        <v>0.0</v>
      </c>
      <c r="Z62" s="329">
        <f t="shared" si="3"/>
        <v>0</v>
      </c>
      <c r="AA62" s="32">
        <f t="shared" si="4"/>
        <v>0</v>
      </c>
      <c r="AB62" s="32">
        <f t="shared" si="5"/>
        <v>0</v>
      </c>
      <c r="AC62" s="32">
        <f t="shared" si="6"/>
        <v>0</v>
      </c>
    </row>
    <row r="63" ht="22.5" customHeight="1">
      <c r="A63" s="331" t="str">
        <f>Rooster!A64</f>
        <v/>
      </c>
      <c r="B63" s="425" t="str">
        <f>Rooster!B64</f>
        <v/>
      </c>
      <c r="C63" s="426" t="str">
        <f>Rooster!C64</f>
        <v/>
      </c>
      <c r="D63" s="11" t="str">
        <f>Rooster!D64</f>
        <v/>
      </c>
      <c r="E63" s="77"/>
      <c r="F63" s="327" t="str">
        <f>Rooster!E65</f>
        <v/>
      </c>
      <c r="G63" s="319" t="str">
        <f>IFERROR(VLOOKUP(F63, Docenten!$A$2:$G$30, 7, FALSE), "0")</f>
        <v>0</v>
      </c>
      <c r="H63" s="320">
        <f t="shared" si="7"/>
        <v>0</v>
      </c>
      <c r="I63" s="327" t="str">
        <f>Rooster!H65</f>
        <v/>
      </c>
      <c r="J63" s="321" t="str">
        <f>IFERROR(VLOOKUP(I63, Locaties!$A$2:$G$15, 7, FALSE), "0")</f>
        <v>0</v>
      </c>
      <c r="K63" s="42">
        <f t="shared" si="2"/>
        <v>0</v>
      </c>
      <c r="L63" s="427" t="str">
        <f>September!L63</f>
        <v/>
      </c>
      <c r="M63" s="428" t="str">
        <f>September!M63</f>
        <v/>
      </c>
      <c r="N63" s="321" t="str">
        <f>IFERROR(VLOOKUP(M63, Tarieven!$A$1:$J$150, 10, FALSE), "0")</f>
        <v>0</v>
      </c>
      <c r="O63" s="429" t="str">
        <f>September!O63</f>
        <v/>
      </c>
      <c r="P63" s="430" t="str">
        <f>September!P63</f>
        <v/>
      </c>
      <c r="Q63" s="325" t="str">
        <f>IFERROR(VLOOKUP(P63, Tarieven!$A$2:$J$150, 10, FALSE), "0")</f>
        <v>0</v>
      </c>
      <c r="R63" s="431" t="str">
        <f>September!R63</f>
        <v/>
      </c>
      <c r="S63" s="430" t="str">
        <f>September!S63</f>
        <v/>
      </c>
      <c r="T63" s="325" t="str">
        <f>IFERROR(VLOOKUP(S63, Tarieven!$A$2:$J$150, 10, FALSE), "0")</f>
        <v>0</v>
      </c>
      <c r="U63" s="77" t="str">
        <f>September!U63</f>
        <v/>
      </c>
      <c r="V63" s="327" t="str">
        <f>September!V63</f>
        <v/>
      </c>
      <c r="W63" s="325" t="str">
        <f>IFERROR(VLOOKUP(V63, Tarieven!$A$2:$J$150, 10, FALSE), "0")</f>
        <v>0</v>
      </c>
      <c r="X63" s="138">
        <f>September!X64</f>
        <v>0</v>
      </c>
      <c r="Y63" s="398">
        <v>0.0</v>
      </c>
      <c r="Z63" s="329">
        <f t="shared" si="3"/>
        <v>0</v>
      </c>
      <c r="AA63" s="32">
        <f t="shared" si="4"/>
        <v>0</v>
      </c>
      <c r="AB63" s="32">
        <f t="shared" si="5"/>
        <v>0</v>
      </c>
      <c r="AC63" s="32">
        <f t="shared" si="6"/>
        <v>0</v>
      </c>
    </row>
    <row r="64" ht="22.5" customHeight="1">
      <c r="A64" s="331" t="str">
        <f>Rooster!A65</f>
        <v/>
      </c>
      <c r="B64" s="425" t="str">
        <f>Rooster!B65</f>
        <v/>
      </c>
      <c r="C64" s="426" t="str">
        <f>Rooster!C65</f>
        <v/>
      </c>
      <c r="D64" s="11" t="str">
        <f>Rooster!D65</f>
        <v/>
      </c>
      <c r="E64" s="77"/>
      <c r="F64" s="327" t="str">
        <f>Rooster!E66</f>
        <v/>
      </c>
      <c r="G64" s="319" t="str">
        <f>IFERROR(VLOOKUP(F64, Docenten!$A$2:$G$30, 7, FALSE), "0")</f>
        <v>0</v>
      </c>
      <c r="H64" s="320">
        <f t="shared" si="7"/>
        <v>0</v>
      </c>
      <c r="I64" s="327" t="str">
        <f>Rooster!H66</f>
        <v/>
      </c>
      <c r="J64" s="321" t="str">
        <f>IFERROR(VLOOKUP(I64, Locaties!$A$2:$G$15, 7, FALSE), "0")</f>
        <v>0</v>
      </c>
      <c r="K64" s="42">
        <f t="shared" si="2"/>
        <v>0</v>
      </c>
      <c r="L64" s="427" t="str">
        <f>September!L64</f>
        <v/>
      </c>
      <c r="M64" s="428" t="str">
        <f>September!M64</f>
        <v/>
      </c>
      <c r="N64" s="321" t="str">
        <f>IFERROR(VLOOKUP(M64, Tarieven!$A$1:$J$150, 10, FALSE), "0")</f>
        <v>0</v>
      </c>
      <c r="O64" s="429" t="str">
        <f>September!O64</f>
        <v/>
      </c>
      <c r="P64" s="430" t="str">
        <f>September!P64</f>
        <v/>
      </c>
      <c r="Q64" s="325" t="str">
        <f>IFERROR(VLOOKUP(P64, Tarieven!$A$2:$J$150, 10, FALSE), "0")</f>
        <v>0</v>
      </c>
      <c r="R64" s="431" t="str">
        <f>September!R64</f>
        <v/>
      </c>
      <c r="S64" s="430" t="str">
        <f>September!S64</f>
        <v/>
      </c>
      <c r="T64" s="325" t="str">
        <f>IFERROR(VLOOKUP(S64, Tarieven!$A$2:$J$150, 10, FALSE), "0")</f>
        <v>0</v>
      </c>
      <c r="U64" s="77" t="str">
        <f>September!U64</f>
        <v/>
      </c>
      <c r="V64" s="327" t="str">
        <f>September!V64</f>
        <v/>
      </c>
      <c r="W64" s="325" t="str">
        <f>IFERROR(VLOOKUP(V64, Tarieven!$A$2:$J$150, 10, FALSE), "0")</f>
        <v>0</v>
      </c>
      <c r="X64" s="138">
        <f>September!X65</f>
        <v>0</v>
      </c>
      <c r="Y64" s="398">
        <v>0.0</v>
      </c>
      <c r="Z64" s="329">
        <f t="shared" si="3"/>
        <v>0</v>
      </c>
      <c r="AA64" s="32">
        <f t="shared" si="4"/>
        <v>0</v>
      </c>
      <c r="AB64" s="32">
        <f t="shared" si="5"/>
        <v>0</v>
      </c>
      <c r="AC64" s="32">
        <f t="shared" si="6"/>
        <v>0</v>
      </c>
    </row>
    <row r="65" ht="22.5" customHeight="1">
      <c r="A65" s="331" t="str">
        <f>Rooster!A66</f>
        <v/>
      </c>
      <c r="B65" s="425" t="str">
        <f>Rooster!B66</f>
        <v/>
      </c>
      <c r="C65" s="426" t="str">
        <f>Rooster!C66</f>
        <v/>
      </c>
      <c r="D65" s="11" t="str">
        <f>Rooster!D66</f>
        <v/>
      </c>
      <c r="E65" s="77"/>
      <c r="F65" s="327" t="str">
        <f>Rooster!E67</f>
        <v/>
      </c>
      <c r="G65" s="319" t="str">
        <f>IFERROR(VLOOKUP(F65, Docenten!$A$2:$G$30, 7, FALSE), "0")</f>
        <v>0</v>
      </c>
      <c r="H65" s="320">
        <f t="shared" si="7"/>
        <v>0</v>
      </c>
      <c r="I65" s="327" t="str">
        <f>Rooster!H67</f>
        <v/>
      </c>
      <c r="J65" s="321" t="str">
        <f>IFERROR(VLOOKUP(I65, Locaties!$A$2:$G$15, 7, FALSE), "0")</f>
        <v>0</v>
      </c>
      <c r="K65" s="42">
        <f t="shared" si="2"/>
        <v>0</v>
      </c>
      <c r="L65" s="427" t="str">
        <f>September!L65</f>
        <v/>
      </c>
      <c r="M65" s="428" t="str">
        <f>September!M65</f>
        <v/>
      </c>
      <c r="N65" s="321" t="str">
        <f>IFERROR(VLOOKUP(M65, Tarieven!$A$1:$J$150, 10, FALSE), "0")</f>
        <v>0</v>
      </c>
      <c r="O65" s="429" t="str">
        <f>September!O65</f>
        <v/>
      </c>
      <c r="P65" s="430" t="str">
        <f>September!P65</f>
        <v/>
      </c>
      <c r="Q65" s="325" t="str">
        <f>IFERROR(VLOOKUP(P65, Tarieven!$A$2:$J$150, 10, FALSE), "0")</f>
        <v>0</v>
      </c>
      <c r="R65" s="431" t="str">
        <f>September!R65</f>
        <v/>
      </c>
      <c r="S65" s="430" t="str">
        <f>September!S65</f>
        <v/>
      </c>
      <c r="T65" s="325" t="str">
        <f>IFERROR(VLOOKUP(S65, Tarieven!$A$2:$J$150, 10, FALSE), "0")</f>
        <v>0</v>
      </c>
      <c r="U65" s="77" t="str">
        <f>September!U65</f>
        <v/>
      </c>
      <c r="V65" s="327" t="str">
        <f>September!V65</f>
        <v/>
      </c>
      <c r="W65" s="325" t="str">
        <f>IFERROR(VLOOKUP(V65, Tarieven!$A$2:$J$150, 10, FALSE), "0")</f>
        <v>0</v>
      </c>
      <c r="X65" s="138">
        <f>September!X66</f>
        <v>0</v>
      </c>
      <c r="Y65" s="398">
        <v>0.0</v>
      </c>
      <c r="Z65" s="329">
        <f t="shared" si="3"/>
        <v>0</v>
      </c>
      <c r="AA65" s="32">
        <f t="shared" si="4"/>
        <v>0</v>
      </c>
      <c r="AB65" s="32">
        <f t="shared" si="5"/>
        <v>0</v>
      </c>
      <c r="AC65" s="32">
        <f t="shared" si="6"/>
        <v>0</v>
      </c>
    </row>
    <row r="66" ht="22.5" customHeight="1">
      <c r="A66" s="331" t="str">
        <f>Rooster!A67</f>
        <v/>
      </c>
      <c r="B66" s="425" t="str">
        <f>Rooster!B67</f>
        <v/>
      </c>
      <c r="C66" s="426" t="str">
        <f>Rooster!C67</f>
        <v/>
      </c>
      <c r="D66" s="11" t="str">
        <f>Rooster!D67</f>
        <v/>
      </c>
      <c r="E66" s="77"/>
      <c r="F66" s="327" t="str">
        <f>Rooster!E68</f>
        <v/>
      </c>
      <c r="G66" s="319" t="str">
        <f>IFERROR(VLOOKUP(F66, Docenten!$A$2:$G$30, 7, FALSE), "0")</f>
        <v>0</v>
      </c>
      <c r="H66" s="320">
        <f t="shared" si="7"/>
        <v>0</v>
      </c>
      <c r="I66" s="327" t="str">
        <f>Rooster!H68</f>
        <v/>
      </c>
      <c r="J66" s="321" t="str">
        <f>IFERROR(VLOOKUP(I66, Locaties!$A$2:$G$15, 7, FALSE), "0")</f>
        <v>0</v>
      </c>
      <c r="K66" s="42">
        <f t="shared" si="2"/>
        <v>0</v>
      </c>
      <c r="L66" s="427" t="str">
        <f>September!L66</f>
        <v/>
      </c>
      <c r="M66" s="428" t="str">
        <f>September!M66</f>
        <v/>
      </c>
      <c r="N66" s="321" t="str">
        <f>IFERROR(VLOOKUP(M66, Tarieven!$A$1:$J$150, 10, FALSE), "0")</f>
        <v>0</v>
      </c>
      <c r="O66" s="429" t="str">
        <f>September!O66</f>
        <v/>
      </c>
      <c r="P66" s="430" t="str">
        <f>September!P66</f>
        <v/>
      </c>
      <c r="Q66" s="325" t="str">
        <f>IFERROR(VLOOKUP(P66, Tarieven!$A$2:$J$150, 10, FALSE), "0")</f>
        <v>0</v>
      </c>
      <c r="R66" s="431" t="str">
        <f>September!R66</f>
        <v/>
      </c>
      <c r="S66" s="430" t="str">
        <f>September!S66</f>
        <v/>
      </c>
      <c r="T66" s="325" t="str">
        <f>IFERROR(VLOOKUP(S66, Tarieven!$A$2:$J$150, 10, FALSE), "0")</f>
        <v>0</v>
      </c>
      <c r="U66" s="77" t="str">
        <f>September!U66</f>
        <v/>
      </c>
      <c r="V66" s="327" t="str">
        <f>September!V66</f>
        <v/>
      </c>
      <c r="W66" s="325" t="str">
        <f>IFERROR(VLOOKUP(V66, Tarieven!$A$2:$J$150, 10, FALSE), "0")</f>
        <v>0</v>
      </c>
      <c r="X66" s="138">
        <f>September!X67</f>
        <v>0</v>
      </c>
      <c r="Y66" s="398">
        <v>0.0</v>
      </c>
      <c r="Z66" s="329">
        <f t="shared" si="3"/>
        <v>0</v>
      </c>
      <c r="AA66" s="32">
        <f t="shared" si="4"/>
        <v>0</v>
      </c>
      <c r="AB66" s="32">
        <f t="shared" si="5"/>
        <v>0</v>
      </c>
      <c r="AC66" s="32">
        <f t="shared" si="6"/>
        <v>0</v>
      </c>
    </row>
    <row r="67" ht="22.5" customHeight="1">
      <c r="A67" s="331" t="str">
        <f>Rooster!A68</f>
        <v/>
      </c>
      <c r="B67" s="425" t="str">
        <f>Rooster!B68</f>
        <v/>
      </c>
      <c r="C67" s="426" t="str">
        <f>Rooster!C68</f>
        <v/>
      </c>
      <c r="D67" s="11" t="str">
        <f>Rooster!D68</f>
        <v/>
      </c>
      <c r="E67" s="77"/>
      <c r="F67" s="327" t="str">
        <f>Rooster!E69</f>
        <v/>
      </c>
      <c r="G67" s="319" t="str">
        <f>IFERROR(VLOOKUP(F67, Docenten!$A$2:$G$30, 7, FALSE), "0")</f>
        <v>0</v>
      </c>
      <c r="H67" s="320">
        <f t="shared" si="7"/>
        <v>0</v>
      </c>
      <c r="I67" s="327" t="str">
        <f>Rooster!H69</f>
        <v/>
      </c>
      <c r="J67" s="321" t="str">
        <f>IFERROR(VLOOKUP(I67, Locaties!$A$2:$G$15, 7, FALSE), "0")</f>
        <v>0</v>
      </c>
      <c r="K67" s="42">
        <f t="shared" si="2"/>
        <v>0</v>
      </c>
      <c r="L67" s="427" t="str">
        <f>September!L67</f>
        <v/>
      </c>
      <c r="M67" s="428" t="str">
        <f>September!M67</f>
        <v/>
      </c>
      <c r="N67" s="321" t="str">
        <f>IFERROR(VLOOKUP(M67, Tarieven!$A$1:$J$150, 10, FALSE), "0")</f>
        <v>0</v>
      </c>
      <c r="O67" s="429" t="str">
        <f>September!O67</f>
        <v/>
      </c>
      <c r="P67" s="430" t="str">
        <f>September!P67</f>
        <v/>
      </c>
      <c r="Q67" s="325" t="str">
        <f>IFERROR(VLOOKUP(P67, Tarieven!$A$2:$J$150, 10, FALSE), "0")</f>
        <v>0</v>
      </c>
      <c r="R67" s="431" t="str">
        <f>September!R67</f>
        <v/>
      </c>
      <c r="S67" s="430" t="str">
        <f>September!S67</f>
        <v/>
      </c>
      <c r="T67" s="325" t="str">
        <f>IFERROR(VLOOKUP(S67, Tarieven!$A$2:$J$150, 10, FALSE), "0")</f>
        <v>0</v>
      </c>
      <c r="U67" s="77" t="str">
        <f>September!U67</f>
        <v/>
      </c>
      <c r="V67" s="327" t="str">
        <f>September!V67</f>
        <v/>
      </c>
      <c r="W67" s="325" t="str">
        <f>IFERROR(VLOOKUP(V67, Tarieven!$A$2:$J$150, 10, FALSE), "0")</f>
        <v>0</v>
      </c>
      <c r="X67" s="138">
        <f>September!X68</f>
        <v>0</v>
      </c>
      <c r="Y67" s="398">
        <v>0.0</v>
      </c>
      <c r="Z67" s="329">
        <f t="shared" si="3"/>
        <v>0</v>
      </c>
      <c r="AA67" s="32">
        <f t="shared" si="4"/>
        <v>0</v>
      </c>
      <c r="AB67" s="32">
        <f t="shared" si="5"/>
        <v>0</v>
      </c>
      <c r="AC67" s="32">
        <f t="shared" si="6"/>
        <v>0</v>
      </c>
    </row>
    <row r="68" ht="22.5" customHeight="1">
      <c r="A68" s="331" t="str">
        <f>Rooster!A69</f>
        <v/>
      </c>
      <c r="B68" s="425" t="str">
        <f>Rooster!B69</f>
        <v/>
      </c>
      <c r="C68" s="426" t="str">
        <f>Rooster!C69</f>
        <v/>
      </c>
      <c r="D68" s="11" t="str">
        <f>Rooster!D69</f>
        <v/>
      </c>
      <c r="E68" s="77"/>
      <c r="F68" s="327" t="str">
        <f>Rooster!E70</f>
        <v/>
      </c>
      <c r="G68" s="319" t="str">
        <f>IFERROR(VLOOKUP(F68, Docenten!$A$2:$G$30, 7, FALSE), "0")</f>
        <v>0</v>
      </c>
      <c r="H68" s="320">
        <f t="shared" si="7"/>
        <v>0</v>
      </c>
      <c r="I68" s="327" t="str">
        <f>Rooster!H70</f>
        <v/>
      </c>
      <c r="J68" s="321" t="str">
        <f>IFERROR(VLOOKUP(I68, Locaties!$A$2:$G$15, 7, FALSE), "0")</f>
        <v>0</v>
      </c>
      <c r="K68" s="42">
        <f t="shared" si="2"/>
        <v>0</v>
      </c>
      <c r="L68" s="427" t="str">
        <f>September!L68</f>
        <v/>
      </c>
      <c r="M68" s="428" t="str">
        <f>September!M68</f>
        <v/>
      </c>
      <c r="N68" s="321" t="str">
        <f>IFERROR(VLOOKUP(M68, Tarieven!$A$1:$J$150, 10, FALSE), "0")</f>
        <v>0</v>
      </c>
      <c r="O68" s="429" t="str">
        <f>September!O68</f>
        <v/>
      </c>
      <c r="P68" s="430" t="str">
        <f>September!P68</f>
        <v/>
      </c>
      <c r="Q68" s="325" t="str">
        <f>IFERROR(VLOOKUP(P68, Tarieven!$A$2:$J$150, 10, FALSE), "0")</f>
        <v>0</v>
      </c>
      <c r="R68" s="431" t="str">
        <f>September!R68</f>
        <v/>
      </c>
      <c r="S68" s="430" t="str">
        <f>September!S68</f>
        <v/>
      </c>
      <c r="T68" s="325" t="str">
        <f>IFERROR(VLOOKUP(S68, Tarieven!$A$2:$J$150, 10, FALSE), "0")</f>
        <v>0</v>
      </c>
      <c r="U68" s="77" t="str">
        <f>September!U68</f>
        <v/>
      </c>
      <c r="V68" s="327" t="str">
        <f>September!V68</f>
        <v/>
      </c>
      <c r="W68" s="325" t="str">
        <f>IFERROR(VLOOKUP(V68, Tarieven!$A$2:$J$150, 10, FALSE), "0")</f>
        <v>0</v>
      </c>
      <c r="X68" s="138">
        <f>September!X69</f>
        <v>0</v>
      </c>
      <c r="Y68" s="398">
        <v>0.0</v>
      </c>
      <c r="Z68" s="329">
        <f t="shared" si="3"/>
        <v>0</v>
      </c>
      <c r="AA68" s="32">
        <f t="shared" si="4"/>
        <v>0</v>
      </c>
      <c r="AB68" s="32">
        <f t="shared" si="5"/>
        <v>0</v>
      </c>
      <c r="AC68" s="32">
        <f t="shared" si="6"/>
        <v>0</v>
      </c>
    </row>
    <row r="69" ht="22.5" customHeight="1">
      <c r="A69" s="331" t="str">
        <f>Rooster!A70</f>
        <v/>
      </c>
      <c r="B69" s="425" t="str">
        <f>Rooster!B70</f>
        <v/>
      </c>
      <c r="C69" s="426" t="str">
        <f>Rooster!C70</f>
        <v/>
      </c>
      <c r="D69" s="11" t="str">
        <f>Rooster!D70</f>
        <v/>
      </c>
      <c r="E69" s="77"/>
      <c r="F69" s="327" t="str">
        <f>Rooster!E71</f>
        <v/>
      </c>
      <c r="G69" s="319" t="str">
        <f>IFERROR(VLOOKUP(F69, Docenten!$A$2:$G$30, 7, FALSE), "0")</f>
        <v>0</v>
      </c>
      <c r="H69" s="320">
        <f t="shared" si="7"/>
        <v>0</v>
      </c>
      <c r="I69" s="327" t="str">
        <f>Rooster!H71</f>
        <v/>
      </c>
      <c r="J69" s="321" t="str">
        <f>IFERROR(VLOOKUP(I69, Locaties!$A$2:$G$15, 7, FALSE), "0")</f>
        <v>0</v>
      </c>
      <c r="K69" s="42">
        <f t="shared" si="2"/>
        <v>0</v>
      </c>
      <c r="L69" s="427" t="str">
        <f>September!L69</f>
        <v/>
      </c>
      <c r="M69" s="428" t="str">
        <f>September!M69</f>
        <v/>
      </c>
      <c r="N69" s="321" t="str">
        <f>IFERROR(VLOOKUP(M69, Tarieven!$A$1:$J$150, 10, FALSE), "0")</f>
        <v>0</v>
      </c>
      <c r="O69" s="429" t="str">
        <f>September!O69</f>
        <v/>
      </c>
      <c r="P69" s="430" t="str">
        <f>September!P69</f>
        <v/>
      </c>
      <c r="Q69" s="325" t="str">
        <f>IFERROR(VLOOKUP(P69, Tarieven!$A$2:$J$150, 10, FALSE), "0")</f>
        <v>0</v>
      </c>
      <c r="R69" s="431" t="str">
        <f>September!R69</f>
        <v/>
      </c>
      <c r="S69" s="430" t="str">
        <f>September!S69</f>
        <v/>
      </c>
      <c r="T69" s="325" t="str">
        <f>IFERROR(VLOOKUP(S69, Tarieven!$A$2:$J$150, 10, FALSE), "0")</f>
        <v>0</v>
      </c>
      <c r="U69" s="77" t="str">
        <f>September!U69</f>
        <v/>
      </c>
      <c r="V69" s="327" t="str">
        <f>September!V69</f>
        <v/>
      </c>
      <c r="W69" s="325" t="str">
        <f>IFERROR(VLOOKUP(V69, Tarieven!$A$2:$J$150, 10, FALSE), "0")</f>
        <v>0</v>
      </c>
      <c r="X69" s="138">
        <f>September!X70</f>
        <v>0</v>
      </c>
      <c r="Y69" s="398">
        <v>0.0</v>
      </c>
      <c r="Z69" s="329">
        <f t="shared" si="3"/>
        <v>0</v>
      </c>
      <c r="AA69" s="32">
        <f t="shared" si="4"/>
        <v>0</v>
      </c>
      <c r="AB69" s="32">
        <f t="shared" si="5"/>
        <v>0</v>
      </c>
      <c r="AC69" s="32">
        <f t="shared" si="6"/>
        <v>0</v>
      </c>
    </row>
    <row r="70" ht="22.5" customHeight="1">
      <c r="A70" s="331" t="str">
        <f>Rooster!A71</f>
        <v/>
      </c>
      <c r="B70" s="425" t="str">
        <f>Rooster!B71</f>
        <v/>
      </c>
      <c r="C70" s="426" t="str">
        <f>Rooster!C71</f>
        <v/>
      </c>
      <c r="D70" s="11" t="str">
        <f>Rooster!D71</f>
        <v/>
      </c>
      <c r="E70" s="77"/>
      <c r="F70" s="327" t="str">
        <f>Rooster!E72</f>
        <v/>
      </c>
      <c r="G70" s="319" t="str">
        <f>IFERROR(VLOOKUP(F70, Docenten!$A$2:$G$30, 7, FALSE), "0")</f>
        <v>0</v>
      </c>
      <c r="H70" s="320">
        <f t="shared" si="7"/>
        <v>0</v>
      </c>
      <c r="I70" s="327" t="str">
        <f>Rooster!H72</f>
        <v/>
      </c>
      <c r="J70" s="321" t="str">
        <f>IFERROR(VLOOKUP(I70, Locaties!$A$2:$G$15, 7, FALSE), "0")</f>
        <v>0</v>
      </c>
      <c r="K70" s="42">
        <f t="shared" si="2"/>
        <v>0</v>
      </c>
      <c r="L70" s="427" t="str">
        <f>September!L70</f>
        <v/>
      </c>
      <c r="M70" s="428" t="str">
        <f>September!M70</f>
        <v/>
      </c>
      <c r="N70" s="321" t="str">
        <f>IFERROR(VLOOKUP(M70, Tarieven!$A$1:$J$150, 10, FALSE), "0")</f>
        <v>0</v>
      </c>
      <c r="O70" s="429" t="str">
        <f>September!O70</f>
        <v/>
      </c>
      <c r="P70" s="430" t="str">
        <f>September!P70</f>
        <v/>
      </c>
      <c r="Q70" s="325" t="str">
        <f>IFERROR(VLOOKUP(P70, Tarieven!$A$2:$J$150, 10, FALSE), "0")</f>
        <v>0</v>
      </c>
      <c r="R70" s="431" t="str">
        <f>September!R70</f>
        <v/>
      </c>
      <c r="S70" s="430" t="str">
        <f>September!S70</f>
        <v/>
      </c>
      <c r="T70" s="325" t="str">
        <f>IFERROR(VLOOKUP(S70, Tarieven!$A$2:$J$150, 10, FALSE), "0")</f>
        <v>0</v>
      </c>
      <c r="U70" s="77" t="str">
        <f>September!U70</f>
        <v/>
      </c>
      <c r="V70" s="327" t="str">
        <f>September!V70</f>
        <v/>
      </c>
      <c r="W70" s="325" t="str">
        <f>IFERROR(VLOOKUP(V70, Tarieven!$A$2:$J$150, 10, FALSE), "0")</f>
        <v>0</v>
      </c>
      <c r="X70" s="138">
        <f>September!X71</f>
        <v>0</v>
      </c>
      <c r="Y70" s="398">
        <v>0.0</v>
      </c>
      <c r="Z70" s="329">
        <f t="shared" si="3"/>
        <v>0</v>
      </c>
      <c r="AA70" s="32">
        <f t="shared" si="4"/>
        <v>0</v>
      </c>
      <c r="AB70" s="32">
        <f t="shared" si="5"/>
        <v>0</v>
      </c>
      <c r="AC70" s="32">
        <f t="shared" si="6"/>
        <v>0</v>
      </c>
    </row>
    <row r="71" ht="22.5" customHeight="1">
      <c r="A71" s="331" t="str">
        <f>Rooster!A72</f>
        <v/>
      </c>
      <c r="B71" s="425" t="str">
        <f>Rooster!B72</f>
        <v/>
      </c>
      <c r="C71" s="426" t="str">
        <f>Rooster!C72</f>
        <v/>
      </c>
      <c r="D71" s="11" t="str">
        <f>Rooster!D72</f>
        <v/>
      </c>
      <c r="E71" s="77"/>
      <c r="F71" s="327" t="str">
        <f>Rooster!E73</f>
        <v/>
      </c>
      <c r="G71" s="319" t="str">
        <f>IFERROR(VLOOKUP(F71, Docenten!$A$2:$G$30, 7, FALSE), "0")</f>
        <v>0</v>
      </c>
      <c r="H71" s="320">
        <f t="shared" si="7"/>
        <v>0</v>
      </c>
      <c r="I71" s="327" t="str">
        <f>Rooster!H73</f>
        <v/>
      </c>
      <c r="J71" s="321" t="str">
        <f>IFERROR(VLOOKUP(I71, Locaties!$A$2:$G$15, 7, FALSE), "0")</f>
        <v>0</v>
      </c>
      <c r="K71" s="42">
        <f t="shared" si="2"/>
        <v>0</v>
      </c>
      <c r="L71" s="427" t="str">
        <f>September!L71</f>
        <v/>
      </c>
      <c r="M71" s="428" t="str">
        <f>September!M71</f>
        <v/>
      </c>
      <c r="N71" s="321" t="str">
        <f>IFERROR(VLOOKUP(M71, Tarieven!$A$1:$J$150, 10, FALSE), "0")</f>
        <v>0</v>
      </c>
      <c r="O71" s="429" t="str">
        <f>September!O71</f>
        <v/>
      </c>
      <c r="P71" s="430" t="str">
        <f>September!P71</f>
        <v/>
      </c>
      <c r="Q71" s="325" t="str">
        <f>IFERROR(VLOOKUP(P71, Tarieven!$A$2:$J$150, 10, FALSE), "0")</f>
        <v>0</v>
      </c>
      <c r="R71" s="431" t="str">
        <f>September!R71</f>
        <v/>
      </c>
      <c r="S71" s="430" t="str">
        <f>September!S71</f>
        <v/>
      </c>
      <c r="T71" s="325" t="str">
        <f>IFERROR(VLOOKUP(S71, Tarieven!$A$2:$J$150, 10, FALSE), "0")</f>
        <v>0</v>
      </c>
      <c r="U71" s="77" t="str">
        <f>September!U71</f>
        <v/>
      </c>
      <c r="V71" s="327" t="str">
        <f>September!V71</f>
        <v/>
      </c>
      <c r="W71" s="325" t="str">
        <f>IFERROR(VLOOKUP(V71, Tarieven!$A$2:$J$150, 10, FALSE), "0")</f>
        <v>0</v>
      </c>
      <c r="X71" s="138">
        <f>September!X72</f>
        <v>0</v>
      </c>
      <c r="Y71" s="398">
        <v>0.0</v>
      </c>
      <c r="Z71" s="329">
        <f t="shared" si="3"/>
        <v>0</v>
      </c>
      <c r="AA71" s="32">
        <f t="shared" si="4"/>
        <v>0</v>
      </c>
      <c r="AB71" s="32">
        <f t="shared" si="5"/>
        <v>0</v>
      </c>
      <c r="AC71" s="32">
        <f t="shared" si="6"/>
        <v>0</v>
      </c>
    </row>
    <row r="72" ht="22.5" customHeight="1">
      <c r="A72" s="331" t="str">
        <f>Rooster!A73</f>
        <v/>
      </c>
      <c r="B72" s="425" t="str">
        <f>Rooster!B73</f>
        <v/>
      </c>
      <c r="C72" s="426" t="str">
        <f>Rooster!C73</f>
        <v/>
      </c>
      <c r="D72" s="11" t="str">
        <f>Rooster!D73</f>
        <v/>
      </c>
      <c r="E72" s="77"/>
      <c r="F72" s="327" t="str">
        <f>Rooster!E74</f>
        <v/>
      </c>
      <c r="G72" s="319" t="str">
        <f>IFERROR(VLOOKUP(F72, Docenten!$A$2:$G$30, 7, FALSE), "0")</f>
        <v>0</v>
      </c>
      <c r="H72" s="320">
        <f t="shared" si="7"/>
        <v>0</v>
      </c>
      <c r="I72" s="327" t="str">
        <f>Rooster!H74</f>
        <v/>
      </c>
      <c r="J72" s="321" t="str">
        <f>IFERROR(VLOOKUP(I72, Locaties!$A$2:$G$15, 7, FALSE), "0")</f>
        <v>0</v>
      </c>
      <c r="K72" s="42">
        <f t="shared" si="2"/>
        <v>0</v>
      </c>
      <c r="L72" s="427" t="str">
        <f>September!L72</f>
        <v/>
      </c>
      <c r="M72" s="428" t="str">
        <f>September!M72</f>
        <v/>
      </c>
      <c r="N72" s="321" t="str">
        <f>IFERROR(VLOOKUP(M72, Tarieven!$A$1:$J$150, 10, FALSE), "0")</f>
        <v>0</v>
      </c>
      <c r="O72" s="429" t="str">
        <f>September!O72</f>
        <v/>
      </c>
      <c r="P72" s="430" t="str">
        <f>September!P72</f>
        <v/>
      </c>
      <c r="Q72" s="325" t="str">
        <f>IFERROR(VLOOKUP(P72, Tarieven!$A$2:$J$150, 10, FALSE), "0")</f>
        <v>0</v>
      </c>
      <c r="R72" s="431" t="str">
        <f>September!R72</f>
        <v/>
      </c>
      <c r="S72" s="430" t="str">
        <f>September!S72</f>
        <v/>
      </c>
      <c r="T72" s="325" t="str">
        <f>IFERROR(VLOOKUP(S72, Tarieven!$A$2:$J$150, 10, FALSE), "0")</f>
        <v>0</v>
      </c>
      <c r="U72" s="77" t="str">
        <f>September!U72</f>
        <v/>
      </c>
      <c r="V72" s="327" t="str">
        <f>September!V72</f>
        <v/>
      </c>
      <c r="W72" s="325" t="str">
        <f>IFERROR(VLOOKUP(V72, Tarieven!$A$2:$J$150, 10, FALSE), "0")</f>
        <v>0</v>
      </c>
      <c r="X72" s="138">
        <f>September!X73</f>
        <v>0</v>
      </c>
      <c r="Y72" s="398">
        <v>0.0</v>
      </c>
      <c r="Z72" s="329">
        <f t="shared" si="3"/>
        <v>0</v>
      </c>
      <c r="AA72" s="32">
        <f t="shared" si="4"/>
        <v>0</v>
      </c>
      <c r="AB72" s="32">
        <f t="shared" si="5"/>
        <v>0</v>
      </c>
      <c r="AC72" s="32">
        <f t="shared" si="6"/>
        <v>0</v>
      </c>
    </row>
    <row r="73" ht="22.5" customHeight="1">
      <c r="A73" s="331" t="str">
        <f>Rooster!A74</f>
        <v/>
      </c>
      <c r="B73" s="425" t="str">
        <f>Rooster!B74</f>
        <v/>
      </c>
      <c r="C73" s="426" t="str">
        <f>Rooster!C74</f>
        <v/>
      </c>
      <c r="D73" s="11" t="str">
        <f>Rooster!D74</f>
        <v/>
      </c>
      <c r="E73" s="77"/>
      <c r="F73" s="327" t="str">
        <f>Rooster!E75</f>
        <v/>
      </c>
      <c r="G73" s="319" t="str">
        <f>IFERROR(VLOOKUP(F73, Docenten!$A$2:$G$30, 7, FALSE), "0")</f>
        <v>0</v>
      </c>
      <c r="H73" s="320">
        <f t="shared" si="7"/>
        <v>0</v>
      </c>
      <c r="I73" s="327" t="str">
        <f>Rooster!H75</f>
        <v/>
      </c>
      <c r="J73" s="321" t="str">
        <f>IFERROR(VLOOKUP(I73, Locaties!$A$2:$G$15, 7, FALSE), "0")</f>
        <v>0</v>
      </c>
      <c r="K73" s="42">
        <f t="shared" si="2"/>
        <v>0</v>
      </c>
      <c r="L73" s="427" t="str">
        <f>September!L73</f>
        <v/>
      </c>
      <c r="M73" s="428" t="str">
        <f>September!M73</f>
        <v/>
      </c>
      <c r="N73" s="321" t="str">
        <f>IFERROR(VLOOKUP(M73, Tarieven!$A$1:$J$150, 10, FALSE), "0")</f>
        <v>0</v>
      </c>
      <c r="O73" s="429" t="str">
        <f>September!O73</f>
        <v/>
      </c>
      <c r="P73" s="430" t="str">
        <f>September!P73</f>
        <v/>
      </c>
      <c r="Q73" s="325" t="str">
        <f>IFERROR(VLOOKUP(P73, Tarieven!$A$2:$J$150, 10, FALSE), "0")</f>
        <v>0</v>
      </c>
      <c r="R73" s="431" t="str">
        <f>September!R73</f>
        <v/>
      </c>
      <c r="S73" s="430" t="str">
        <f>September!S73</f>
        <v/>
      </c>
      <c r="T73" s="325" t="str">
        <f>IFERROR(VLOOKUP(S73, Tarieven!$A$2:$J$150, 10, FALSE), "0")</f>
        <v>0</v>
      </c>
      <c r="U73" s="77" t="str">
        <f>September!U73</f>
        <v/>
      </c>
      <c r="V73" s="327" t="str">
        <f>September!V73</f>
        <v/>
      </c>
      <c r="W73" s="325" t="str">
        <f>IFERROR(VLOOKUP(V73, Tarieven!$A$2:$J$150, 10, FALSE), "0")</f>
        <v>0</v>
      </c>
      <c r="X73" s="138">
        <f>September!X74</f>
        <v>0</v>
      </c>
      <c r="Y73" s="398">
        <v>0.0</v>
      </c>
      <c r="Z73" s="329">
        <f t="shared" si="3"/>
        <v>0</v>
      </c>
      <c r="AA73" s="32">
        <f t="shared" si="4"/>
        <v>0</v>
      </c>
      <c r="AB73" s="32">
        <f t="shared" si="5"/>
        <v>0</v>
      </c>
      <c r="AC73" s="32">
        <f t="shared" si="6"/>
        <v>0</v>
      </c>
    </row>
    <row r="74" ht="22.5" customHeight="1">
      <c r="A74" s="331" t="str">
        <f>Rooster!A75</f>
        <v/>
      </c>
      <c r="B74" s="425" t="str">
        <f>Rooster!B75</f>
        <v/>
      </c>
      <c r="C74" s="426" t="str">
        <f>Rooster!C75</f>
        <v/>
      </c>
      <c r="D74" s="11" t="str">
        <f>Rooster!D75</f>
        <v/>
      </c>
      <c r="E74" s="77"/>
      <c r="F74" s="327" t="str">
        <f>Rooster!E76</f>
        <v/>
      </c>
      <c r="G74" s="319" t="str">
        <f>IFERROR(VLOOKUP(F74, Docenten!$A$2:$G$30, 7, FALSE), "0")</f>
        <v>0</v>
      </c>
      <c r="H74" s="320">
        <f t="shared" si="7"/>
        <v>0</v>
      </c>
      <c r="I74" s="327" t="str">
        <f>Rooster!H76</f>
        <v/>
      </c>
      <c r="J74" s="321" t="str">
        <f>IFERROR(VLOOKUP(I74, Locaties!$A$2:$G$15, 7, FALSE), "0")</f>
        <v>0</v>
      </c>
      <c r="K74" s="42">
        <f t="shared" si="2"/>
        <v>0</v>
      </c>
      <c r="L74" s="427" t="str">
        <f>September!L74</f>
        <v/>
      </c>
      <c r="M74" s="428" t="str">
        <f>September!M74</f>
        <v/>
      </c>
      <c r="N74" s="321" t="str">
        <f>IFERROR(VLOOKUP(M74, Tarieven!$A$1:$J$150, 10, FALSE), "0")</f>
        <v>0</v>
      </c>
      <c r="O74" s="429" t="str">
        <f>September!O74</f>
        <v/>
      </c>
      <c r="P74" s="430" t="str">
        <f>September!P74</f>
        <v/>
      </c>
      <c r="Q74" s="325" t="str">
        <f>IFERROR(VLOOKUP(P74, Tarieven!$A$2:$J$150, 10, FALSE), "0")</f>
        <v>0</v>
      </c>
      <c r="R74" s="431" t="str">
        <f>September!R74</f>
        <v/>
      </c>
      <c r="S74" s="430" t="str">
        <f>September!S74</f>
        <v/>
      </c>
      <c r="T74" s="325" t="str">
        <f>IFERROR(VLOOKUP(S74, Tarieven!$A$2:$J$150, 10, FALSE), "0")</f>
        <v>0</v>
      </c>
      <c r="U74" s="77" t="str">
        <f>September!U74</f>
        <v/>
      </c>
      <c r="V74" s="327" t="str">
        <f>September!V74</f>
        <v/>
      </c>
      <c r="W74" s="325" t="str">
        <f>IFERROR(VLOOKUP(V74, Tarieven!$A$2:$J$150, 10, FALSE), "0")</f>
        <v>0</v>
      </c>
      <c r="X74" s="138">
        <f>September!X75</f>
        <v>0</v>
      </c>
      <c r="Y74" s="398">
        <v>0.0</v>
      </c>
      <c r="Z74" s="329">
        <f t="shared" si="3"/>
        <v>0</v>
      </c>
      <c r="AA74" s="32">
        <f t="shared" si="4"/>
        <v>0</v>
      </c>
      <c r="AB74" s="32">
        <f t="shared" si="5"/>
        <v>0</v>
      </c>
      <c r="AC74" s="32">
        <f t="shared" si="6"/>
        <v>0</v>
      </c>
    </row>
    <row r="75" ht="22.5" customHeight="1">
      <c r="A75" s="331" t="str">
        <f>Rooster!A76</f>
        <v/>
      </c>
      <c r="B75" s="425" t="str">
        <f>Rooster!B76</f>
        <v/>
      </c>
      <c r="C75" s="426" t="str">
        <f>Rooster!C76</f>
        <v/>
      </c>
      <c r="D75" s="11" t="str">
        <f>Rooster!D76</f>
        <v/>
      </c>
      <c r="E75" s="77"/>
      <c r="F75" s="327" t="str">
        <f>Rooster!E77</f>
        <v/>
      </c>
      <c r="G75" s="319" t="str">
        <f>IFERROR(VLOOKUP(F75, Docenten!$A$2:$G$30, 7, FALSE), "0")</f>
        <v>0</v>
      </c>
      <c r="H75" s="320">
        <f t="shared" si="7"/>
        <v>0</v>
      </c>
      <c r="I75" s="327" t="str">
        <f>Rooster!H77</f>
        <v/>
      </c>
      <c r="J75" s="321" t="str">
        <f>IFERROR(VLOOKUP(I75, Locaties!$A$2:$G$15, 7, FALSE), "0")</f>
        <v>0</v>
      </c>
      <c r="K75" s="42">
        <f t="shared" si="2"/>
        <v>0</v>
      </c>
      <c r="L75" s="427" t="str">
        <f>September!L75</f>
        <v/>
      </c>
      <c r="M75" s="428" t="str">
        <f>September!M75</f>
        <v/>
      </c>
      <c r="N75" s="321" t="str">
        <f>IFERROR(VLOOKUP(M75, Tarieven!$A$1:$J$150, 10, FALSE), "0")</f>
        <v>0</v>
      </c>
      <c r="O75" s="429" t="str">
        <f>September!O75</f>
        <v/>
      </c>
      <c r="P75" s="430" t="str">
        <f>September!P75</f>
        <v/>
      </c>
      <c r="Q75" s="325" t="str">
        <f>IFERROR(VLOOKUP(P75, Tarieven!$A$2:$J$150, 10, FALSE), "0")</f>
        <v>0</v>
      </c>
      <c r="R75" s="431" t="str">
        <f>September!R75</f>
        <v/>
      </c>
      <c r="S75" s="430" t="str">
        <f>September!S75</f>
        <v/>
      </c>
      <c r="T75" s="325" t="str">
        <f>IFERROR(VLOOKUP(S75, Tarieven!$A$2:$J$150, 10, FALSE), "0")</f>
        <v>0</v>
      </c>
      <c r="U75" s="77" t="str">
        <f>September!U75</f>
        <v/>
      </c>
      <c r="V75" s="327" t="str">
        <f>September!V75</f>
        <v/>
      </c>
      <c r="W75" s="325" t="str">
        <f>IFERROR(VLOOKUP(V75, Tarieven!$A$2:$J$150, 10, FALSE), "0")</f>
        <v>0</v>
      </c>
      <c r="X75" s="138">
        <f>September!X76</f>
        <v>0</v>
      </c>
      <c r="Y75" s="398">
        <v>0.0</v>
      </c>
      <c r="Z75" s="329">
        <f t="shared" si="3"/>
        <v>0</v>
      </c>
      <c r="AA75" s="32">
        <f t="shared" si="4"/>
        <v>0</v>
      </c>
      <c r="AB75" s="32">
        <f t="shared" si="5"/>
        <v>0</v>
      </c>
      <c r="AC75" s="32">
        <f t="shared" si="6"/>
        <v>0</v>
      </c>
    </row>
    <row r="76" ht="22.5" customHeight="1">
      <c r="A76" s="331" t="str">
        <f>Rooster!A77</f>
        <v/>
      </c>
      <c r="B76" s="425" t="str">
        <f>Rooster!B77</f>
        <v/>
      </c>
      <c r="C76" s="426" t="str">
        <f>Rooster!C77</f>
        <v/>
      </c>
      <c r="D76" s="11" t="str">
        <f>Rooster!D77</f>
        <v/>
      </c>
      <c r="E76" s="77"/>
      <c r="F76" s="327" t="str">
        <f>Rooster!E78</f>
        <v/>
      </c>
      <c r="G76" s="319" t="str">
        <f>IFERROR(VLOOKUP(F76, Docenten!$A$2:$G$30, 7, FALSE), "0")</f>
        <v>0</v>
      </c>
      <c r="H76" s="320">
        <f t="shared" si="7"/>
        <v>0</v>
      </c>
      <c r="I76" s="327" t="str">
        <f>Rooster!H78</f>
        <v/>
      </c>
      <c r="J76" s="321" t="str">
        <f>IFERROR(VLOOKUP(I76, Locaties!$A$2:$G$15, 7, FALSE), "0")</f>
        <v>0</v>
      </c>
      <c r="K76" s="42">
        <f t="shared" si="2"/>
        <v>0</v>
      </c>
      <c r="L76" s="427" t="str">
        <f>September!L76</f>
        <v/>
      </c>
      <c r="M76" s="428" t="str">
        <f>September!M76</f>
        <v/>
      </c>
      <c r="N76" s="321" t="str">
        <f>IFERROR(VLOOKUP(M76, Tarieven!$A$1:$J$150, 10, FALSE), "0")</f>
        <v>0</v>
      </c>
      <c r="O76" s="429" t="str">
        <f>September!O76</f>
        <v/>
      </c>
      <c r="P76" s="430" t="str">
        <f>September!P76</f>
        <v/>
      </c>
      <c r="Q76" s="325" t="str">
        <f>IFERROR(VLOOKUP(P76, Tarieven!$A$2:$J$150, 10, FALSE), "0")</f>
        <v>0</v>
      </c>
      <c r="R76" s="431" t="str">
        <f>September!R76</f>
        <v/>
      </c>
      <c r="S76" s="430" t="str">
        <f>September!S76</f>
        <v/>
      </c>
      <c r="T76" s="325" t="str">
        <f>IFERROR(VLOOKUP(S76, Tarieven!$A$2:$J$150, 10, FALSE), "0")</f>
        <v>0</v>
      </c>
      <c r="U76" s="77" t="str">
        <f>September!U76</f>
        <v/>
      </c>
      <c r="V76" s="327" t="str">
        <f>September!V76</f>
        <v/>
      </c>
      <c r="W76" s="325" t="str">
        <f>IFERROR(VLOOKUP(V76, Tarieven!$A$2:$J$150, 10, FALSE), "0")</f>
        <v>0</v>
      </c>
      <c r="X76" s="138">
        <f>September!X77</f>
        <v>0</v>
      </c>
      <c r="Y76" s="398">
        <v>0.0</v>
      </c>
      <c r="Z76" s="329">
        <f t="shared" si="3"/>
        <v>0</v>
      </c>
      <c r="AA76" s="32">
        <f t="shared" si="4"/>
        <v>0</v>
      </c>
      <c r="AB76" s="32">
        <f t="shared" si="5"/>
        <v>0</v>
      </c>
      <c r="AC76" s="32">
        <f t="shared" si="6"/>
        <v>0</v>
      </c>
    </row>
    <row r="77" ht="22.5" customHeight="1">
      <c r="A77" s="331" t="str">
        <f>Rooster!A78</f>
        <v/>
      </c>
      <c r="B77" s="425" t="str">
        <f>Rooster!B78</f>
        <v/>
      </c>
      <c r="C77" s="426" t="str">
        <f>Rooster!C78</f>
        <v/>
      </c>
      <c r="D77" s="11" t="str">
        <f>Rooster!D78</f>
        <v/>
      </c>
      <c r="E77" s="77"/>
      <c r="F77" s="327" t="str">
        <f>Rooster!E79</f>
        <v/>
      </c>
      <c r="G77" s="319" t="str">
        <f>IFERROR(VLOOKUP(F77, Docenten!$A$2:$G$30, 7, FALSE), "0")</f>
        <v>0</v>
      </c>
      <c r="H77" s="320">
        <f t="shared" si="7"/>
        <v>0</v>
      </c>
      <c r="I77" s="327" t="str">
        <f>Rooster!H79</f>
        <v/>
      </c>
      <c r="J77" s="321" t="str">
        <f>IFERROR(VLOOKUP(I77, Locaties!$A$2:$G$15, 7, FALSE), "0")</f>
        <v>0</v>
      </c>
      <c r="K77" s="42">
        <f t="shared" si="2"/>
        <v>0</v>
      </c>
      <c r="L77" s="427" t="str">
        <f>September!L77</f>
        <v/>
      </c>
      <c r="M77" s="428" t="str">
        <f>September!M77</f>
        <v/>
      </c>
      <c r="N77" s="321" t="str">
        <f>IFERROR(VLOOKUP(M77, Tarieven!$A$1:$J$150, 10, FALSE), "0")</f>
        <v>0</v>
      </c>
      <c r="O77" s="429" t="str">
        <f>September!O77</f>
        <v/>
      </c>
      <c r="P77" s="430" t="str">
        <f>September!P77</f>
        <v/>
      </c>
      <c r="Q77" s="325" t="str">
        <f>IFERROR(VLOOKUP(P77, Tarieven!$A$2:$J$150, 10, FALSE), "0")</f>
        <v>0</v>
      </c>
      <c r="R77" s="431" t="str">
        <f>September!R77</f>
        <v/>
      </c>
      <c r="S77" s="430" t="str">
        <f>September!S77</f>
        <v/>
      </c>
      <c r="T77" s="325" t="str">
        <f>IFERROR(VLOOKUP(S77, Tarieven!$A$2:$J$150, 10, FALSE), "0")</f>
        <v>0</v>
      </c>
      <c r="U77" s="77" t="str">
        <f>September!U77</f>
        <v/>
      </c>
      <c r="V77" s="327" t="str">
        <f>September!V77</f>
        <v/>
      </c>
      <c r="W77" s="325" t="str">
        <f>IFERROR(VLOOKUP(V77, Tarieven!$A$2:$J$150, 10, FALSE), "0")</f>
        <v>0</v>
      </c>
      <c r="X77" s="138">
        <f>September!X78</f>
        <v>0</v>
      </c>
      <c r="Y77" s="398">
        <v>0.0</v>
      </c>
      <c r="Z77" s="329">
        <f t="shared" si="3"/>
        <v>0</v>
      </c>
      <c r="AA77" s="32">
        <f t="shared" si="4"/>
        <v>0</v>
      </c>
      <c r="AB77" s="32">
        <f t="shared" si="5"/>
        <v>0</v>
      </c>
      <c r="AC77" s="32">
        <f t="shared" si="6"/>
        <v>0</v>
      </c>
    </row>
    <row r="78" ht="22.5" customHeight="1">
      <c r="A78" s="331" t="str">
        <f>Rooster!A79</f>
        <v/>
      </c>
      <c r="B78" s="425" t="str">
        <f>Rooster!B79</f>
        <v/>
      </c>
      <c r="C78" s="426" t="str">
        <f>Rooster!C79</f>
        <v/>
      </c>
      <c r="D78" s="11" t="str">
        <f>Rooster!D79</f>
        <v/>
      </c>
      <c r="E78" s="77"/>
      <c r="F78" s="327" t="str">
        <f>Rooster!E80</f>
        <v/>
      </c>
      <c r="G78" s="319" t="str">
        <f>IFERROR(VLOOKUP(F78, Docenten!$A$2:$G$30, 7, FALSE), "0")</f>
        <v>0</v>
      </c>
      <c r="H78" s="320">
        <f t="shared" si="7"/>
        <v>0</v>
      </c>
      <c r="I78" s="327" t="str">
        <f>Rooster!H80</f>
        <v/>
      </c>
      <c r="J78" s="321" t="str">
        <f>IFERROR(VLOOKUP(I78, Locaties!$A$2:$G$15, 7, FALSE), "0")</f>
        <v>0</v>
      </c>
      <c r="K78" s="42">
        <f t="shared" si="2"/>
        <v>0</v>
      </c>
      <c r="L78" s="427" t="str">
        <f>September!L78</f>
        <v/>
      </c>
      <c r="M78" s="428" t="str">
        <f>September!M78</f>
        <v/>
      </c>
      <c r="N78" s="321" t="str">
        <f>IFERROR(VLOOKUP(M78, Tarieven!$A$1:$J$150, 10, FALSE), "0")</f>
        <v>0</v>
      </c>
      <c r="O78" s="429" t="str">
        <f>September!O78</f>
        <v/>
      </c>
      <c r="P78" s="430" t="str">
        <f>September!P78</f>
        <v/>
      </c>
      <c r="Q78" s="325" t="str">
        <f>IFERROR(VLOOKUP(P78, Tarieven!$A$2:$J$150, 10, FALSE), "0")</f>
        <v>0</v>
      </c>
      <c r="R78" s="431" t="str">
        <f>September!R78</f>
        <v/>
      </c>
      <c r="S78" s="430" t="str">
        <f>September!S78</f>
        <v/>
      </c>
      <c r="T78" s="325" t="str">
        <f>IFERROR(VLOOKUP(S78, Tarieven!$A$2:$J$150, 10, FALSE), "0")</f>
        <v>0</v>
      </c>
      <c r="U78" s="77" t="str">
        <f>September!U78</f>
        <v/>
      </c>
      <c r="V78" s="327" t="str">
        <f>September!V78</f>
        <v/>
      </c>
      <c r="W78" s="325" t="str">
        <f>IFERROR(VLOOKUP(V78, Tarieven!$A$2:$J$150, 10, FALSE), "0")</f>
        <v>0</v>
      </c>
      <c r="X78" s="138">
        <f>September!X79</f>
        <v>0</v>
      </c>
      <c r="Y78" s="398">
        <v>0.0</v>
      </c>
      <c r="Z78" s="329">
        <f t="shared" si="3"/>
        <v>0</v>
      </c>
      <c r="AA78" s="32">
        <f t="shared" si="4"/>
        <v>0</v>
      </c>
      <c r="AB78" s="32">
        <f t="shared" si="5"/>
        <v>0</v>
      </c>
      <c r="AC78" s="32">
        <f t="shared" si="6"/>
        <v>0</v>
      </c>
    </row>
    <row r="79" ht="22.5" customHeight="1">
      <c r="A79" s="331" t="str">
        <f>Rooster!A80</f>
        <v/>
      </c>
      <c r="B79" s="425" t="str">
        <f>Rooster!B80</f>
        <v/>
      </c>
      <c r="C79" s="426" t="str">
        <f>Rooster!C80</f>
        <v/>
      </c>
      <c r="D79" s="11" t="str">
        <f>Rooster!D80</f>
        <v/>
      </c>
      <c r="E79" s="77"/>
      <c r="F79" s="327" t="str">
        <f>Rooster!E81</f>
        <v/>
      </c>
      <c r="G79" s="319" t="str">
        <f>IFERROR(VLOOKUP(F79, Docenten!$A$2:$G$30, 7, FALSE), "0")</f>
        <v>0</v>
      </c>
      <c r="H79" s="320">
        <f t="shared" si="7"/>
        <v>0</v>
      </c>
      <c r="I79" s="327" t="str">
        <f>Rooster!H81</f>
        <v/>
      </c>
      <c r="J79" s="321" t="str">
        <f>IFERROR(VLOOKUP(I79, Locaties!$A$2:$G$15, 7, FALSE), "0")</f>
        <v>0</v>
      </c>
      <c r="K79" s="42">
        <f t="shared" si="2"/>
        <v>0</v>
      </c>
      <c r="L79" s="427" t="str">
        <f>September!L79</f>
        <v/>
      </c>
      <c r="M79" s="428" t="str">
        <f>September!M79</f>
        <v/>
      </c>
      <c r="N79" s="321" t="str">
        <f>IFERROR(VLOOKUP(M79, Tarieven!$A$1:$J$150, 10, FALSE), "0")</f>
        <v>0</v>
      </c>
      <c r="O79" s="429" t="str">
        <f>September!O79</f>
        <v/>
      </c>
      <c r="P79" s="430" t="str">
        <f>September!P79</f>
        <v/>
      </c>
      <c r="Q79" s="325" t="str">
        <f>IFERROR(VLOOKUP(P79, Tarieven!$A$2:$J$150, 10, FALSE), "0")</f>
        <v>0</v>
      </c>
      <c r="R79" s="431" t="str">
        <f>September!R79</f>
        <v/>
      </c>
      <c r="S79" s="430" t="str">
        <f>September!S79</f>
        <v/>
      </c>
      <c r="T79" s="325" t="str">
        <f>IFERROR(VLOOKUP(S79, Tarieven!$A$2:$J$150, 10, FALSE), "0")</f>
        <v>0</v>
      </c>
      <c r="U79" s="77" t="str">
        <f>September!U79</f>
        <v/>
      </c>
      <c r="V79" s="327" t="str">
        <f>September!V79</f>
        <v/>
      </c>
      <c r="W79" s="325" t="str">
        <f>IFERROR(VLOOKUP(V79, Tarieven!$A$2:$J$150, 10, FALSE), "0")</f>
        <v>0</v>
      </c>
      <c r="X79" s="138">
        <f>September!X80</f>
        <v>0</v>
      </c>
      <c r="Y79" s="398">
        <v>0.0</v>
      </c>
      <c r="Z79" s="329">
        <f t="shared" si="3"/>
        <v>0</v>
      </c>
      <c r="AA79" s="32">
        <f t="shared" si="4"/>
        <v>0</v>
      </c>
      <c r="AB79" s="32">
        <f t="shared" si="5"/>
        <v>0</v>
      </c>
      <c r="AC79" s="32">
        <f t="shared" si="6"/>
        <v>0</v>
      </c>
    </row>
    <row r="80" ht="22.5" customHeight="1">
      <c r="A80" s="331" t="str">
        <f>Rooster!A81</f>
        <v/>
      </c>
      <c r="B80" s="425" t="str">
        <f>Rooster!B81</f>
        <v/>
      </c>
      <c r="C80" s="426" t="str">
        <f>Rooster!C81</f>
        <v/>
      </c>
      <c r="D80" s="11" t="str">
        <f>Rooster!D81</f>
        <v/>
      </c>
      <c r="E80" s="77"/>
      <c r="F80" s="327" t="str">
        <f>Rooster!E82</f>
        <v/>
      </c>
      <c r="G80" s="319" t="str">
        <f>IFERROR(VLOOKUP(F80, Docenten!$A$2:$G$30, 7, FALSE), "0")</f>
        <v>0</v>
      </c>
      <c r="H80" s="320">
        <f t="shared" si="7"/>
        <v>0</v>
      </c>
      <c r="I80" s="327" t="str">
        <f>Rooster!H82</f>
        <v/>
      </c>
      <c r="J80" s="321" t="str">
        <f>IFERROR(VLOOKUP(I80, Locaties!$A$2:$G$15, 7, FALSE), "0")</f>
        <v>0</v>
      </c>
      <c r="K80" s="42">
        <f t="shared" si="2"/>
        <v>0</v>
      </c>
      <c r="L80" s="427" t="str">
        <f>September!L80</f>
        <v/>
      </c>
      <c r="M80" s="428" t="str">
        <f>September!M80</f>
        <v/>
      </c>
      <c r="N80" s="321" t="str">
        <f>IFERROR(VLOOKUP(M80, Tarieven!$A$1:$J$150, 10, FALSE), "0")</f>
        <v>0</v>
      </c>
      <c r="O80" s="429" t="str">
        <f>September!O80</f>
        <v/>
      </c>
      <c r="P80" s="430" t="str">
        <f>September!P80</f>
        <v/>
      </c>
      <c r="Q80" s="325" t="str">
        <f>IFERROR(VLOOKUP(P80, Tarieven!$A$2:$J$150, 10, FALSE), "0")</f>
        <v>0</v>
      </c>
      <c r="R80" s="431" t="str">
        <f>September!R80</f>
        <v/>
      </c>
      <c r="S80" s="430" t="str">
        <f>September!S80</f>
        <v/>
      </c>
      <c r="T80" s="325" t="str">
        <f>IFERROR(VLOOKUP(S80, Tarieven!$A$2:$J$150, 10, FALSE), "0")</f>
        <v>0</v>
      </c>
      <c r="U80" s="77" t="str">
        <f>September!U80</f>
        <v/>
      </c>
      <c r="V80" s="327" t="str">
        <f>September!V80</f>
        <v/>
      </c>
      <c r="W80" s="325" t="str">
        <f>IFERROR(VLOOKUP(V80, Tarieven!$A$2:$J$150, 10, FALSE), "0")</f>
        <v>0</v>
      </c>
      <c r="X80" s="138">
        <f>September!X81</f>
        <v>0</v>
      </c>
      <c r="Y80" s="398">
        <v>0.0</v>
      </c>
      <c r="Z80" s="329">
        <f t="shared" si="3"/>
        <v>0</v>
      </c>
      <c r="AA80" s="32">
        <f t="shared" si="4"/>
        <v>0</v>
      </c>
      <c r="AB80" s="32">
        <f t="shared" si="5"/>
        <v>0</v>
      </c>
      <c r="AC80" s="32">
        <f t="shared" si="6"/>
        <v>0</v>
      </c>
    </row>
    <row r="81" ht="22.5" customHeight="1">
      <c r="A81" s="331" t="str">
        <f>Rooster!A82</f>
        <v/>
      </c>
      <c r="B81" s="425" t="str">
        <f>Rooster!B82</f>
        <v/>
      </c>
      <c r="C81" s="426" t="str">
        <f>Rooster!C82</f>
        <v/>
      </c>
      <c r="D81" s="11" t="str">
        <f>Rooster!D82</f>
        <v/>
      </c>
      <c r="E81" s="77"/>
      <c r="F81" s="327" t="str">
        <f>Rooster!E83</f>
        <v/>
      </c>
      <c r="G81" s="319" t="str">
        <f>IFERROR(VLOOKUP(F81, Docenten!$A$2:$G$30, 7, FALSE), "0")</f>
        <v>0</v>
      </c>
      <c r="H81" s="320">
        <f t="shared" si="7"/>
        <v>0</v>
      </c>
      <c r="I81" s="327" t="str">
        <f>Rooster!H83</f>
        <v/>
      </c>
      <c r="J81" s="321" t="str">
        <f>IFERROR(VLOOKUP(I81, Locaties!$A$2:$G$15, 7, FALSE), "0")</f>
        <v>0</v>
      </c>
      <c r="K81" s="42">
        <f t="shared" si="2"/>
        <v>0</v>
      </c>
      <c r="L81" s="427" t="str">
        <f>September!L81</f>
        <v/>
      </c>
      <c r="M81" s="428" t="str">
        <f>September!M81</f>
        <v/>
      </c>
      <c r="N81" s="321" t="str">
        <f>IFERROR(VLOOKUP(M81, Tarieven!$A$1:$J$150, 10, FALSE), "0")</f>
        <v>0</v>
      </c>
      <c r="O81" s="429" t="str">
        <f>September!O81</f>
        <v/>
      </c>
      <c r="P81" s="430" t="str">
        <f>September!P81</f>
        <v/>
      </c>
      <c r="Q81" s="325" t="str">
        <f>IFERROR(VLOOKUP(P81, Tarieven!$A$2:$J$150, 10, FALSE), "0")</f>
        <v>0</v>
      </c>
      <c r="R81" s="431" t="str">
        <f>September!R81</f>
        <v/>
      </c>
      <c r="S81" s="430" t="str">
        <f>September!S81</f>
        <v/>
      </c>
      <c r="T81" s="325" t="str">
        <f>IFERROR(VLOOKUP(S81, Tarieven!$A$2:$J$150, 10, FALSE), "0")</f>
        <v>0</v>
      </c>
      <c r="U81" s="77" t="str">
        <f>September!U81</f>
        <v/>
      </c>
      <c r="V81" s="327" t="str">
        <f>September!V81</f>
        <v/>
      </c>
      <c r="W81" s="325" t="str">
        <f>IFERROR(VLOOKUP(V81, Tarieven!$A$2:$J$150, 10, FALSE), "0")</f>
        <v>0</v>
      </c>
      <c r="X81" s="138">
        <f>September!X82</f>
        <v>0</v>
      </c>
      <c r="Y81" s="398">
        <v>0.0</v>
      </c>
      <c r="Z81" s="329">
        <f t="shared" si="3"/>
        <v>0</v>
      </c>
      <c r="AA81" s="32">
        <f t="shared" si="4"/>
        <v>0</v>
      </c>
      <c r="AB81" s="32">
        <f t="shared" si="5"/>
        <v>0</v>
      </c>
      <c r="AC81" s="32">
        <f t="shared" si="6"/>
        <v>0</v>
      </c>
    </row>
    <row r="82" ht="22.5" customHeight="1">
      <c r="A82" s="331" t="str">
        <f>Rooster!A83</f>
        <v/>
      </c>
      <c r="B82" s="425" t="str">
        <f>Rooster!B83</f>
        <v/>
      </c>
      <c r="C82" s="426" t="str">
        <f>Rooster!C83</f>
        <v/>
      </c>
      <c r="D82" s="11" t="str">
        <f>Rooster!D83</f>
        <v/>
      </c>
      <c r="E82" s="77"/>
      <c r="F82" s="327" t="str">
        <f>Rooster!E84</f>
        <v/>
      </c>
      <c r="G82" s="319" t="str">
        <f>IFERROR(VLOOKUP(F82, Docenten!$A$2:$G$30, 7, FALSE), "0")</f>
        <v>0</v>
      </c>
      <c r="H82" s="320">
        <f t="shared" si="7"/>
        <v>0</v>
      </c>
      <c r="I82" s="327" t="str">
        <f>Rooster!H84</f>
        <v/>
      </c>
      <c r="J82" s="321" t="str">
        <f>IFERROR(VLOOKUP(I82, Locaties!$A$2:$G$15, 7, FALSE), "0")</f>
        <v>0</v>
      </c>
      <c r="K82" s="42">
        <f t="shared" si="2"/>
        <v>0</v>
      </c>
      <c r="L82" s="427" t="str">
        <f>September!L82</f>
        <v/>
      </c>
      <c r="M82" s="428" t="str">
        <f>September!M82</f>
        <v/>
      </c>
      <c r="N82" s="321" t="str">
        <f>IFERROR(VLOOKUP(M82, Tarieven!$A$1:$J$150, 10, FALSE), "0")</f>
        <v>0</v>
      </c>
      <c r="O82" s="429" t="str">
        <f>September!O82</f>
        <v/>
      </c>
      <c r="P82" s="430" t="str">
        <f>September!P82</f>
        <v/>
      </c>
      <c r="Q82" s="325" t="str">
        <f>IFERROR(VLOOKUP(P82, Tarieven!$A$2:$J$150, 10, FALSE), "0")</f>
        <v>0</v>
      </c>
      <c r="R82" s="431" t="str">
        <f>September!R82</f>
        <v/>
      </c>
      <c r="S82" s="430" t="str">
        <f>September!S82</f>
        <v/>
      </c>
      <c r="T82" s="325" t="str">
        <f>IFERROR(VLOOKUP(S82, Tarieven!$A$2:$J$150, 10, FALSE), "0")</f>
        <v>0</v>
      </c>
      <c r="U82" s="77" t="str">
        <f>September!U82</f>
        <v/>
      </c>
      <c r="V82" s="327" t="str">
        <f>September!V82</f>
        <v/>
      </c>
      <c r="W82" s="325" t="str">
        <f>IFERROR(VLOOKUP(V82, Tarieven!$A$2:$J$150, 10, FALSE), "0")</f>
        <v>0</v>
      </c>
      <c r="X82" s="138">
        <f>September!X83</f>
        <v>0</v>
      </c>
      <c r="Y82" s="398">
        <v>0.0</v>
      </c>
      <c r="Z82" s="329">
        <f t="shared" si="3"/>
        <v>0</v>
      </c>
      <c r="AA82" s="32">
        <f t="shared" si="4"/>
        <v>0</v>
      </c>
      <c r="AB82" s="32">
        <f t="shared" si="5"/>
        <v>0</v>
      </c>
      <c r="AC82" s="32">
        <f t="shared" si="6"/>
        <v>0</v>
      </c>
    </row>
    <row r="83" ht="22.5" customHeight="1">
      <c r="A83" s="331" t="str">
        <f>Rooster!A84</f>
        <v/>
      </c>
      <c r="B83" s="425" t="str">
        <f>Rooster!B84</f>
        <v/>
      </c>
      <c r="C83" s="426" t="str">
        <f>Rooster!C84</f>
        <v/>
      </c>
      <c r="D83" s="11" t="str">
        <f>Rooster!D84</f>
        <v/>
      </c>
      <c r="E83" s="77"/>
      <c r="F83" s="327" t="str">
        <f>Rooster!E85</f>
        <v/>
      </c>
      <c r="G83" s="319" t="str">
        <f>IFERROR(VLOOKUP(F83, Docenten!$A$2:$G$30, 7, FALSE), "0")</f>
        <v>0</v>
      </c>
      <c r="H83" s="320">
        <f t="shared" si="7"/>
        <v>0</v>
      </c>
      <c r="I83" s="327" t="str">
        <f>Rooster!H85</f>
        <v/>
      </c>
      <c r="J83" s="321" t="str">
        <f>IFERROR(VLOOKUP(I83, Locaties!$A$2:$G$15, 7, FALSE), "0")</f>
        <v>0</v>
      </c>
      <c r="K83" s="42">
        <f t="shared" si="2"/>
        <v>0</v>
      </c>
      <c r="L83" s="427" t="str">
        <f>September!L83</f>
        <v/>
      </c>
      <c r="M83" s="428" t="str">
        <f>September!M83</f>
        <v/>
      </c>
      <c r="N83" s="321" t="str">
        <f>IFERROR(VLOOKUP(M83, Tarieven!$A$1:$J$150, 10, FALSE), "0")</f>
        <v>0</v>
      </c>
      <c r="O83" s="429" t="str">
        <f>September!O83</f>
        <v/>
      </c>
      <c r="P83" s="430" t="str">
        <f>September!P83</f>
        <v/>
      </c>
      <c r="Q83" s="325" t="str">
        <f>IFERROR(VLOOKUP(P83, Tarieven!$A$2:$J$150, 10, FALSE), "0")</f>
        <v>0</v>
      </c>
      <c r="R83" s="431" t="str">
        <f>September!R83</f>
        <v/>
      </c>
      <c r="S83" s="430" t="str">
        <f>September!S83</f>
        <v/>
      </c>
      <c r="T83" s="325" t="str">
        <f>IFERROR(VLOOKUP(S83, Tarieven!$A$2:$J$150, 10, FALSE), "0")</f>
        <v>0</v>
      </c>
      <c r="U83" s="77" t="str">
        <f>September!U83</f>
        <v/>
      </c>
      <c r="V83" s="327" t="str">
        <f>September!V83</f>
        <v/>
      </c>
      <c r="W83" s="325" t="str">
        <f>IFERROR(VLOOKUP(V83, Tarieven!$A$2:$J$150, 10, FALSE), "0")</f>
        <v>0</v>
      </c>
      <c r="X83" s="138">
        <f>September!X84</f>
        <v>0</v>
      </c>
      <c r="Y83" s="398">
        <v>0.0</v>
      </c>
      <c r="Z83" s="329">
        <f t="shared" si="3"/>
        <v>0</v>
      </c>
      <c r="AA83" s="32">
        <f t="shared" si="4"/>
        <v>0</v>
      </c>
      <c r="AB83" s="32">
        <f t="shared" si="5"/>
        <v>0</v>
      </c>
      <c r="AC83" s="32">
        <f t="shared" si="6"/>
        <v>0</v>
      </c>
    </row>
    <row r="84" ht="22.5" customHeight="1">
      <c r="A84" s="331" t="str">
        <f>Rooster!A85</f>
        <v/>
      </c>
      <c r="B84" s="425" t="str">
        <f>Rooster!B85</f>
        <v/>
      </c>
      <c r="C84" s="426" t="str">
        <f>Rooster!C85</f>
        <v/>
      </c>
      <c r="D84" s="11" t="str">
        <f>Rooster!D85</f>
        <v/>
      </c>
      <c r="E84" s="77"/>
      <c r="F84" s="327" t="str">
        <f>Rooster!E86</f>
        <v/>
      </c>
      <c r="G84" s="319" t="str">
        <f>IFERROR(VLOOKUP(F84, Docenten!$A$2:$G$30, 7, FALSE), "0")</f>
        <v>0</v>
      </c>
      <c r="H84" s="320">
        <f t="shared" si="7"/>
        <v>0</v>
      </c>
      <c r="I84" s="327" t="str">
        <f>Rooster!H86</f>
        <v/>
      </c>
      <c r="J84" s="321" t="str">
        <f>IFERROR(VLOOKUP(I84, Locaties!$A$2:$G$15, 7, FALSE), "0")</f>
        <v>0</v>
      </c>
      <c r="K84" s="42">
        <f t="shared" si="2"/>
        <v>0</v>
      </c>
      <c r="L84" s="427" t="str">
        <f>September!L84</f>
        <v/>
      </c>
      <c r="M84" s="428" t="str">
        <f>September!M84</f>
        <v/>
      </c>
      <c r="N84" s="321" t="str">
        <f>IFERROR(VLOOKUP(M84, Tarieven!$A$1:$J$150, 10, FALSE), "0")</f>
        <v>0</v>
      </c>
      <c r="O84" s="429" t="str">
        <f>September!O84</f>
        <v/>
      </c>
      <c r="P84" s="430" t="str">
        <f>September!P84</f>
        <v/>
      </c>
      <c r="Q84" s="325" t="str">
        <f>IFERROR(VLOOKUP(P84, Tarieven!$A$2:$J$150, 10, FALSE), "0")</f>
        <v>0</v>
      </c>
      <c r="R84" s="431" t="str">
        <f>September!R84</f>
        <v/>
      </c>
      <c r="S84" s="430" t="str">
        <f>September!S84</f>
        <v/>
      </c>
      <c r="T84" s="325" t="str">
        <f>IFERROR(VLOOKUP(S84, Tarieven!$A$2:$J$150, 10, FALSE), "0")</f>
        <v>0</v>
      </c>
      <c r="U84" s="77" t="str">
        <f>September!U84</f>
        <v/>
      </c>
      <c r="V84" s="327" t="str">
        <f>September!V84</f>
        <v/>
      </c>
      <c r="W84" s="325" t="str">
        <f>IFERROR(VLOOKUP(V84, Tarieven!$A$2:$J$150, 10, FALSE), "0")</f>
        <v>0</v>
      </c>
      <c r="X84" s="138">
        <f>September!X85</f>
        <v>0</v>
      </c>
      <c r="Y84" s="398">
        <v>0.0</v>
      </c>
      <c r="Z84" s="329">
        <f t="shared" si="3"/>
        <v>0</v>
      </c>
      <c r="AA84" s="32">
        <f t="shared" si="4"/>
        <v>0</v>
      </c>
      <c r="AB84" s="32">
        <f t="shared" si="5"/>
        <v>0</v>
      </c>
      <c r="AC84" s="32">
        <f t="shared" si="6"/>
        <v>0</v>
      </c>
    </row>
    <row r="85" ht="22.5" customHeight="1">
      <c r="A85" s="331" t="str">
        <f>Rooster!A86</f>
        <v/>
      </c>
      <c r="B85" s="425" t="str">
        <f>Rooster!B86</f>
        <v/>
      </c>
      <c r="C85" s="426" t="str">
        <f>Rooster!C86</f>
        <v/>
      </c>
      <c r="D85" s="11" t="str">
        <f>Rooster!D86</f>
        <v/>
      </c>
      <c r="E85" s="77"/>
      <c r="F85" s="327" t="str">
        <f>Rooster!E87</f>
        <v/>
      </c>
      <c r="G85" s="319" t="str">
        <f>IFERROR(VLOOKUP(F85, Docenten!$A$2:$G$30, 7, FALSE), "0")</f>
        <v>0</v>
      </c>
      <c r="H85" s="320">
        <f t="shared" si="7"/>
        <v>0</v>
      </c>
      <c r="I85" s="327" t="str">
        <f>Rooster!H87</f>
        <v/>
      </c>
      <c r="J85" s="321" t="str">
        <f>IFERROR(VLOOKUP(I85, Locaties!$A$2:$G$15, 7, FALSE), "0")</f>
        <v>0</v>
      </c>
      <c r="K85" s="42">
        <f t="shared" si="2"/>
        <v>0</v>
      </c>
      <c r="L85" s="427" t="str">
        <f>September!L85</f>
        <v/>
      </c>
      <c r="M85" s="428" t="str">
        <f>September!M85</f>
        <v/>
      </c>
      <c r="N85" s="321" t="str">
        <f>IFERROR(VLOOKUP(M85, Tarieven!$A$1:$J$150, 10, FALSE), "0")</f>
        <v>0</v>
      </c>
      <c r="O85" s="429" t="str">
        <f>September!O85</f>
        <v/>
      </c>
      <c r="P85" s="430" t="str">
        <f>September!P85</f>
        <v/>
      </c>
      <c r="Q85" s="325" t="str">
        <f>IFERROR(VLOOKUP(P85, Tarieven!$A$2:$J$150, 10, FALSE), "0")</f>
        <v>0</v>
      </c>
      <c r="R85" s="431" t="str">
        <f>September!R85</f>
        <v/>
      </c>
      <c r="S85" s="430" t="str">
        <f>September!S85</f>
        <v/>
      </c>
      <c r="T85" s="325" t="str">
        <f>IFERROR(VLOOKUP(S85, Tarieven!$A$2:$J$150, 10, FALSE), "0")</f>
        <v>0</v>
      </c>
      <c r="U85" s="77" t="str">
        <f>September!U85</f>
        <v/>
      </c>
      <c r="V85" s="327" t="str">
        <f>September!V85</f>
        <v/>
      </c>
      <c r="W85" s="325" t="str">
        <f>IFERROR(VLOOKUP(V85, Tarieven!$A$2:$J$150, 10, FALSE), "0")</f>
        <v>0</v>
      </c>
      <c r="X85" s="138">
        <f>September!X86</f>
        <v>0</v>
      </c>
      <c r="Y85" s="398">
        <v>0.0</v>
      </c>
      <c r="Z85" s="329">
        <f t="shared" si="3"/>
        <v>0</v>
      </c>
      <c r="AA85" s="32">
        <f t="shared" si="4"/>
        <v>0</v>
      </c>
      <c r="AB85" s="32">
        <f t="shared" si="5"/>
        <v>0</v>
      </c>
      <c r="AC85" s="32">
        <f t="shared" si="6"/>
        <v>0</v>
      </c>
    </row>
    <row r="86" ht="22.5" customHeight="1">
      <c r="A86" s="331" t="str">
        <f>Rooster!A87</f>
        <v/>
      </c>
      <c r="B86" s="425" t="str">
        <f>Rooster!B87</f>
        <v/>
      </c>
      <c r="C86" s="426" t="str">
        <f>Rooster!C87</f>
        <v/>
      </c>
      <c r="D86" s="11" t="str">
        <f>Rooster!D87</f>
        <v/>
      </c>
      <c r="E86" s="77"/>
      <c r="F86" s="327" t="str">
        <f>Rooster!E88</f>
        <v/>
      </c>
      <c r="G86" s="319" t="str">
        <f>IFERROR(VLOOKUP(F86, Docenten!$A$2:$G$30, 7, FALSE), "0")</f>
        <v>0</v>
      </c>
      <c r="H86" s="320">
        <f t="shared" si="7"/>
        <v>0</v>
      </c>
      <c r="I86" s="327" t="str">
        <f>Rooster!H88</f>
        <v/>
      </c>
      <c r="J86" s="321" t="str">
        <f>IFERROR(VLOOKUP(I86, Locaties!$A$2:$G$15, 7, FALSE), "0")</f>
        <v>0</v>
      </c>
      <c r="K86" s="42">
        <f t="shared" si="2"/>
        <v>0</v>
      </c>
      <c r="L86" s="427" t="str">
        <f>September!L86</f>
        <v/>
      </c>
      <c r="M86" s="428" t="str">
        <f>September!M86</f>
        <v/>
      </c>
      <c r="N86" s="321" t="str">
        <f>IFERROR(VLOOKUP(M86, Tarieven!$A$1:$J$150, 10, FALSE), "0")</f>
        <v>0</v>
      </c>
      <c r="O86" s="429" t="str">
        <f>September!O86</f>
        <v/>
      </c>
      <c r="P86" s="430" t="str">
        <f>September!P86</f>
        <v/>
      </c>
      <c r="Q86" s="325" t="str">
        <f>IFERROR(VLOOKUP(P86, Tarieven!$A$2:$J$150, 10, FALSE), "0")</f>
        <v>0</v>
      </c>
      <c r="R86" s="431" t="str">
        <f>September!R86</f>
        <v/>
      </c>
      <c r="S86" s="430" t="str">
        <f>September!S86</f>
        <v/>
      </c>
      <c r="T86" s="325" t="str">
        <f>IFERROR(VLOOKUP(S86, Tarieven!$A$2:$J$150, 10, FALSE), "0")</f>
        <v>0</v>
      </c>
      <c r="U86" s="77" t="str">
        <f>September!U86</f>
        <v/>
      </c>
      <c r="V86" s="327" t="str">
        <f>September!V86</f>
        <v/>
      </c>
      <c r="W86" s="325" t="str">
        <f>IFERROR(VLOOKUP(V86, Tarieven!$A$2:$J$150, 10, FALSE), "0")</f>
        <v>0</v>
      </c>
      <c r="X86" s="138">
        <f>September!X87</f>
        <v>0</v>
      </c>
      <c r="Y86" s="398">
        <v>0.0</v>
      </c>
      <c r="Z86" s="329">
        <f t="shared" si="3"/>
        <v>0</v>
      </c>
      <c r="AA86" s="32">
        <f t="shared" si="4"/>
        <v>0</v>
      </c>
      <c r="AB86" s="32">
        <f t="shared" si="5"/>
        <v>0</v>
      </c>
      <c r="AC86" s="32">
        <f t="shared" si="6"/>
        <v>0</v>
      </c>
    </row>
    <row r="87" ht="22.5" customHeight="1">
      <c r="A87" s="331" t="str">
        <f>Rooster!A88</f>
        <v/>
      </c>
      <c r="B87" s="425" t="str">
        <f>Rooster!B88</f>
        <v/>
      </c>
      <c r="C87" s="426" t="str">
        <f>Rooster!C88</f>
        <v/>
      </c>
      <c r="D87" s="11" t="str">
        <f>Rooster!D88</f>
        <v/>
      </c>
      <c r="E87" s="77"/>
      <c r="F87" s="327" t="str">
        <f>Rooster!E89</f>
        <v/>
      </c>
      <c r="G87" s="319" t="str">
        <f>IFERROR(VLOOKUP(F87, Docenten!$A$2:$G$30, 7, FALSE), "0")</f>
        <v>0</v>
      </c>
      <c r="H87" s="320">
        <f t="shared" si="7"/>
        <v>0</v>
      </c>
      <c r="I87" s="327" t="str">
        <f>Rooster!H89</f>
        <v/>
      </c>
      <c r="J87" s="321" t="str">
        <f>IFERROR(VLOOKUP(I87, Locaties!$A$2:$G$15, 7, FALSE), "0")</f>
        <v>0</v>
      </c>
      <c r="K87" s="42">
        <f t="shared" si="2"/>
        <v>0</v>
      </c>
      <c r="L87" s="427" t="str">
        <f>September!L87</f>
        <v/>
      </c>
      <c r="M87" s="428" t="str">
        <f>September!M87</f>
        <v/>
      </c>
      <c r="N87" s="321" t="str">
        <f>IFERROR(VLOOKUP(M87, Tarieven!$A$1:$J$150, 10, FALSE), "0")</f>
        <v>0</v>
      </c>
      <c r="O87" s="429" t="str">
        <f>September!O87</f>
        <v/>
      </c>
      <c r="P87" s="430" t="str">
        <f>September!P87</f>
        <v/>
      </c>
      <c r="Q87" s="325" t="str">
        <f>IFERROR(VLOOKUP(P87, Tarieven!$A$2:$J$150, 10, FALSE), "0")</f>
        <v>0</v>
      </c>
      <c r="R87" s="431" t="str">
        <f>September!R87</f>
        <v/>
      </c>
      <c r="S87" s="430" t="str">
        <f>September!S87</f>
        <v/>
      </c>
      <c r="T87" s="325" t="str">
        <f>IFERROR(VLOOKUP(S87, Tarieven!$A$2:$J$150, 10, FALSE), "0")</f>
        <v>0</v>
      </c>
      <c r="U87" s="77" t="str">
        <f>September!U87</f>
        <v/>
      </c>
      <c r="V87" s="327" t="str">
        <f>September!V87</f>
        <v/>
      </c>
      <c r="W87" s="325" t="str">
        <f>IFERROR(VLOOKUP(V87, Tarieven!$A$2:$J$150, 10, FALSE), "0")</f>
        <v>0</v>
      </c>
      <c r="X87" s="138">
        <f>September!X88</f>
        <v>0</v>
      </c>
      <c r="Y87" s="398">
        <v>0.0</v>
      </c>
      <c r="Z87" s="329">
        <f t="shared" si="3"/>
        <v>0</v>
      </c>
      <c r="AA87" s="32">
        <f t="shared" si="4"/>
        <v>0</v>
      </c>
      <c r="AB87" s="32">
        <f t="shared" si="5"/>
        <v>0</v>
      </c>
      <c r="AC87" s="32">
        <f t="shared" si="6"/>
        <v>0</v>
      </c>
    </row>
    <row r="88" ht="22.5" customHeight="1">
      <c r="A88" s="331" t="str">
        <f>Rooster!A89</f>
        <v/>
      </c>
      <c r="B88" s="425" t="str">
        <f>Rooster!B89</f>
        <v/>
      </c>
      <c r="C88" s="426" t="str">
        <f>Rooster!C89</f>
        <v/>
      </c>
      <c r="D88" s="11" t="str">
        <f>Rooster!D89</f>
        <v/>
      </c>
      <c r="E88" s="77"/>
      <c r="F88" s="327" t="str">
        <f>Rooster!E90</f>
        <v/>
      </c>
      <c r="G88" s="319" t="str">
        <f>IFERROR(VLOOKUP(F88, Docenten!$A$2:$G$30, 7, FALSE), "0")</f>
        <v>0</v>
      </c>
      <c r="H88" s="320">
        <f t="shared" si="7"/>
        <v>0</v>
      </c>
      <c r="I88" s="327" t="str">
        <f>Rooster!H90</f>
        <v/>
      </c>
      <c r="J88" s="321" t="str">
        <f>IFERROR(VLOOKUP(I88, Locaties!$A$2:$G$15, 7, FALSE), "0")</f>
        <v>0</v>
      </c>
      <c r="K88" s="42">
        <f t="shared" si="2"/>
        <v>0</v>
      </c>
      <c r="L88" s="427" t="str">
        <f>September!L88</f>
        <v/>
      </c>
      <c r="M88" s="428" t="str">
        <f>September!M88</f>
        <v/>
      </c>
      <c r="N88" s="321" t="str">
        <f>IFERROR(VLOOKUP(M88, Tarieven!$A$1:$J$150, 10, FALSE), "0")</f>
        <v>0</v>
      </c>
      <c r="O88" s="429" t="str">
        <f>September!O88</f>
        <v/>
      </c>
      <c r="P88" s="430" t="str">
        <f>September!P88</f>
        <v/>
      </c>
      <c r="Q88" s="325" t="str">
        <f>IFERROR(VLOOKUP(P88, Tarieven!$A$2:$J$150, 10, FALSE), "0")</f>
        <v>0</v>
      </c>
      <c r="R88" s="431" t="str">
        <f>September!R88</f>
        <v/>
      </c>
      <c r="S88" s="430" t="str">
        <f>September!S88</f>
        <v/>
      </c>
      <c r="T88" s="325" t="str">
        <f>IFERROR(VLOOKUP(S88, Tarieven!$A$2:$J$150, 10, FALSE), "0")</f>
        <v>0</v>
      </c>
      <c r="U88" s="77" t="str">
        <f>September!U88</f>
        <v/>
      </c>
      <c r="V88" s="327" t="str">
        <f>September!V88</f>
        <v/>
      </c>
      <c r="W88" s="325" t="str">
        <f>IFERROR(VLOOKUP(V88, Tarieven!$A$2:$J$150, 10, FALSE), "0")</f>
        <v>0</v>
      </c>
      <c r="X88" s="138">
        <f>September!X89</f>
        <v>0</v>
      </c>
      <c r="Y88" s="398">
        <v>0.0</v>
      </c>
      <c r="Z88" s="329">
        <f t="shared" si="3"/>
        <v>0</v>
      </c>
      <c r="AA88" s="32">
        <f t="shared" si="4"/>
        <v>0</v>
      </c>
      <c r="AB88" s="32">
        <f t="shared" si="5"/>
        <v>0</v>
      </c>
      <c r="AC88" s="32">
        <f t="shared" si="6"/>
        <v>0</v>
      </c>
    </row>
    <row r="89" ht="22.5" customHeight="1">
      <c r="A89" s="331" t="str">
        <f>Rooster!A90</f>
        <v/>
      </c>
      <c r="B89" s="425" t="str">
        <f>Rooster!B90</f>
        <v/>
      </c>
      <c r="C89" s="426" t="str">
        <f>Rooster!C90</f>
        <v/>
      </c>
      <c r="D89" s="11" t="str">
        <f>Rooster!D90</f>
        <v/>
      </c>
      <c r="E89" s="77"/>
      <c r="F89" s="327" t="str">
        <f>Rooster!E91</f>
        <v/>
      </c>
      <c r="G89" s="319" t="str">
        <f>IFERROR(VLOOKUP(F89, Docenten!$A$2:$G$30, 7, FALSE), "0")</f>
        <v>0</v>
      </c>
      <c r="H89" s="320">
        <f t="shared" si="7"/>
        <v>0</v>
      </c>
      <c r="I89" s="327" t="str">
        <f>Rooster!H91</f>
        <v/>
      </c>
      <c r="J89" s="321" t="str">
        <f>IFERROR(VLOOKUP(I89, Locaties!$A$2:$G$15, 7, FALSE), "0")</f>
        <v>0</v>
      </c>
      <c r="K89" s="42">
        <f t="shared" si="2"/>
        <v>0</v>
      </c>
      <c r="L89" s="427" t="str">
        <f>September!L89</f>
        <v/>
      </c>
      <c r="M89" s="428" t="str">
        <f>September!M89</f>
        <v/>
      </c>
      <c r="N89" s="321" t="str">
        <f>IFERROR(VLOOKUP(M89, Tarieven!$A$1:$J$150, 10, FALSE), "0")</f>
        <v>0</v>
      </c>
      <c r="O89" s="429" t="str">
        <f>September!O89</f>
        <v/>
      </c>
      <c r="P89" s="430" t="str">
        <f>September!P89</f>
        <v/>
      </c>
      <c r="Q89" s="325" t="str">
        <f>IFERROR(VLOOKUP(P89, Tarieven!$A$2:$J$150, 10, FALSE), "0")</f>
        <v>0</v>
      </c>
      <c r="R89" s="431" t="str">
        <f>September!R89</f>
        <v/>
      </c>
      <c r="S89" s="430" t="str">
        <f>September!S89</f>
        <v/>
      </c>
      <c r="T89" s="325" t="str">
        <f>IFERROR(VLOOKUP(S89, Tarieven!$A$2:$J$150, 10, FALSE), "0")</f>
        <v>0</v>
      </c>
      <c r="U89" s="77" t="str">
        <f>September!U89</f>
        <v/>
      </c>
      <c r="V89" s="327" t="str">
        <f>September!V89</f>
        <v/>
      </c>
      <c r="W89" s="325" t="str">
        <f>IFERROR(VLOOKUP(V89, Tarieven!$A$2:$J$150, 10, FALSE), "0")</f>
        <v>0</v>
      </c>
      <c r="X89" s="138">
        <f>September!X90</f>
        <v>0</v>
      </c>
      <c r="Y89" s="398">
        <v>0.0</v>
      </c>
      <c r="Z89" s="329">
        <f t="shared" si="3"/>
        <v>0</v>
      </c>
      <c r="AA89" s="32">
        <f t="shared" si="4"/>
        <v>0</v>
      </c>
      <c r="AB89" s="32">
        <f t="shared" si="5"/>
        <v>0</v>
      </c>
      <c r="AC89" s="32">
        <f t="shared" si="6"/>
        <v>0</v>
      </c>
    </row>
    <row r="90" ht="22.5" customHeight="1">
      <c r="A90" s="331" t="str">
        <f>Rooster!A91</f>
        <v/>
      </c>
      <c r="B90" s="425" t="str">
        <f>Rooster!B91</f>
        <v/>
      </c>
      <c r="C90" s="426" t="str">
        <f>Rooster!C91</f>
        <v/>
      </c>
      <c r="D90" s="11" t="str">
        <f>Rooster!D91</f>
        <v/>
      </c>
      <c r="E90" s="77"/>
      <c r="F90" s="327" t="str">
        <f>Rooster!E92</f>
        <v/>
      </c>
      <c r="G90" s="319" t="str">
        <f>IFERROR(VLOOKUP(F90, Docenten!$A$2:$G$30, 7, FALSE), "0")</f>
        <v>0</v>
      </c>
      <c r="H90" s="320">
        <f t="shared" si="7"/>
        <v>0</v>
      </c>
      <c r="I90" s="327" t="str">
        <f>Rooster!H92</f>
        <v/>
      </c>
      <c r="J90" s="321" t="str">
        <f>IFERROR(VLOOKUP(I90, Locaties!$A$2:$G$15, 7, FALSE), "0")</f>
        <v>0</v>
      </c>
      <c r="K90" s="42">
        <f t="shared" si="2"/>
        <v>0</v>
      </c>
      <c r="L90" s="427" t="str">
        <f>September!L90</f>
        <v/>
      </c>
      <c r="M90" s="428" t="str">
        <f>September!M90</f>
        <v/>
      </c>
      <c r="N90" s="321" t="str">
        <f>IFERROR(VLOOKUP(M90, Tarieven!$A$1:$J$150, 10, FALSE), "0")</f>
        <v>0</v>
      </c>
      <c r="O90" s="429" t="str">
        <f>September!O90</f>
        <v/>
      </c>
      <c r="P90" s="430" t="str">
        <f>September!P90</f>
        <v/>
      </c>
      <c r="Q90" s="325" t="str">
        <f>IFERROR(VLOOKUP(P90, Tarieven!$A$2:$J$150, 10, FALSE), "0")</f>
        <v>0</v>
      </c>
      <c r="R90" s="431" t="str">
        <f>September!R90</f>
        <v/>
      </c>
      <c r="S90" s="430" t="str">
        <f>September!S90</f>
        <v/>
      </c>
      <c r="T90" s="325" t="str">
        <f>IFERROR(VLOOKUP(S90, Tarieven!$A$2:$J$150, 10, FALSE), "0")</f>
        <v>0</v>
      </c>
      <c r="U90" s="77" t="str">
        <f>September!U90</f>
        <v/>
      </c>
      <c r="V90" s="327" t="str">
        <f>September!V90</f>
        <v/>
      </c>
      <c r="W90" s="325" t="str">
        <f>IFERROR(VLOOKUP(V90, Tarieven!$A$2:$J$150, 10, FALSE), "0")</f>
        <v>0</v>
      </c>
      <c r="X90" s="138">
        <f>September!X91</f>
        <v>0</v>
      </c>
      <c r="Y90" s="398">
        <v>0.0</v>
      </c>
      <c r="Z90" s="329">
        <f t="shared" si="3"/>
        <v>0</v>
      </c>
      <c r="AA90" s="32">
        <f t="shared" si="4"/>
        <v>0</v>
      </c>
      <c r="AB90" s="32">
        <f t="shared" si="5"/>
        <v>0</v>
      </c>
      <c r="AC90" s="32">
        <f t="shared" si="6"/>
        <v>0</v>
      </c>
    </row>
    <row r="91" ht="22.5" customHeight="1">
      <c r="A91" s="331" t="str">
        <f>Rooster!A92</f>
        <v/>
      </c>
      <c r="B91" s="425" t="str">
        <f>Rooster!B92</f>
        <v/>
      </c>
      <c r="C91" s="426" t="str">
        <f>Rooster!C92</f>
        <v/>
      </c>
      <c r="D91" s="11" t="str">
        <f>Rooster!D92</f>
        <v/>
      </c>
      <c r="E91" s="77"/>
      <c r="F91" s="327" t="str">
        <f>Rooster!E93</f>
        <v/>
      </c>
      <c r="G91" s="319" t="str">
        <f>IFERROR(VLOOKUP(F91, Docenten!$A$2:$G$30, 7, FALSE), "0")</f>
        <v>0</v>
      </c>
      <c r="H91" s="320">
        <f t="shared" si="7"/>
        <v>0</v>
      </c>
      <c r="I91" s="327" t="str">
        <f>Rooster!H93</f>
        <v/>
      </c>
      <c r="J91" s="321" t="str">
        <f>IFERROR(VLOOKUP(I91, Locaties!$A$2:$G$15, 7, FALSE), "0")</f>
        <v>0</v>
      </c>
      <c r="K91" s="42">
        <f t="shared" si="2"/>
        <v>0</v>
      </c>
      <c r="L91" s="427" t="str">
        <f>September!L91</f>
        <v/>
      </c>
      <c r="M91" s="428" t="str">
        <f>September!M91</f>
        <v/>
      </c>
      <c r="N91" s="321" t="str">
        <f>IFERROR(VLOOKUP(M91, Tarieven!$A$1:$J$150, 10, FALSE), "0")</f>
        <v>0</v>
      </c>
      <c r="O91" s="429" t="str">
        <f>September!O91</f>
        <v/>
      </c>
      <c r="P91" s="430" t="str">
        <f>September!P91</f>
        <v/>
      </c>
      <c r="Q91" s="325" t="str">
        <f>IFERROR(VLOOKUP(P91, Tarieven!$A$2:$J$150, 10, FALSE), "0")</f>
        <v>0</v>
      </c>
      <c r="R91" s="431" t="str">
        <f>September!R91</f>
        <v/>
      </c>
      <c r="S91" s="430" t="str">
        <f>September!S91</f>
        <v/>
      </c>
      <c r="T91" s="325" t="str">
        <f>IFERROR(VLOOKUP(S91, Tarieven!$A$2:$J$150, 10, FALSE), "0")</f>
        <v>0</v>
      </c>
      <c r="U91" s="77" t="str">
        <f>September!U91</f>
        <v/>
      </c>
      <c r="V91" s="327" t="str">
        <f>September!V91</f>
        <v/>
      </c>
      <c r="W91" s="325" t="str">
        <f>IFERROR(VLOOKUP(V91, Tarieven!$A$2:$J$150, 10, FALSE), "0")</f>
        <v>0</v>
      </c>
      <c r="X91" s="138">
        <f>September!X92</f>
        <v>0</v>
      </c>
      <c r="Y91" s="398">
        <v>0.0</v>
      </c>
      <c r="Z91" s="329">
        <f t="shared" si="3"/>
        <v>0</v>
      </c>
      <c r="AA91" s="32">
        <f t="shared" si="4"/>
        <v>0</v>
      </c>
      <c r="AB91" s="32">
        <f t="shared" si="5"/>
        <v>0</v>
      </c>
      <c r="AC91" s="32">
        <f t="shared" si="6"/>
        <v>0</v>
      </c>
    </row>
    <row r="92" ht="22.5" customHeight="1">
      <c r="A92" s="331" t="str">
        <f>Rooster!A93</f>
        <v/>
      </c>
      <c r="B92" s="425" t="str">
        <f>Rooster!B93</f>
        <v/>
      </c>
      <c r="C92" s="426" t="str">
        <f>Rooster!C93</f>
        <v/>
      </c>
      <c r="D92" s="11" t="str">
        <f>Rooster!D93</f>
        <v/>
      </c>
      <c r="E92" s="77"/>
      <c r="F92" s="327" t="str">
        <f>Rooster!E94</f>
        <v/>
      </c>
      <c r="G92" s="319" t="str">
        <f>IFERROR(VLOOKUP(F92, Docenten!$A$2:$G$30, 7, FALSE), "0")</f>
        <v>0</v>
      </c>
      <c r="H92" s="320">
        <f t="shared" si="7"/>
        <v>0</v>
      </c>
      <c r="I92" s="327" t="str">
        <f>Rooster!H94</f>
        <v/>
      </c>
      <c r="J92" s="321" t="str">
        <f>IFERROR(VLOOKUP(I92, Locaties!$A$2:$G$15, 7, FALSE), "0")</f>
        <v>0</v>
      </c>
      <c r="K92" s="42">
        <f t="shared" si="2"/>
        <v>0</v>
      </c>
      <c r="L92" s="427" t="str">
        <f>September!L92</f>
        <v/>
      </c>
      <c r="M92" s="428" t="str">
        <f>September!M92</f>
        <v/>
      </c>
      <c r="N92" s="321" t="str">
        <f>IFERROR(VLOOKUP(M92, Tarieven!$A$1:$J$150, 10, FALSE), "0")</f>
        <v>0</v>
      </c>
      <c r="O92" s="429" t="str">
        <f>September!O92</f>
        <v/>
      </c>
      <c r="P92" s="430" t="str">
        <f>September!P92</f>
        <v/>
      </c>
      <c r="Q92" s="325" t="str">
        <f>IFERROR(VLOOKUP(P92, Tarieven!$A$2:$J$150, 10, FALSE), "0")</f>
        <v>0</v>
      </c>
      <c r="R92" s="431" t="str">
        <f>September!R92</f>
        <v/>
      </c>
      <c r="S92" s="430" t="str">
        <f>September!S92</f>
        <v/>
      </c>
      <c r="T92" s="325" t="str">
        <f>IFERROR(VLOOKUP(S92, Tarieven!$A$2:$J$150, 10, FALSE), "0")</f>
        <v>0</v>
      </c>
      <c r="U92" s="77" t="str">
        <f>September!U92</f>
        <v/>
      </c>
      <c r="V92" s="327" t="str">
        <f>September!V92</f>
        <v/>
      </c>
      <c r="W92" s="325" t="str">
        <f>IFERROR(VLOOKUP(V92, Tarieven!$A$2:$J$150, 10, FALSE), "0")</f>
        <v>0</v>
      </c>
      <c r="X92" s="138">
        <f>September!X93</f>
        <v>0</v>
      </c>
      <c r="Y92" s="398">
        <v>0.0</v>
      </c>
      <c r="Z92" s="329">
        <f t="shared" si="3"/>
        <v>0</v>
      </c>
      <c r="AA92" s="32">
        <f t="shared" si="4"/>
        <v>0</v>
      </c>
      <c r="AB92" s="32">
        <f t="shared" si="5"/>
        <v>0</v>
      </c>
      <c r="AC92" s="32">
        <f t="shared" si="6"/>
        <v>0</v>
      </c>
    </row>
    <row r="93" ht="22.5" customHeight="1">
      <c r="A93" s="331" t="str">
        <f>Rooster!A94</f>
        <v/>
      </c>
      <c r="B93" s="425" t="str">
        <f>Rooster!B94</f>
        <v/>
      </c>
      <c r="C93" s="426" t="str">
        <f>Rooster!C94</f>
        <v/>
      </c>
      <c r="D93" s="11" t="str">
        <f>Rooster!D94</f>
        <v/>
      </c>
      <c r="E93" s="77"/>
      <c r="F93" s="327" t="str">
        <f>Rooster!E95</f>
        <v/>
      </c>
      <c r="G93" s="319" t="str">
        <f>IFERROR(VLOOKUP(F93, Docenten!$A$2:$G$30, 7, FALSE), "0")</f>
        <v>0</v>
      </c>
      <c r="H93" s="320">
        <f t="shared" si="7"/>
        <v>0</v>
      </c>
      <c r="I93" s="327" t="str">
        <f>Rooster!H95</f>
        <v/>
      </c>
      <c r="J93" s="321" t="str">
        <f>IFERROR(VLOOKUP(I93, Locaties!$A$2:$G$15, 7, FALSE), "0")</f>
        <v>0</v>
      </c>
      <c r="K93" s="42">
        <f t="shared" si="2"/>
        <v>0</v>
      </c>
      <c r="L93" s="427" t="str">
        <f>September!L93</f>
        <v/>
      </c>
      <c r="M93" s="428" t="str">
        <f>September!M93</f>
        <v/>
      </c>
      <c r="N93" s="321" t="str">
        <f>IFERROR(VLOOKUP(M93, Tarieven!$A$1:$J$150, 10, FALSE), "0")</f>
        <v>0</v>
      </c>
      <c r="O93" s="429" t="str">
        <f>September!O93</f>
        <v/>
      </c>
      <c r="P93" s="430" t="str">
        <f>September!P93</f>
        <v/>
      </c>
      <c r="Q93" s="325" t="str">
        <f>IFERROR(VLOOKUP(P93, Tarieven!$A$2:$J$150, 10, FALSE), "0")</f>
        <v>0</v>
      </c>
      <c r="R93" s="431" t="str">
        <f>September!R93</f>
        <v/>
      </c>
      <c r="S93" s="430" t="str">
        <f>September!S93</f>
        <v/>
      </c>
      <c r="T93" s="325" t="str">
        <f>IFERROR(VLOOKUP(S93, Tarieven!$A$2:$J$150, 10, FALSE), "0")</f>
        <v>0</v>
      </c>
      <c r="U93" s="77" t="str">
        <f>September!U93</f>
        <v/>
      </c>
      <c r="V93" s="327" t="str">
        <f>September!V93</f>
        <v/>
      </c>
      <c r="W93" s="325" t="str">
        <f>IFERROR(VLOOKUP(V93, Tarieven!$A$2:$J$150, 10, FALSE), "0")</f>
        <v>0</v>
      </c>
      <c r="X93" s="138">
        <f>September!X94</f>
        <v>0</v>
      </c>
      <c r="Y93" s="398">
        <v>0.0</v>
      </c>
      <c r="Z93" s="329">
        <f t="shared" si="3"/>
        <v>0</v>
      </c>
      <c r="AA93" s="32">
        <f t="shared" si="4"/>
        <v>0</v>
      </c>
      <c r="AB93" s="32">
        <f t="shared" si="5"/>
        <v>0</v>
      </c>
      <c r="AC93" s="32">
        <f t="shared" si="6"/>
        <v>0</v>
      </c>
    </row>
    <row r="94" ht="22.5" customHeight="1">
      <c r="A94" s="331" t="str">
        <f>Rooster!A95</f>
        <v/>
      </c>
      <c r="B94" s="425" t="str">
        <f>Rooster!B95</f>
        <v/>
      </c>
      <c r="C94" s="426" t="str">
        <f>Rooster!C95</f>
        <v/>
      </c>
      <c r="D94" s="11" t="str">
        <f>Rooster!D95</f>
        <v/>
      </c>
      <c r="E94" s="77"/>
      <c r="F94" s="327" t="str">
        <f>Rooster!E96</f>
        <v/>
      </c>
      <c r="G94" s="319" t="str">
        <f>IFERROR(VLOOKUP(F94, Docenten!$A$2:$G$30, 7, FALSE), "0")</f>
        <v>0</v>
      </c>
      <c r="H94" s="320">
        <f t="shared" si="7"/>
        <v>0</v>
      </c>
      <c r="I94" s="327" t="str">
        <f>Rooster!H96</f>
        <v/>
      </c>
      <c r="J94" s="321" t="str">
        <f>IFERROR(VLOOKUP(I94, Locaties!$A$2:$G$15, 7, FALSE), "0")</f>
        <v>0</v>
      </c>
      <c r="K94" s="42">
        <f t="shared" si="2"/>
        <v>0</v>
      </c>
      <c r="L94" s="427" t="str">
        <f>September!L94</f>
        <v/>
      </c>
      <c r="M94" s="428" t="str">
        <f>September!M94</f>
        <v/>
      </c>
      <c r="N94" s="321" t="str">
        <f>IFERROR(VLOOKUP(M94, Tarieven!$A$1:$J$150, 10, FALSE), "0")</f>
        <v>0</v>
      </c>
      <c r="O94" s="429" t="str">
        <f>September!O94</f>
        <v/>
      </c>
      <c r="P94" s="430" t="str">
        <f>September!P94</f>
        <v/>
      </c>
      <c r="Q94" s="325" t="str">
        <f>IFERROR(VLOOKUP(P94, Tarieven!$A$2:$J$150, 10, FALSE), "0")</f>
        <v>0</v>
      </c>
      <c r="R94" s="431" t="str">
        <f>September!R94</f>
        <v/>
      </c>
      <c r="S94" s="430" t="str">
        <f>September!S94</f>
        <v/>
      </c>
      <c r="T94" s="325" t="str">
        <f>IFERROR(VLOOKUP(S94, Tarieven!$A$2:$J$150, 10, FALSE), "0")</f>
        <v>0</v>
      </c>
      <c r="U94" s="77" t="str">
        <f>September!U94</f>
        <v/>
      </c>
      <c r="V94" s="327" t="str">
        <f>September!V94</f>
        <v/>
      </c>
      <c r="W94" s="325" t="str">
        <f>IFERROR(VLOOKUP(V94, Tarieven!$A$2:$J$150, 10, FALSE), "0")</f>
        <v>0</v>
      </c>
      <c r="X94" s="138">
        <f>September!X95</f>
        <v>0</v>
      </c>
      <c r="Y94" s="398">
        <v>0.0</v>
      </c>
      <c r="Z94" s="329">
        <f t="shared" si="3"/>
        <v>0</v>
      </c>
      <c r="AA94" s="32">
        <f t="shared" si="4"/>
        <v>0</v>
      </c>
      <c r="AB94" s="32">
        <f t="shared" si="5"/>
        <v>0</v>
      </c>
      <c r="AC94" s="32">
        <f t="shared" si="6"/>
        <v>0</v>
      </c>
    </row>
    <row r="95" ht="22.5" customHeight="1">
      <c r="A95" s="331" t="str">
        <f>Rooster!A96</f>
        <v/>
      </c>
      <c r="B95" s="425" t="str">
        <f>Rooster!B96</f>
        <v/>
      </c>
      <c r="C95" s="426" t="str">
        <f>Rooster!C96</f>
        <v/>
      </c>
      <c r="D95" s="11" t="str">
        <f>Rooster!D96</f>
        <v/>
      </c>
      <c r="E95" s="77"/>
      <c r="F95" s="327" t="str">
        <f>Rooster!E97</f>
        <v/>
      </c>
      <c r="G95" s="319" t="str">
        <f>IFERROR(VLOOKUP(F95, Docenten!$A$2:$G$30, 7, FALSE), "0")</f>
        <v>0</v>
      </c>
      <c r="H95" s="320">
        <f t="shared" si="7"/>
        <v>0</v>
      </c>
      <c r="I95" s="327" t="str">
        <f>Rooster!H97</f>
        <v/>
      </c>
      <c r="J95" s="321" t="str">
        <f>IFERROR(VLOOKUP(I95, Locaties!$A$2:$G$15, 7, FALSE), "0")</f>
        <v>0</v>
      </c>
      <c r="K95" s="42">
        <f t="shared" si="2"/>
        <v>0</v>
      </c>
      <c r="L95" s="427" t="str">
        <f>September!L95</f>
        <v/>
      </c>
      <c r="M95" s="428" t="str">
        <f>September!M95</f>
        <v/>
      </c>
      <c r="N95" s="321" t="str">
        <f>IFERROR(VLOOKUP(M95, Tarieven!$A$1:$J$150, 10, FALSE), "0")</f>
        <v>0</v>
      </c>
      <c r="O95" s="429" t="str">
        <f>September!O95</f>
        <v/>
      </c>
      <c r="P95" s="430" t="str">
        <f>September!P95</f>
        <v/>
      </c>
      <c r="Q95" s="325" t="str">
        <f>IFERROR(VLOOKUP(P95, Tarieven!$A$2:$J$150, 10, FALSE), "0")</f>
        <v>0</v>
      </c>
      <c r="R95" s="431" t="str">
        <f>September!R95</f>
        <v/>
      </c>
      <c r="S95" s="430" t="str">
        <f>September!S95</f>
        <v/>
      </c>
      <c r="T95" s="325" t="str">
        <f>IFERROR(VLOOKUP(S95, Tarieven!$A$2:$J$150, 10, FALSE), "0")</f>
        <v>0</v>
      </c>
      <c r="U95" s="77" t="str">
        <f>September!U95</f>
        <v/>
      </c>
      <c r="V95" s="327" t="str">
        <f>September!V95</f>
        <v/>
      </c>
      <c r="W95" s="325" t="str">
        <f>IFERROR(VLOOKUP(V95, Tarieven!$A$2:$J$150, 10, FALSE), "0")</f>
        <v>0</v>
      </c>
      <c r="X95" s="138">
        <f>September!X96</f>
        <v>0</v>
      </c>
      <c r="Y95" s="398">
        <v>0.0</v>
      </c>
      <c r="Z95" s="329">
        <f t="shared" si="3"/>
        <v>0</v>
      </c>
      <c r="AA95" s="32">
        <f t="shared" si="4"/>
        <v>0</v>
      </c>
      <c r="AB95" s="32">
        <f t="shared" si="5"/>
        <v>0</v>
      </c>
      <c r="AC95" s="32">
        <f t="shared" si="6"/>
        <v>0</v>
      </c>
    </row>
    <row r="96" ht="22.5" customHeight="1">
      <c r="A96" s="331" t="str">
        <f>Rooster!A97</f>
        <v/>
      </c>
      <c r="B96" s="425" t="str">
        <f>Rooster!B97</f>
        <v/>
      </c>
      <c r="C96" s="426" t="str">
        <f>Rooster!C97</f>
        <v/>
      </c>
      <c r="D96" s="11" t="str">
        <f>Rooster!D97</f>
        <v/>
      </c>
      <c r="E96" s="77"/>
      <c r="F96" s="327" t="str">
        <f>Rooster!E98</f>
        <v/>
      </c>
      <c r="G96" s="319" t="str">
        <f>IFERROR(VLOOKUP(F96, Docenten!$A$2:$G$30, 7, FALSE), "0")</f>
        <v>0</v>
      </c>
      <c r="H96" s="320">
        <f t="shared" si="7"/>
        <v>0</v>
      </c>
      <c r="I96" s="327" t="str">
        <f>Rooster!H98</f>
        <v/>
      </c>
      <c r="J96" s="321" t="str">
        <f>IFERROR(VLOOKUP(I96, Locaties!$A$2:$G$15, 7, FALSE), "0")</f>
        <v>0</v>
      </c>
      <c r="K96" s="42">
        <f t="shared" si="2"/>
        <v>0</v>
      </c>
      <c r="L96" s="427" t="str">
        <f>September!L96</f>
        <v/>
      </c>
      <c r="M96" s="428" t="str">
        <f>September!M96</f>
        <v/>
      </c>
      <c r="N96" s="321" t="str">
        <f>IFERROR(VLOOKUP(M96, Tarieven!$A$1:$J$150, 10, FALSE), "0")</f>
        <v>0</v>
      </c>
      <c r="O96" s="429" t="str">
        <f>September!O96</f>
        <v/>
      </c>
      <c r="P96" s="430" t="str">
        <f>September!P96</f>
        <v/>
      </c>
      <c r="Q96" s="325" t="str">
        <f>IFERROR(VLOOKUP(P96, Tarieven!$A$2:$J$150, 10, FALSE), "0")</f>
        <v>0</v>
      </c>
      <c r="R96" s="431" t="str">
        <f>September!R96</f>
        <v/>
      </c>
      <c r="S96" s="430" t="str">
        <f>September!S96</f>
        <v/>
      </c>
      <c r="T96" s="325" t="str">
        <f>IFERROR(VLOOKUP(S96, Tarieven!$A$2:$J$150, 10, FALSE), "0")</f>
        <v>0</v>
      </c>
      <c r="U96" s="77" t="str">
        <f>September!U96</f>
        <v/>
      </c>
      <c r="V96" s="327" t="str">
        <f>September!V96</f>
        <v/>
      </c>
      <c r="W96" s="325" t="str">
        <f>IFERROR(VLOOKUP(V96, Tarieven!$A$2:$J$150, 10, FALSE), "0")</f>
        <v>0</v>
      </c>
      <c r="X96" s="138">
        <f>September!X97</f>
        <v>0</v>
      </c>
      <c r="Y96" s="398">
        <v>0.0</v>
      </c>
      <c r="Z96" s="329">
        <f t="shared" si="3"/>
        <v>0</v>
      </c>
      <c r="AA96" s="32">
        <f t="shared" si="4"/>
        <v>0</v>
      </c>
      <c r="AB96" s="32">
        <f t="shared" si="5"/>
        <v>0</v>
      </c>
      <c r="AC96" s="32">
        <f t="shared" si="6"/>
        <v>0</v>
      </c>
    </row>
    <row r="97" ht="22.5" customHeight="1">
      <c r="A97" s="331" t="str">
        <f>Rooster!A98</f>
        <v/>
      </c>
      <c r="B97" s="425" t="str">
        <f>Rooster!B98</f>
        <v/>
      </c>
      <c r="C97" s="426" t="str">
        <f>Rooster!C98</f>
        <v/>
      </c>
      <c r="D97" s="11" t="str">
        <f>Rooster!D98</f>
        <v/>
      </c>
      <c r="E97" s="77"/>
      <c r="F97" s="327" t="str">
        <f>Rooster!E99</f>
        <v/>
      </c>
      <c r="G97" s="319" t="str">
        <f>IFERROR(VLOOKUP(F97, Docenten!$A$2:$G$30, 7, FALSE), "0")</f>
        <v>0</v>
      </c>
      <c r="H97" s="320">
        <f t="shared" si="7"/>
        <v>0</v>
      </c>
      <c r="I97" s="327" t="str">
        <f>Rooster!H99</f>
        <v/>
      </c>
      <c r="J97" s="321" t="str">
        <f>IFERROR(VLOOKUP(I97, Locaties!$A$2:$G$15, 7, FALSE), "0")</f>
        <v>0</v>
      </c>
      <c r="K97" s="42">
        <f t="shared" si="2"/>
        <v>0</v>
      </c>
      <c r="L97" s="427" t="str">
        <f>September!L97</f>
        <v/>
      </c>
      <c r="M97" s="428" t="str">
        <f>September!M97</f>
        <v/>
      </c>
      <c r="N97" s="321" t="str">
        <f>IFERROR(VLOOKUP(M97, Tarieven!$A$1:$J$150, 10, FALSE), "0")</f>
        <v>0</v>
      </c>
      <c r="O97" s="429" t="str">
        <f>September!O97</f>
        <v/>
      </c>
      <c r="P97" s="430" t="str">
        <f>September!P97</f>
        <v/>
      </c>
      <c r="Q97" s="325" t="str">
        <f>IFERROR(VLOOKUP(P97, Tarieven!$A$2:$J$150, 10, FALSE), "0")</f>
        <v>0</v>
      </c>
      <c r="R97" s="431" t="str">
        <f>September!R97</f>
        <v/>
      </c>
      <c r="S97" s="430" t="str">
        <f>September!S97</f>
        <v/>
      </c>
      <c r="T97" s="325" t="str">
        <f>IFERROR(VLOOKUP(S97, Tarieven!$A$2:$J$150, 10, FALSE), "0")</f>
        <v>0</v>
      </c>
      <c r="U97" s="77" t="str">
        <f>September!U97</f>
        <v/>
      </c>
      <c r="V97" s="327" t="str">
        <f>September!V97</f>
        <v/>
      </c>
      <c r="W97" s="325" t="str">
        <f>IFERROR(VLOOKUP(V97, Tarieven!$A$2:$J$150, 10, FALSE), "0")</f>
        <v>0</v>
      </c>
      <c r="X97" s="138">
        <f>September!X98</f>
        <v>0</v>
      </c>
      <c r="Y97" s="398">
        <v>0.0</v>
      </c>
      <c r="Z97" s="329">
        <f t="shared" si="3"/>
        <v>0</v>
      </c>
      <c r="AA97" s="32">
        <f t="shared" si="4"/>
        <v>0</v>
      </c>
      <c r="AB97" s="32">
        <f t="shared" si="5"/>
        <v>0</v>
      </c>
      <c r="AC97" s="32">
        <f t="shared" si="6"/>
        <v>0</v>
      </c>
    </row>
    <row r="98" ht="22.5" customHeight="1">
      <c r="A98" s="331" t="str">
        <f>Rooster!A99</f>
        <v/>
      </c>
      <c r="B98" s="425" t="str">
        <f>Rooster!B99</f>
        <v/>
      </c>
      <c r="C98" s="426" t="str">
        <f>Rooster!C99</f>
        <v/>
      </c>
      <c r="D98" s="11" t="str">
        <f>Rooster!D99</f>
        <v/>
      </c>
      <c r="E98" s="77"/>
      <c r="F98" s="327" t="str">
        <f>Rooster!E100</f>
        <v/>
      </c>
      <c r="G98" s="319" t="str">
        <f>IFERROR(VLOOKUP(F98, Docenten!$A$2:$G$30, 7, FALSE), "0")</f>
        <v>0</v>
      </c>
      <c r="H98" s="320">
        <f t="shared" si="7"/>
        <v>0</v>
      </c>
      <c r="I98" s="327" t="str">
        <f>Rooster!H100</f>
        <v/>
      </c>
      <c r="J98" s="321" t="str">
        <f>IFERROR(VLOOKUP(I98, Locaties!$A$2:$G$15, 7, FALSE), "0")</f>
        <v>0</v>
      </c>
      <c r="K98" s="42">
        <f t="shared" si="2"/>
        <v>0</v>
      </c>
      <c r="L98" s="427" t="str">
        <f>September!L98</f>
        <v/>
      </c>
      <c r="M98" s="428" t="str">
        <f>September!M98</f>
        <v/>
      </c>
      <c r="N98" s="321" t="str">
        <f>IFERROR(VLOOKUP(M98, Tarieven!$A$1:$J$150, 10, FALSE), "0")</f>
        <v>0</v>
      </c>
      <c r="O98" s="429" t="str">
        <f>September!O98</f>
        <v/>
      </c>
      <c r="P98" s="430" t="str">
        <f>September!P98</f>
        <v/>
      </c>
      <c r="Q98" s="325" t="str">
        <f>IFERROR(VLOOKUP(P98, Tarieven!$A$2:$J$150, 10, FALSE), "0")</f>
        <v>0</v>
      </c>
      <c r="R98" s="431" t="str">
        <f>September!R98</f>
        <v/>
      </c>
      <c r="S98" s="430" t="str">
        <f>September!S98</f>
        <v/>
      </c>
      <c r="T98" s="325" t="str">
        <f>IFERROR(VLOOKUP(S98, Tarieven!$A$2:$J$150, 10, FALSE), "0")</f>
        <v>0</v>
      </c>
      <c r="U98" s="77" t="str">
        <f>September!U98</f>
        <v/>
      </c>
      <c r="V98" s="327" t="str">
        <f>September!V98</f>
        <v/>
      </c>
      <c r="W98" s="325" t="str">
        <f>IFERROR(VLOOKUP(V98, Tarieven!$A$2:$J$150, 10, FALSE), "0")</f>
        <v>0</v>
      </c>
      <c r="X98" s="138">
        <f>September!X99</f>
        <v>0</v>
      </c>
      <c r="Y98" s="398">
        <v>0.0</v>
      </c>
      <c r="Z98" s="329">
        <f t="shared" si="3"/>
        <v>0</v>
      </c>
      <c r="AA98" s="32">
        <f t="shared" si="4"/>
        <v>0</v>
      </c>
      <c r="AB98" s="32">
        <f t="shared" si="5"/>
        <v>0</v>
      </c>
      <c r="AC98" s="32">
        <f t="shared" si="6"/>
        <v>0</v>
      </c>
    </row>
    <row r="99" ht="22.5" customHeight="1">
      <c r="A99" s="331" t="str">
        <f>Rooster!A100</f>
        <v/>
      </c>
      <c r="B99" s="425" t="str">
        <f>Rooster!B100</f>
        <v/>
      </c>
      <c r="C99" s="426" t="str">
        <f>Rooster!C100</f>
        <v/>
      </c>
      <c r="D99" s="11" t="str">
        <f>Rooster!D100</f>
        <v/>
      </c>
      <c r="E99" s="77"/>
      <c r="F99" s="327" t="str">
        <f>Rooster!E101</f>
        <v/>
      </c>
      <c r="G99" s="319" t="str">
        <f>IFERROR(VLOOKUP(F99, Docenten!$A$2:$G$30, 7, FALSE), "0")</f>
        <v>0</v>
      </c>
      <c r="H99" s="320">
        <f t="shared" si="7"/>
        <v>0</v>
      </c>
      <c r="I99" s="327" t="str">
        <f>Rooster!H101</f>
        <v/>
      </c>
      <c r="J99" s="321" t="str">
        <f>IFERROR(VLOOKUP(I99, Locaties!$A$2:$G$15, 7, FALSE), "0")</f>
        <v>0</v>
      </c>
      <c r="K99" s="42">
        <f t="shared" si="2"/>
        <v>0</v>
      </c>
      <c r="L99" s="427" t="str">
        <f>September!L99</f>
        <v/>
      </c>
      <c r="M99" s="428" t="str">
        <f>September!M99</f>
        <v/>
      </c>
      <c r="N99" s="321" t="str">
        <f>IFERROR(VLOOKUP(M99, Tarieven!$A$1:$J$150, 10, FALSE), "0")</f>
        <v>0</v>
      </c>
      <c r="O99" s="429" t="str">
        <f>September!O99</f>
        <v/>
      </c>
      <c r="P99" s="430" t="str">
        <f>September!P99</f>
        <v/>
      </c>
      <c r="Q99" s="325" t="str">
        <f>IFERROR(VLOOKUP(P99, Tarieven!$A$2:$J$150, 10, FALSE), "0")</f>
        <v>0</v>
      </c>
      <c r="R99" s="431" t="str">
        <f>September!R99</f>
        <v/>
      </c>
      <c r="S99" s="430" t="str">
        <f>September!S99</f>
        <v/>
      </c>
      <c r="T99" s="325" t="str">
        <f>IFERROR(VLOOKUP(S99, Tarieven!$A$2:$J$150, 10, FALSE), "0")</f>
        <v>0</v>
      </c>
      <c r="U99" s="77" t="str">
        <f>September!U99</f>
        <v/>
      </c>
      <c r="V99" s="327" t="str">
        <f>September!V99</f>
        <v/>
      </c>
      <c r="W99" s="325" t="str">
        <f>IFERROR(VLOOKUP(V99, Tarieven!$A$2:$J$150, 10, FALSE), "0")</f>
        <v>0</v>
      </c>
      <c r="X99" s="138">
        <f>September!X100</f>
        <v>0</v>
      </c>
      <c r="Y99" s="398"/>
      <c r="Z99" s="329">
        <f t="shared" si="3"/>
        <v>0</v>
      </c>
      <c r="AA99" s="32">
        <f t="shared" si="4"/>
        <v>0</v>
      </c>
      <c r="AB99" s="32">
        <f t="shared" si="5"/>
        <v>0</v>
      </c>
      <c r="AC99" s="32">
        <f t="shared" si="6"/>
        <v>0</v>
      </c>
    </row>
    <row r="100" ht="22.5" customHeight="1">
      <c r="A100" s="331" t="str">
        <f>Rooster!A100</f>
        <v/>
      </c>
      <c r="B100" s="425" t="str">
        <f>Rooster!B100</f>
        <v/>
      </c>
      <c r="C100" s="426" t="str">
        <f>Rooster!C100</f>
        <v/>
      </c>
      <c r="D100" s="11" t="str">
        <f>Rooster!D100</f>
        <v/>
      </c>
      <c r="E100" s="77"/>
      <c r="F100" s="327" t="str">
        <f>Rooster!E101</f>
        <v/>
      </c>
      <c r="G100" s="319" t="str">
        <f>IFERROR(VLOOKUP(F100, Docenten!$A$2:$G$30, 7, FALSE), "0")</f>
        <v>0</v>
      </c>
      <c r="H100" s="320">
        <f t="shared" si="7"/>
        <v>0</v>
      </c>
      <c r="I100" s="327" t="str">
        <f>Rooster!H101</f>
        <v/>
      </c>
      <c r="J100" s="321" t="str">
        <f>IFERROR(VLOOKUP(I100, Locaties!$A$2:$G$15, 7, FALSE), "0")</f>
        <v>0</v>
      </c>
      <c r="K100" s="42">
        <f t="shared" si="2"/>
        <v>0</v>
      </c>
      <c r="L100" s="427" t="str">
        <f>September!L99</f>
        <v/>
      </c>
      <c r="M100" s="428" t="str">
        <f>September!M99</f>
        <v/>
      </c>
      <c r="N100" s="321" t="str">
        <f>IFERROR(VLOOKUP(M100, Tarieven!$A$1:$J$150, 10, FALSE), "0")</f>
        <v>0</v>
      </c>
      <c r="O100" s="429" t="str">
        <f>September!O99</f>
        <v/>
      </c>
      <c r="P100" s="430" t="str">
        <f>September!P99</f>
        <v/>
      </c>
      <c r="Q100" s="325" t="str">
        <f>IFERROR(VLOOKUP(P100, Tarieven!$A$2:$J$150, 10, FALSE), "0")</f>
        <v>0</v>
      </c>
      <c r="R100" s="431" t="str">
        <f>September!R99</f>
        <v/>
      </c>
      <c r="S100" s="430" t="str">
        <f>September!S99</f>
        <v/>
      </c>
      <c r="T100" s="325" t="str">
        <f>IFERROR(VLOOKUP(S100, Tarieven!$A$2:$J$150, 10, FALSE), "0")</f>
        <v>0</v>
      </c>
      <c r="U100" s="77" t="str">
        <f>September!U99</f>
        <v/>
      </c>
      <c r="V100" s="327" t="str">
        <f>September!V99</f>
        <v/>
      </c>
      <c r="W100" s="325" t="str">
        <f>IFERROR(VLOOKUP(V100, Tarieven!$A$2:$J$150, 10, FALSE), "0")</f>
        <v>0</v>
      </c>
      <c r="X100" s="138">
        <f>September!X100</f>
        <v>0</v>
      </c>
      <c r="Y100" s="398">
        <v>0.0</v>
      </c>
      <c r="Z100" s="329">
        <f t="shared" si="3"/>
        <v>0</v>
      </c>
      <c r="AA100" s="32">
        <f t="shared" si="4"/>
        <v>0</v>
      </c>
      <c r="AB100" s="32">
        <f t="shared" si="5"/>
        <v>0</v>
      </c>
      <c r="AC100" s="32">
        <f t="shared" si="6"/>
        <v>0</v>
      </c>
    </row>
    <row r="101" ht="22.5" customHeight="1">
      <c r="A101" s="331" t="str">
        <f>Rooster!A102</f>
        <v/>
      </c>
      <c r="B101" s="396" t="str">
        <f>Rooster!B102</f>
        <v/>
      </c>
      <c r="C101" s="15" t="str">
        <f>Rooster!C102</f>
        <v/>
      </c>
      <c r="D101" s="11" t="str">
        <f>Rooster!D102</f>
        <v/>
      </c>
      <c r="E101" s="426"/>
      <c r="F101" s="331" t="str">
        <f>Rooster!E102</f>
        <v/>
      </c>
      <c r="G101" s="319" t="str">
        <f>IFERROR(VLOOKUP(F101, Docenten!$A$2:$G$30, 7, FALSE), "0")</f>
        <v>0</v>
      </c>
      <c r="H101" s="320">
        <f t="shared" si="7"/>
        <v>0</v>
      </c>
      <c r="I101" s="331" t="str">
        <f>Rooster!H102</f>
        <v/>
      </c>
      <c r="J101" s="321" t="str">
        <f>IFERROR(VLOOKUP(I101, Locaties!$A$2:$G$15, 7, FALSE), "0")</f>
        <v>0</v>
      </c>
      <c r="K101" s="42">
        <f t="shared" si="2"/>
        <v>0</v>
      </c>
      <c r="L101" s="450">
        <f>SUM(L2:L100)</f>
        <v>97</v>
      </c>
      <c r="M101" s="451"/>
      <c r="N101" s="321" t="str">
        <f>IFERROR(VLOOKUP(M101, Tarieven!$A$1:$J$150, 10, FALSE), "0")</f>
        <v>0</v>
      </c>
      <c r="O101" s="450">
        <f>SUM(O2:O100)</f>
        <v>51</v>
      </c>
      <c r="P101" s="451"/>
      <c r="Q101" s="325" t="str">
        <f>IFERROR(VLOOKUP(P101, Tarieven!$A$2:$J$150, 10, FALSE), "0")</f>
        <v>0</v>
      </c>
      <c r="R101" s="452">
        <f>SUM(R2:R100)</f>
        <v>24</v>
      </c>
      <c r="S101" s="451"/>
      <c r="T101" s="325" t="str">
        <f>IFERROR(VLOOKUP(S101, Tarieven!$A$2:$J$150, 10, FALSE), "0")</f>
        <v>0</v>
      </c>
      <c r="U101" s="452">
        <f>SUM(U2:U100)</f>
        <v>3</v>
      </c>
      <c r="V101" s="85"/>
      <c r="W101" s="325" t="str">
        <f>IFERROR(VLOOKUP(V101, Tarieven!$A$2:$J$150, 10, FALSE), "0")</f>
        <v>0</v>
      </c>
      <c r="X101" s="413">
        <f>SUM(X2:X100)</f>
        <v>220</v>
      </c>
      <c r="Y101" s="398">
        <v>0.0</v>
      </c>
      <c r="Z101" s="329">
        <f t="shared" si="3"/>
        <v>395</v>
      </c>
      <c r="AA101" s="32">
        <f t="shared" si="4"/>
        <v>0</v>
      </c>
      <c r="AB101" s="32">
        <f t="shared" si="5"/>
        <v>0</v>
      </c>
      <c r="AC101" s="32">
        <f t="shared" si="6"/>
        <v>0</v>
      </c>
    </row>
  </sheetData>
  <conditionalFormatting sqref="AG6:AG7">
    <cfRule type="cellIs" dxfId="7" priority="1" operator="lessThan">
      <formula>0</formula>
    </cfRule>
  </conditionalFormatting>
  <conditionalFormatting sqref="AC2:AC101">
    <cfRule type="cellIs" dxfId="7" priority="2" operator="lessThan">
      <formula>0</formula>
    </cfRule>
  </conditionalFormatting>
  <dataValidations>
    <dataValidation type="list" allowBlank="1" sqref="A2:A101">
      <formula1>"Maandag,Dinsdag,Woensdag,Donderdag,Vrijdag,Zaterdag,Zondag"</formula1>
    </dataValidation>
    <dataValidation type="custom" allowBlank="1" showDropDown="1" sqref="B2:B101">
      <formula1>OR(TIMEVALUE(TEXT(B2, "hh:mm:ss"))=B2, AND(ISNUMBER(B2), LEFT(CELL("format", B2))="D"))</formula1>
    </dataValidation>
    <dataValidation type="custom" allowBlank="1" showDropDown="1" sqref="L2:L101 N2:N101 AA2:AB101">
      <formula1>AND(ISNUMBER(L2),(NOT(OR(NOT(ISERROR(DATEVALUE(L2))), AND(ISNUMBER(L2), LEFT(CELL("format", L2))="D")))))</formula1>
    </dataValidation>
    <dataValidation type="list" allowBlank="1" sqref="F2:F101 I2:I101 M2:M101 P2:P101 S2:S101 V2:V101">
      <formula1>#REF!</formula1>
    </dataValidation>
    <dataValidation allowBlank="1" showDropDown="1" sqref="D2:D101"/>
    <dataValidation type="custom" allowBlank="1" showDropDown="1" sqref="C2:C101 E2:E101 G2:H101 J2:K101 O2:O101 Q2:R101 T2:U101 W2:Z101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5.33"/>
    <col customWidth="1" min="2" max="2" width="13.67"/>
    <col customWidth="1" min="3" max="3" width="14.22"/>
    <col customWidth="1" min="4" max="4" width="22.0"/>
    <col customWidth="1" min="5" max="5" width="18.44"/>
    <col customWidth="1" min="6" max="6" width="15.11"/>
    <col customWidth="1" hidden="1" min="7" max="7" width="15.11"/>
    <col customWidth="1" min="8" max="9" width="15.11"/>
    <col customWidth="1" hidden="1" min="10" max="10" width="15.44"/>
    <col customWidth="1" min="11" max="11" width="15.44"/>
    <col customWidth="1" min="12" max="12" width="17.56"/>
    <col customWidth="1" min="13" max="13" width="20.0"/>
    <col customWidth="1" min="14" max="14" width="16.78"/>
    <col customWidth="1" min="15" max="15" width="17.56"/>
    <col customWidth="1" min="16" max="16" width="20.0"/>
    <col customWidth="1" min="17" max="17" width="14.78"/>
    <col customWidth="1" min="18" max="18" width="17.56"/>
    <col customWidth="1" min="19" max="19" width="20.0"/>
    <col customWidth="1" min="20" max="20" width="13.78"/>
    <col customWidth="1" min="21" max="21" width="16.67"/>
    <col customWidth="1" min="22" max="22" width="18.56"/>
    <col customWidth="1" min="23" max="23" width="13.78"/>
    <col customWidth="1" min="24" max="24" width="23.11"/>
    <col customWidth="1" min="25" max="25" width="20.56"/>
    <col customWidth="1" min="26" max="26" width="18.0"/>
    <col customWidth="1" min="27" max="27" width="16.33"/>
    <col customWidth="1" min="28" max="28" width="19.22"/>
    <col customWidth="1" min="29" max="30" width="16.89"/>
    <col customWidth="1" min="31" max="31" width="16.78"/>
    <col customWidth="1" min="32" max="32" width="16.89"/>
    <col customWidth="1" min="33" max="34" width="17.0"/>
  </cols>
  <sheetData>
    <row r="1" ht="22.5" customHeight="1">
      <c r="A1" s="1" t="s">
        <v>94</v>
      </c>
      <c r="B1" s="1" t="s">
        <v>95</v>
      </c>
      <c r="C1" s="1" t="s">
        <v>273</v>
      </c>
      <c r="D1" s="1" t="s">
        <v>98</v>
      </c>
      <c r="E1" s="302" t="s">
        <v>274</v>
      </c>
      <c r="F1" s="302" t="s">
        <v>99</v>
      </c>
      <c r="G1" s="303" t="s">
        <v>100</v>
      </c>
      <c r="H1" s="303" t="s">
        <v>275</v>
      </c>
      <c r="I1" s="304" t="s">
        <v>102</v>
      </c>
      <c r="J1" s="304" t="s">
        <v>103</v>
      </c>
      <c r="K1" s="304" t="s">
        <v>104</v>
      </c>
      <c r="L1" s="422" t="s">
        <v>276</v>
      </c>
      <c r="M1" s="422" t="s">
        <v>298</v>
      </c>
      <c r="N1" s="306" t="s">
        <v>278</v>
      </c>
      <c r="O1" s="423" t="s">
        <v>279</v>
      </c>
      <c r="P1" s="392" t="s">
        <v>300</v>
      </c>
      <c r="Q1" s="308" t="s">
        <v>281</v>
      </c>
      <c r="R1" s="424" t="s">
        <v>282</v>
      </c>
      <c r="S1" s="424" t="s">
        <v>302</v>
      </c>
      <c r="T1" s="310" t="s">
        <v>284</v>
      </c>
      <c r="U1" s="393" t="s">
        <v>285</v>
      </c>
      <c r="V1" s="393" t="s">
        <v>304</v>
      </c>
      <c r="W1" s="311" t="s">
        <v>305</v>
      </c>
      <c r="X1" s="394" t="s">
        <v>306</v>
      </c>
      <c r="Y1" s="395" t="s">
        <v>307</v>
      </c>
      <c r="Z1" s="314" t="s">
        <v>294</v>
      </c>
      <c r="AA1" s="314" t="s">
        <v>295</v>
      </c>
      <c r="AB1" s="1" t="s">
        <v>308</v>
      </c>
      <c r="AC1" s="1" t="s">
        <v>297</v>
      </c>
    </row>
    <row r="2" ht="22.5" customHeight="1">
      <c r="A2" s="331" t="str">
        <f>Rooster!A3</f>
        <v/>
      </c>
      <c r="B2" s="425" t="str">
        <f>Rooster!B3</f>
        <v/>
      </c>
      <c r="C2" s="426" t="str">
        <f>Rooster!C3</f>
        <v/>
      </c>
      <c r="D2" s="11" t="str">
        <f>Rooster!D3</f>
        <v/>
      </c>
      <c r="E2" s="77"/>
      <c r="F2" s="327" t="str">
        <f>Rooster!E3</f>
        <v/>
      </c>
      <c r="G2" s="319" t="str">
        <f>IFERROR(VLOOKUP(F2, Docenten!$A$2:$G$30, 7, FALSE), "0")</f>
        <v>0</v>
      </c>
      <c r="H2" s="320">
        <f t="shared" ref="H2:H41" si="1">SUM(G2/60)*C2</f>
        <v>0</v>
      </c>
      <c r="I2" s="327" t="str">
        <f>Rooster!H3</f>
        <v/>
      </c>
      <c r="J2" s="321" t="str">
        <f>IFERROR(VLOOKUP(I2, Locaties!$A$2:$G$15, 7, FALSE), "0")</f>
        <v>0</v>
      </c>
      <c r="K2" s="42">
        <f t="shared" ref="K2:K100" si="2">SUM(J2/60)*C2</f>
        <v>0</v>
      </c>
      <c r="L2" s="427" t="str">
        <f>Oktober!L2</f>
        <v/>
      </c>
      <c r="M2" s="428" t="str">
        <f>Oktober!M2</f>
        <v/>
      </c>
      <c r="N2" s="321" t="str">
        <f>IFERROR(VLOOKUP(M2, Tarieven!$A$1:$J$150, 10, FALSE), "0")</f>
        <v>0</v>
      </c>
      <c r="O2" s="429" t="str">
        <f>Oktober!O2</f>
        <v/>
      </c>
      <c r="P2" s="430" t="str">
        <f>Oktober!P2</f>
        <v/>
      </c>
      <c r="Q2" s="321" t="str">
        <f>IFERROR(VLOOKUP(P2, Tarieven!$A$1:$J$150, 10, FALSE), "0")</f>
        <v>0</v>
      </c>
      <c r="R2" s="431" t="str">
        <f>Oktober!R2</f>
        <v/>
      </c>
      <c r="S2" s="430" t="str">
        <f>Oktober!S2</f>
        <v/>
      </c>
      <c r="T2" s="325" t="str">
        <f>IFERROR(VLOOKUP(S2, Tarieven!$A$2:$J$150, 10, FALSE), "0")</f>
        <v>0</v>
      </c>
      <c r="U2" s="77" t="str">
        <f>Oktober!U2</f>
        <v/>
      </c>
      <c r="V2" s="327" t="str">
        <f>Oktober!V2</f>
        <v/>
      </c>
      <c r="W2" s="325" t="str">
        <f>IFERROR(VLOOKUP(V2, Tarieven!$A$2:$J$150, 10, FALSE), "0")</f>
        <v>0</v>
      </c>
      <c r="X2" s="138">
        <f>Oktober!X2</f>
        <v>0</v>
      </c>
      <c r="Y2" s="398">
        <v>0.0</v>
      </c>
      <c r="Z2" s="329">
        <f t="shared" ref="Z2:Z99" si="3">SUM(L2+O2+R2+U2+X2)</f>
        <v>0</v>
      </c>
      <c r="AA2" s="32">
        <f t="shared" ref="AA2:AA100" si="4">SUM(H2+K2)*E2</f>
        <v>0</v>
      </c>
      <c r="AB2" s="32">
        <f t="shared" ref="AB2:AB100" si="5">SUM((L2*N2)+(O2*Q2)+(R2*T2)+(U2*W2)+Y2)</f>
        <v>0</v>
      </c>
      <c r="AC2" s="32">
        <f t="shared" ref="AC2:AC100" si="6">SUM(AB2-AA2)</f>
        <v>0</v>
      </c>
      <c r="AE2" s="154" t="s">
        <v>309</v>
      </c>
      <c r="AF2" s="154" t="s">
        <v>310</v>
      </c>
      <c r="AG2" s="109" t="s">
        <v>311</v>
      </c>
    </row>
    <row r="3" ht="22.5" customHeight="1">
      <c r="A3" s="331" t="str">
        <f>Rooster!A4</f>
        <v/>
      </c>
      <c r="B3" s="425" t="str">
        <f>Rooster!B4</f>
        <v/>
      </c>
      <c r="C3" s="426" t="str">
        <f>Rooster!C4</f>
        <v/>
      </c>
      <c r="D3" s="11" t="str">
        <f>Rooster!D4</f>
        <v/>
      </c>
      <c r="E3" s="77"/>
      <c r="F3" s="327" t="str">
        <f>Rooster!E4</f>
        <v/>
      </c>
      <c r="G3" s="319" t="str">
        <f>IFERROR(VLOOKUP(F3, Docenten!$A$2:$G$30, 7, FALSE), "0")</f>
        <v>0</v>
      </c>
      <c r="H3" s="320">
        <f t="shared" si="1"/>
        <v>0</v>
      </c>
      <c r="I3" s="327" t="str">
        <f>Rooster!H4</f>
        <v/>
      </c>
      <c r="J3" s="321" t="str">
        <f>IFERROR(VLOOKUP(I3, Locaties!$A$2:$G$15, 7, FALSE), "0")</f>
        <v>0</v>
      </c>
      <c r="K3" s="42">
        <f t="shared" si="2"/>
        <v>0</v>
      </c>
      <c r="L3" s="427" t="str">
        <f>Oktober!L3</f>
        <v/>
      </c>
      <c r="M3" s="428" t="str">
        <f>Oktober!M3</f>
        <v/>
      </c>
      <c r="N3" s="321" t="str">
        <f>IFERROR(VLOOKUP(M3, Tarieven!$A$1:$J$150, 10, FALSE), "0")</f>
        <v>0</v>
      </c>
      <c r="O3" s="429" t="str">
        <f>Oktober!O3</f>
        <v/>
      </c>
      <c r="P3" s="430" t="str">
        <f>Oktober!P3</f>
        <v/>
      </c>
      <c r="Q3" s="321" t="str">
        <f>IFERROR(VLOOKUP(P3, Tarieven!$A$1:$J$150, 10, FALSE), "0")</f>
        <v>0</v>
      </c>
      <c r="R3" s="431" t="str">
        <f>Oktober!R3</f>
        <v/>
      </c>
      <c r="S3" s="430" t="str">
        <f>Oktober!S3</f>
        <v/>
      </c>
      <c r="T3" s="325" t="str">
        <f>IFERROR(VLOOKUP(S3, Tarieven!$A$2:$J$150, 10, FALSE), "0")</f>
        <v>0</v>
      </c>
      <c r="U3" s="77" t="str">
        <f>Oktober!U3</f>
        <v/>
      </c>
      <c r="V3" s="327" t="str">
        <f>Oktober!V3</f>
        <v/>
      </c>
      <c r="W3" s="325" t="str">
        <f>IFERROR(VLOOKUP(V3, Tarieven!$A$2:$J$150, 10, FALSE), "0")</f>
        <v>0</v>
      </c>
      <c r="X3" s="138">
        <f>Oktober!X3</f>
        <v>0</v>
      </c>
      <c r="Y3" s="398">
        <v>0.0</v>
      </c>
      <c r="Z3" s="329">
        <f t="shared" si="3"/>
        <v>0</v>
      </c>
      <c r="AA3" s="32">
        <f t="shared" si="4"/>
        <v>0</v>
      </c>
      <c r="AB3" s="32">
        <f t="shared" si="5"/>
        <v>0</v>
      </c>
      <c r="AC3" s="32">
        <f t="shared" si="6"/>
        <v>0</v>
      </c>
      <c r="AD3" s="130"/>
      <c r="AE3" s="159" t="s">
        <v>312</v>
      </c>
      <c r="AF3" s="32">
        <f>SUM(AB2:AB100)</f>
        <v>6193.353667</v>
      </c>
      <c r="AG3" s="160"/>
    </row>
    <row r="4" ht="22.5" customHeight="1">
      <c r="A4" s="331" t="str">
        <f>Rooster!A5</f>
        <v>Maandag</v>
      </c>
      <c r="B4" s="425">
        <f>Rooster!B5</f>
        <v>0.625</v>
      </c>
      <c r="C4" s="426">
        <f>Rooster!C5</f>
        <v>60</v>
      </c>
      <c r="D4" s="11" t="str">
        <f>Rooster!D5</f>
        <v>Kleuterdans</v>
      </c>
      <c r="E4" s="77"/>
      <c r="F4" s="327"/>
      <c r="G4" s="319" t="str">
        <f>IFERROR(VLOOKUP(F4, Docenten!$A$2:$G$30, 7, FALSE), "0")</f>
        <v>0</v>
      </c>
      <c r="H4" s="320">
        <f t="shared" si="1"/>
        <v>0</v>
      </c>
      <c r="I4" s="327"/>
      <c r="J4" s="321" t="str">
        <f>IFERROR(VLOOKUP(I4, Locaties!$A$2:$G$15, 7, FALSE), "0")</f>
        <v>0</v>
      </c>
      <c r="K4" s="42">
        <f t="shared" si="2"/>
        <v>0</v>
      </c>
      <c r="L4" s="427" t="str">
        <f>Oktober!L4</f>
        <v/>
      </c>
      <c r="M4" s="428" t="str">
        <f>Oktober!M4</f>
        <v/>
      </c>
      <c r="N4" s="321" t="str">
        <f>IFERROR(VLOOKUP(M4, Tarieven!$A$1:$J$150, 10, FALSE), "0")</f>
        <v>0</v>
      </c>
      <c r="O4" s="429" t="str">
        <f>Oktober!O4</f>
        <v/>
      </c>
      <c r="P4" s="430" t="str">
        <f>Oktober!P4</f>
        <v/>
      </c>
      <c r="Q4" s="321" t="str">
        <f>IFERROR(VLOOKUP(P4, Tarieven!$A$1:$J$150, 10, FALSE), "0")</f>
        <v>0</v>
      </c>
      <c r="R4" s="431" t="str">
        <f>Oktober!R4</f>
        <v/>
      </c>
      <c r="S4" s="430" t="str">
        <f>Oktober!S4</f>
        <v/>
      </c>
      <c r="T4" s="325" t="str">
        <f>IFERROR(VLOOKUP(S4, Tarieven!$A$2:$J$150, 10, FALSE), "0")</f>
        <v>0</v>
      </c>
      <c r="U4" s="77" t="str">
        <f>Oktober!U4</f>
        <v/>
      </c>
      <c r="V4" s="327" t="str">
        <f>Oktober!V4</f>
        <v/>
      </c>
      <c r="W4" s="325" t="str">
        <f>IFERROR(VLOOKUP(V4, Tarieven!$A$2:$J$150, 10, FALSE), "0")</f>
        <v>0</v>
      </c>
      <c r="X4" s="138">
        <f>Oktober!X4</f>
        <v>0</v>
      </c>
      <c r="Y4" s="398">
        <v>0.0</v>
      </c>
      <c r="Z4" s="329">
        <f t="shared" si="3"/>
        <v>0</v>
      </c>
      <c r="AA4" s="32">
        <f t="shared" si="4"/>
        <v>0</v>
      </c>
      <c r="AB4" s="32">
        <f t="shared" si="5"/>
        <v>0</v>
      </c>
      <c r="AC4" s="32">
        <f t="shared" si="6"/>
        <v>0</v>
      </c>
      <c r="AD4" s="130"/>
      <c r="AE4" s="159" t="s">
        <v>313</v>
      </c>
      <c r="AF4" s="32">
        <f>'Extra activiteiten'!K5</f>
        <v>1206</v>
      </c>
      <c r="AG4" s="159"/>
    </row>
    <row r="5" ht="22.5" customHeight="1">
      <c r="A5" s="331" t="str">
        <f>Rooster!A6</f>
        <v>Maandag</v>
      </c>
      <c r="B5" s="425">
        <f>Rooster!B6</f>
        <v>0.625</v>
      </c>
      <c r="C5" s="426">
        <f>Rooster!C6</f>
        <v>60</v>
      </c>
      <c r="D5" s="11" t="str">
        <f>Rooster!D6</f>
        <v>Streetdance 6+</v>
      </c>
      <c r="E5" s="77"/>
      <c r="F5" s="327"/>
      <c r="G5" s="319" t="str">
        <f>IFERROR(VLOOKUP(F5, Docenten!$A$2:$G$30, 7, FALSE), "0")</f>
        <v>0</v>
      </c>
      <c r="H5" s="320">
        <f t="shared" si="1"/>
        <v>0</v>
      </c>
      <c r="I5" s="327"/>
      <c r="J5" s="321" t="str">
        <f>IFERROR(VLOOKUP(I5, Locaties!$A$2:$G$15, 7, FALSE), "0")</f>
        <v>0</v>
      </c>
      <c r="K5" s="42">
        <f t="shared" si="2"/>
        <v>0</v>
      </c>
      <c r="L5" s="427"/>
      <c r="M5" s="428"/>
      <c r="N5" s="321" t="str">
        <f>IFERROR(VLOOKUP(M5, Tarieven!$A$1:$J$150, 10, FALSE), "0")</f>
        <v>0</v>
      </c>
      <c r="O5" s="429" t="str">
        <f>Oktober!O5</f>
        <v/>
      </c>
      <c r="P5" s="430" t="str">
        <f>Oktober!P5</f>
        <v/>
      </c>
      <c r="Q5" s="321" t="str">
        <f>IFERROR(VLOOKUP(P5, Tarieven!$A$1:$J$150, 10, FALSE), "0")</f>
        <v>0</v>
      </c>
      <c r="R5" s="431" t="str">
        <f>Oktober!R5</f>
        <v/>
      </c>
      <c r="S5" s="430" t="str">
        <f>Oktober!S5</f>
        <v/>
      </c>
      <c r="T5" s="325"/>
      <c r="U5" s="77" t="str">
        <f>Oktober!U5</f>
        <v/>
      </c>
      <c r="V5" s="327" t="str">
        <f>Oktober!V5</f>
        <v/>
      </c>
      <c r="W5" s="325" t="str">
        <f>IFERROR(VLOOKUP(V5, Tarieven!$A$2:$J$150, 10, FALSE), "0")</f>
        <v>0</v>
      </c>
      <c r="X5" s="138">
        <f>Oktober!X5</f>
        <v>0</v>
      </c>
      <c r="Y5" s="398">
        <v>0.0</v>
      </c>
      <c r="Z5" s="329">
        <f t="shared" si="3"/>
        <v>0</v>
      </c>
      <c r="AA5" s="32">
        <f t="shared" si="4"/>
        <v>0</v>
      </c>
      <c r="AB5" s="32">
        <f t="shared" si="5"/>
        <v>0</v>
      </c>
      <c r="AC5" s="32">
        <f t="shared" si="6"/>
        <v>0</v>
      </c>
      <c r="AE5" s="159" t="s">
        <v>314</v>
      </c>
      <c r="AF5" s="32">
        <f>SUM(November[Kosten per maand])</f>
        <v>3971</v>
      </c>
      <c r="AG5" s="159"/>
    </row>
    <row r="6" ht="22.5" customHeight="1">
      <c r="A6" s="331" t="str">
        <f>Rooster!A7</f>
        <v>Maandag</v>
      </c>
      <c r="B6" s="396">
        <f>Rooster!B7</f>
        <v>0.6666666667</v>
      </c>
      <c r="C6" s="15">
        <f>Rooster!C7</f>
        <v>60</v>
      </c>
      <c r="D6" s="11" t="str">
        <f>Rooster!D7</f>
        <v>Urban-Pop-Show 10+</v>
      </c>
      <c r="E6" s="77">
        <v>4.0</v>
      </c>
      <c r="F6" s="327" t="str">
        <f>Rooster!E7</f>
        <v>Lotte</v>
      </c>
      <c r="G6" s="319">
        <f>IFERROR(VLOOKUP(F6, Docenten!$A$2:$G$30, 7, FALSE), "0")</f>
        <v>22.5</v>
      </c>
      <c r="H6" s="320">
        <f t="shared" si="1"/>
        <v>22.5</v>
      </c>
      <c r="I6" s="327" t="str">
        <f>Rooster!H7</f>
        <v>Santpoort Zuid</v>
      </c>
      <c r="J6" s="321">
        <f>IFERROR(VLOOKUP(I6, Locaties!$A$2:$G$15, 7, FALSE), "0")</f>
        <v>18.9</v>
      </c>
      <c r="K6" s="42">
        <f t="shared" si="2"/>
        <v>18.9</v>
      </c>
      <c r="L6" s="427">
        <f>Oktober!L5</f>
        <v>2</v>
      </c>
      <c r="M6" s="439" t="s">
        <v>54</v>
      </c>
      <c r="N6" s="321">
        <f>IFERROR(VLOOKUP(M6, Tarieven!$A$1:$J$150, 10, FALSE), "0")</f>
        <v>31</v>
      </c>
      <c r="O6" s="437">
        <v>1.0</v>
      </c>
      <c r="P6" s="438" t="s">
        <v>87</v>
      </c>
      <c r="Q6" s="321">
        <f>IFERROR(VLOOKUP(P6, Tarieven!$A$1:$J$150, 10, FALSE), "0")</f>
        <v>32.25</v>
      </c>
      <c r="R6" s="431">
        <f>Oktober!R6</f>
        <v>1</v>
      </c>
      <c r="S6" s="438" t="s">
        <v>62</v>
      </c>
      <c r="T6" s="325">
        <f>IFERROR(VLOOKUP(S6, Tarieven!$A$2:$J$150, 10, FALSE), "0")</f>
        <v>28.55</v>
      </c>
      <c r="U6" s="77" t="str">
        <f>Oktober!U6</f>
        <v/>
      </c>
      <c r="V6" s="327" t="str">
        <f>Oktober!V6</f>
        <v/>
      </c>
      <c r="W6" s="325" t="str">
        <f>IFERROR(VLOOKUP(V6, Tarieven!$A$2:$J$150, 10, FALSE), "0")</f>
        <v>0</v>
      </c>
      <c r="X6" s="138">
        <f>Oktober!X6</f>
        <v>4</v>
      </c>
      <c r="Y6" s="398">
        <v>0.0</v>
      </c>
      <c r="Z6" s="329">
        <f t="shared" si="3"/>
        <v>8</v>
      </c>
      <c r="AA6" s="32">
        <f t="shared" si="4"/>
        <v>165.6</v>
      </c>
      <c r="AB6" s="32">
        <f t="shared" si="5"/>
        <v>122.8</v>
      </c>
      <c r="AC6" s="32">
        <f t="shared" si="6"/>
        <v>-42.8</v>
      </c>
      <c r="AD6" s="130"/>
      <c r="AE6" s="159" t="s">
        <v>315</v>
      </c>
      <c r="AF6" s="408">
        <f>Kosten!E69</f>
        <v>3188.92</v>
      </c>
      <c r="AG6" s="159" t="s">
        <v>316</v>
      </c>
    </row>
    <row r="7" ht="22.5" customHeight="1">
      <c r="A7" s="331" t="str">
        <f>Rooster!A8</f>
        <v>Maandag</v>
      </c>
      <c r="B7" s="396">
        <f>Rooster!B8</f>
        <v>0.7083333333</v>
      </c>
      <c r="C7" s="15">
        <f>Rooster!C8</f>
        <v>60</v>
      </c>
      <c r="D7" s="11" t="str">
        <f>Rooster!D8</f>
        <v>Urban-Pop-Show 12+</v>
      </c>
      <c r="E7" s="77">
        <v>4.0</v>
      </c>
      <c r="F7" s="327" t="str">
        <f>Rooster!E8</f>
        <v>Nova</v>
      </c>
      <c r="G7" s="319">
        <f>IFERROR(VLOOKUP(F7, Docenten!$A$2:$G$30, 7, FALSE), "0")</f>
        <v>22.5</v>
      </c>
      <c r="H7" s="320">
        <f t="shared" si="1"/>
        <v>22.5</v>
      </c>
      <c r="I7" s="327" t="str">
        <f>Rooster!H8</f>
        <v>Santpoort Zuid</v>
      </c>
      <c r="J7" s="321">
        <f>IFERROR(VLOOKUP(I7, Locaties!$A$2:$G$15, 7, FALSE), "0")</f>
        <v>18.9</v>
      </c>
      <c r="K7" s="42">
        <f t="shared" si="2"/>
        <v>18.9</v>
      </c>
      <c r="L7" s="440">
        <v>3.0</v>
      </c>
      <c r="M7" s="428" t="str">
        <f>Oktober!M6</f>
        <v>2x per week abbo</v>
      </c>
      <c r="N7" s="321">
        <f>IFERROR(VLOOKUP(M7, Tarieven!$A$1:$J$150, 10, FALSE), "0")</f>
        <v>28.55</v>
      </c>
      <c r="O7" s="429"/>
      <c r="P7" s="430"/>
      <c r="Q7" s="325" t="str">
        <f>IFERROR(VLOOKUP(P7, Tarieven!$A$2:$J$150, 10, FALSE), "0")</f>
        <v>0</v>
      </c>
      <c r="R7" s="431">
        <f>Oktober!R6</f>
        <v>1</v>
      </c>
      <c r="S7" s="438" t="s">
        <v>87</v>
      </c>
      <c r="T7" s="325">
        <f>IFERROR(VLOOKUP(S7, Tarieven!$A$2:$J$150, 10, FALSE), "0")</f>
        <v>32.25</v>
      </c>
      <c r="U7" s="77" t="str">
        <f>Oktober!U7</f>
        <v/>
      </c>
      <c r="V7" s="327" t="str">
        <f>Oktober!V7</f>
        <v/>
      </c>
      <c r="W7" s="325" t="str">
        <f>IFERROR(VLOOKUP(V7, Tarieven!$A$2:$J$150, 10, FALSE), "0")</f>
        <v>0</v>
      </c>
      <c r="X7" s="138">
        <f>Oktober!X7</f>
        <v>11</v>
      </c>
      <c r="Y7" s="398">
        <v>0.0</v>
      </c>
      <c r="Z7" s="329">
        <f t="shared" si="3"/>
        <v>15</v>
      </c>
      <c r="AA7" s="32">
        <f t="shared" si="4"/>
        <v>165.6</v>
      </c>
      <c r="AB7" s="32">
        <f t="shared" si="5"/>
        <v>117.9</v>
      </c>
      <c r="AC7" s="32">
        <f t="shared" si="6"/>
        <v>-47.7</v>
      </c>
      <c r="AD7" s="409"/>
      <c r="AE7" s="410" t="s">
        <v>317</v>
      </c>
      <c r="AF7" s="411">
        <f>SUM(AF3+AF4)-AF5-AF6</f>
        <v>239.4336667</v>
      </c>
      <c r="AG7" s="412">
        <f>'Doel vs Werkelijkheid'!B2</f>
        <v>3000</v>
      </c>
    </row>
    <row r="8" ht="22.5" customHeight="1">
      <c r="A8" s="331" t="str">
        <f>Rooster!A9</f>
        <v>Maandag</v>
      </c>
      <c r="B8" s="396">
        <f>Rooster!B9</f>
        <v>0.75</v>
      </c>
      <c r="C8" s="15">
        <f>Rooster!C9</f>
        <v>60</v>
      </c>
      <c r="D8" s="11" t="str">
        <f>Rooster!D9</f>
        <v>Selectie Show</v>
      </c>
      <c r="E8" s="77">
        <v>4.0</v>
      </c>
      <c r="F8" s="327" t="str">
        <f>Rooster!E9</f>
        <v>Nova</v>
      </c>
      <c r="G8" s="319">
        <f>IFERROR(VLOOKUP(F8, Docenten!$A$2:$G$30, 7, FALSE), "0")</f>
        <v>22.5</v>
      </c>
      <c r="H8" s="320">
        <f t="shared" si="1"/>
        <v>22.5</v>
      </c>
      <c r="I8" s="327" t="str">
        <f>Rooster!H9</f>
        <v>Santpoort Zuid</v>
      </c>
      <c r="J8" s="321">
        <f>IFERROR(VLOOKUP(I8, Locaties!$A$2:$G$15, 7, FALSE), "0")</f>
        <v>18.9</v>
      </c>
      <c r="K8" s="42">
        <f t="shared" si="2"/>
        <v>18.9</v>
      </c>
      <c r="L8" s="427"/>
      <c r="M8" s="428"/>
      <c r="N8" s="321" t="str">
        <f>IFERROR(VLOOKUP(M8, Tarieven!$A$1:$J$150, 10, FALSE), "0")</f>
        <v>0</v>
      </c>
      <c r="O8" s="437">
        <v>3.0</v>
      </c>
      <c r="P8" s="430" t="str">
        <f>Oktober!P7</f>
        <v>2x per week abbo</v>
      </c>
      <c r="Q8" s="325">
        <f>IFERROR(VLOOKUP(P8, Tarieven!$A$2:$J$150, 10, FALSE), "0")</f>
        <v>28.55</v>
      </c>
      <c r="R8" s="441">
        <v>2.0</v>
      </c>
      <c r="S8" s="438" t="s">
        <v>71</v>
      </c>
      <c r="T8" s="325">
        <f>IFERROR(VLOOKUP(S8, Tarieven!$A$2:$J$150, 10, FALSE), "0")</f>
        <v>28.93333333</v>
      </c>
      <c r="U8" s="77">
        <v>3.0</v>
      </c>
      <c r="V8" s="70" t="s">
        <v>78</v>
      </c>
      <c r="W8" s="325">
        <f>IFERROR(VLOOKUP(V8, Tarieven!$A$2:$J$150, 10, FALSE), "0")</f>
        <v>27</v>
      </c>
      <c r="X8" s="138">
        <f>Oktober!X8</f>
        <v>4</v>
      </c>
      <c r="Y8" s="398">
        <v>0.0</v>
      </c>
      <c r="Z8" s="329">
        <f t="shared" si="3"/>
        <v>12</v>
      </c>
      <c r="AA8" s="32">
        <f t="shared" si="4"/>
        <v>165.6</v>
      </c>
      <c r="AB8" s="32">
        <f t="shared" si="5"/>
        <v>224.5166667</v>
      </c>
      <c r="AC8" s="32">
        <f t="shared" si="6"/>
        <v>58.91666667</v>
      </c>
      <c r="AE8" s="160"/>
      <c r="AF8" s="160"/>
      <c r="AG8" s="160"/>
    </row>
    <row r="9" ht="22.5" customHeight="1">
      <c r="A9" s="331" t="str">
        <f>Rooster!A10</f>
        <v>Maandag</v>
      </c>
      <c r="B9" s="396">
        <f>Rooster!B10</f>
        <v>0.7916666667</v>
      </c>
      <c r="C9" s="15">
        <f>Rooster!C10</f>
        <v>60</v>
      </c>
      <c r="D9" s="11" t="str">
        <f>Rooster!D10</f>
        <v>Commercial 16+</v>
      </c>
      <c r="E9" s="77">
        <v>4.0</v>
      </c>
      <c r="F9" s="327" t="str">
        <f>Rooster!E10</f>
        <v>Nova</v>
      </c>
      <c r="G9" s="319">
        <f>IFERROR(VLOOKUP(F9, Docenten!$A$2:$G$30, 7, FALSE), "0")</f>
        <v>22.5</v>
      </c>
      <c r="H9" s="320">
        <f t="shared" si="1"/>
        <v>22.5</v>
      </c>
      <c r="I9" s="327" t="str">
        <f>Rooster!H10</f>
        <v>Santpoort Zuid</v>
      </c>
      <c r="J9" s="321">
        <f>IFERROR(VLOOKUP(I9, Locaties!$A$2:$G$15, 7, FALSE), "0")</f>
        <v>18.9</v>
      </c>
      <c r="K9" s="42">
        <f t="shared" si="2"/>
        <v>18.9</v>
      </c>
      <c r="L9" s="427">
        <f>Oktober!L8</f>
        <v>2</v>
      </c>
      <c r="M9" s="428" t="str">
        <f>Oktober!M8</f>
        <v>3x per week abbo</v>
      </c>
      <c r="N9" s="321">
        <f>IFERROR(VLOOKUP(M9, Tarieven!$A$1:$J$150, 10, FALSE), "0")</f>
        <v>28.93333333</v>
      </c>
      <c r="O9" s="429">
        <f>Oktober!O8</f>
        <v>3</v>
      </c>
      <c r="P9" s="430" t="str">
        <f>Oktober!P8</f>
        <v>2x per week abbo</v>
      </c>
      <c r="Q9" s="325">
        <f>IFERROR(VLOOKUP(P9, Tarieven!$A$2:$J$150, 10, FALSE), "0")</f>
        <v>28.55</v>
      </c>
      <c r="R9" s="431">
        <f>Oktober!R8</f>
        <v>2</v>
      </c>
      <c r="S9" s="430" t="str">
        <f>Oktober!S8</f>
        <v>Onbeperkt abbo</v>
      </c>
      <c r="T9" s="325">
        <f>IFERROR(VLOOKUP(S9, Tarieven!$A$2:$J$150, 10, FALSE), "0")</f>
        <v>27</v>
      </c>
      <c r="U9" s="77">
        <v>1.0</v>
      </c>
      <c r="V9" s="70" t="s">
        <v>54</v>
      </c>
      <c r="W9" s="325">
        <f>IFERROR(VLOOKUP(V9, Tarieven!$A$2:$J$150, 10, FALSE), "0")</f>
        <v>31</v>
      </c>
      <c r="X9" s="138">
        <f>Oktober!X9</f>
        <v>5</v>
      </c>
      <c r="Y9" s="398">
        <v>0.0</v>
      </c>
      <c r="Z9" s="329">
        <f t="shared" si="3"/>
        <v>13</v>
      </c>
      <c r="AA9" s="32">
        <f t="shared" si="4"/>
        <v>165.6</v>
      </c>
      <c r="AB9" s="32">
        <f t="shared" si="5"/>
        <v>228.5166667</v>
      </c>
      <c r="AC9" s="32">
        <f t="shared" si="6"/>
        <v>62.91666667</v>
      </c>
      <c r="AE9" s="159" t="s">
        <v>19</v>
      </c>
      <c r="AF9" s="413">
        <f>Z100</f>
        <v>423</v>
      </c>
      <c r="AG9" s="160"/>
    </row>
    <row r="10" ht="22.5" customHeight="1">
      <c r="A10" s="331" t="str">
        <f>Rooster!A11</f>
        <v>Maandag</v>
      </c>
      <c r="B10" s="396">
        <f>Rooster!B11</f>
        <v>0.8333333333</v>
      </c>
      <c r="C10" s="15">
        <f>Rooster!C11</f>
        <v>60</v>
      </c>
      <c r="D10" s="11" t="str">
        <f>Rooster!D11</f>
        <v>Commercial 20+</v>
      </c>
      <c r="E10" s="77">
        <v>4.0</v>
      </c>
      <c r="F10" s="327" t="str">
        <f>Rooster!E11</f>
        <v>Nova</v>
      </c>
      <c r="G10" s="319">
        <f>IFERROR(VLOOKUP(F10, Docenten!$A$2:$G$30, 7, FALSE), "0")</f>
        <v>22.5</v>
      </c>
      <c r="H10" s="320">
        <f t="shared" si="1"/>
        <v>22.5</v>
      </c>
      <c r="I10" s="327" t="str">
        <f>Rooster!H11</f>
        <v>Santpoort Zuid</v>
      </c>
      <c r="J10" s="321">
        <f>IFERROR(VLOOKUP(I10, Locaties!$A$2:$G$15, 7, FALSE), "0")</f>
        <v>18.9</v>
      </c>
      <c r="K10" s="42">
        <f t="shared" si="2"/>
        <v>18.9</v>
      </c>
      <c r="L10" s="440">
        <v>5.0</v>
      </c>
      <c r="M10" s="439" t="s">
        <v>114</v>
      </c>
      <c r="N10" s="321">
        <f>IFERROR(VLOOKUP(M10, Tarieven!$A$1:$J$150, 10, FALSE), "0")</f>
        <v>27.255</v>
      </c>
      <c r="O10" s="437">
        <v>2.0</v>
      </c>
      <c r="P10" s="438" t="s">
        <v>109</v>
      </c>
      <c r="Q10" s="325">
        <f>IFERROR(VLOOKUP(P10, Tarieven!$A$2:$J$150, 10, FALSE), "0")</f>
        <v>25.596</v>
      </c>
      <c r="R10" s="431"/>
      <c r="S10" s="430"/>
      <c r="T10" s="325" t="str">
        <f>IFERROR(VLOOKUP(S10, Tarieven!$A$2:$J$150, 10, FALSE), "0")</f>
        <v>0</v>
      </c>
      <c r="U10" s="77" t="str">
        <f>Oktober!U10</f>
        <v/>
      </c>
      <c r="V10" s="327" t="str">
        <f>Oktober!V10</f>
        <v/>
      </c>
      <c r="W10" s="325" t="str">
        <f>IFERROR(VLOOKUP(V10, Tarieven!$A$2:$J$150, 10, FALSE), "0")</f>
        <v>0</v>
      </c>
      <c r="X10" s="138">
        <f>Oktober!X10</f>
        <v>8</v>
      </c>
      <c r="Y10" s="398">
        <v>0.0</v>
      </c>
      <c r="Z10" s="329">
        <f t="shared" si="3"/>
        <v>15</v>
      </c>
      <c r="AA10" s="32">
        <f t="shared" si="4"/>
        <v>165.6</v>
      </c>
      <c r="AB10" s="32">
        <f t="shared" si="5"/>
        <v>187.467</v>
      </c>
      <c r="AC10" s="32">
        <f t="shared" si="6"/>
        <v>21.867</v>
      </c>
      <c r="AE10" s="330"/>
      <c r="AF10" s="330"/>
    </row>
    <row r="11" ht="22.5" customHeight="1">
      <c r="A11" s="331" t="str">
        <f>Rooster!A12</f>
        <v>Maandag</v>
      </c>
      <c r="B11" s="396">
        <f>Rooster!B12</f>
        <v>0.875</v>
      </c>
      <c r="C11" s="15">
        <f>Rooster!C12</f>
        <v>60</v>
      </c>
      <c r="D11" s="11" t="str">
        <f>Rooster!D12</f>
        <v>Jazz 20+</v>
      </c>
      <c r="E11" s="77">
        <v>4.0</v>
      </c>
      <c r="F11" s="327" t="str">
        <f>Rooster!E12</f>
        <v>Nova</v>
      </c>
      <c r="G11" s="319">
        <f>IFERROR(VLOOKUP(F11, Docenten!$A$2:$G$30, 7, FALSE), "0")</f>
        <v>22.5</v>
      </c>
      <c r="H11" s="320">
        <f t="shared" si="1"/>
        <v>22.5</v>
      </c>
      <c r="I11" s="327" t="str">
        <f>Rooster!H12</f>
        <v>Santpoort Zuid</v>
      </c>
      <c r="J11" s="321">
        <f>IFERROR(VLOOKUP(I11, Locaties!$A$2:$G$15, 7, FALSE), "0")</f>
        <v>18.9</v>
      </c>
      <c r="K11" s="42">
        <f t="shared" si="2"/>
        <v>18.9</v>
      </c>
      <c r="L11" s="427">
        <f>Oktober!L10</f>
        <v>4</v>
      </c>
      <c r="M11" s="428" t="str">
        <f>Oktober!M10</f>
        <v>Volwassenen 2x abbo</v>
      </c>
      <c r="N11" s="321">
        <f>IFERROR(VLOOKUP(M11, Tarieven!$A$1:$J$150, 10, FALSE), "0")</f>
        <v>27.255</v>
      </c>
      <c r="O11" s="429" t="str">
        <f>Oktober!O11</f>
        <v/>
      </c>
      <c r="P11" s="430"/>
      <c r="Q11" s="325" t="str">
        <f>IFERROR(VLOOKUP(P11, Tarieven!$A$2:$J$150, 10, FALSE), "0")</f>
        <v>0</v>
      </c>
      <c r="R11" s="431"/>
      <c r="S11" s="430"/>
      <c r="T11" s="325" t="str">
        <f>IFERROR(VLOOKUP(S11, Tarieven!$A$2:$J$150, 10, FALSE), "0")</f>
        <v>0</v>
      </c>
      <c r="U11" s="77" t="str">
        <f>Oktober!U11</f>
        <v/>
      </c>
      <c r="V11" s="327" t="str">
        <f>Oktober!V11</f>
        <v/>
      </c>
      <c r="W11" s="325" t="str">
        <f>IFERROR(VLOOKUP(V11, Tarieven!$A$2:$J$150, 10, FALSE), "0")</f>
        <v>0</v>
      </c>
      <c r="X11" s="138">
        <f>Oktober!X11</f>
        <v>4</v>
      </c>
      <c r="Y11" s="398">
        <v>0.0</v>
      </c>
      <c r="Z11" s="329">
        <f t="shared" si="3"/>
        <v>8</v>
      </c>
      <c r="AA11" s="32">
        <f t="shared" si="4"/>
        <v>165.6</v>
      </c>
      <c r="AB11" s="32">
        <f t="shared" si="5"/>
        <v>109.02</v>
      </c>
      <c r="AC11" s="32">
        <f t="shared" si="6"/>
        <v>-56.58</v>
      </c>
      <c r="AE11" s="330"/>
      <c r="AF11" s="330"/>
    </row>
    <row r="12" ht="22.5" customHeight="1">
      <c r="A12" s="331" t="str">
        <f>Rooster!A13</f>
        <v>Maandag</v>
      </c>
      <c r="B12" s="396">
        <f>Rooster!B13</f>
        <v>0.6666666667</v>
      </c>
      <c r="C12" s="15">
        <f>Rooster!C13</f>
        <v>60</v>
      </c>
      <c r="D12" s="11" t="str">
        <f>Rooster!D13</f>
        <v>Streetdance 6+</v>
      </c>
      <c r="E12" s="77">
        <v>4.0</v>
      </c>
      <c r="F12" s="327" t="str">
        <f>Rooster!E13</f>
        <v>Julia</v>
      </c>
      <c r="G12" s="319">
        <f>IFERROR(VLOOKUP(F12, Docenten!$A$2:$G$30, 7, FALSE), "0")</f>
        <v>15</v>
      </c>
      <c r="H12" s="320">
        <f t="shared" si="1"/>
        <v>15</v>
      </c>
      <c r="I12" s="327" t="str">
        <f>Rooster!H13</f>
        <v>Santpoort Noord</v>
      </c>
      <c r="J12" s="321">
        <f>IFERROR(VLOOKUP(I12, Locaties!$A$2:$G$15, 7, FALSE), "0")</f>
        <v>14.2</v>
      </c>
      <c r="K12" s="42">
        <f t="shared" si="2"/>
        <v>14.2</v>
      </c>
      <c r="L12" s="440">
        <v>2.0</v>
      </c>
      <c r="M12" s="439" t="s">
        <v>62</v>
      </c>
      <c r="N12" s="321">
        <f>IFERROR(VLOOKUP(M12, Tarieven!$A$1:$J$150, 10, FALSE), "0")</f>
        <v>28.55</v>
      </c>
      <c r="O12" s="437">
        <v>4.0</v>
      </c>
      <c r="P12" s="438" t="s">
        <v>54</v>
      </c>
      <c r="Q12" s="325">
        <f>IFERROR(VLOOKUP(P12, Tarieven!$A$2:$J$150, 10, FALSE), "0")</f>
        <v>31</v>
      </c>
      <c r="R12" s="431" t="str">
        <f>Oktober!R11</f>
        <v/>
      </c>
      <c r="S12" s="430" t="str">
        <f>Oktober!S11</f>
        <v/>
      </c>
      <c r="T12" s="325" t="str">
        <f>IFERROR(VLOOKUP(S12, Tarieven!$A$2:$J$150, 10, FALSE), "0")</f>
        <v>0</v>
      </c>
      <c r="U12" s="77" t="str">
        <f>Oktober!U12</f>
        <v/>
      </c>
      <c r="V12" s="327" t="str">
        <f>Oktober!V12</f>
        <v/>
      </c>
      <c r="W12" s="325" t="str">
        <f>IFERROR(VLOOKUP(V12, Tarieven!$A$2:$J$150, 10, FALSE), "0")</f>
        <v>0</v>
      </c>
      <c r="X12" s="138">
        <f>Oktober!X12</f>
        <v>2</v>
      </c>
      <c r="Y12" s="398">
        <v>0.0</v>
      </c>
      <c r="Z12" s="329">
        <f t="shared" si="3"/>
        <v>8</v>
      </c>
      <c r="AA12" s="32">
        <f t="shared" si="4"/>
        <v>116.8</v>
      </c>
      <c r="AB12" s="32">
        <f t="shared" si="5"/>
        <v>181.1</v>
      </c>
      <c r="AC12" s="32">
        <f t="shared" si="6"/>
        <v>64.3</v>
      </c>
      <c r="AE12" s="330"/>
      <c r="AF12" s="330"/>
    </row>
    <row r="13" ht="22.5" customHeight="1">
      <c r="A13" s="331" t="str">
        <f>Rooster!A14</f>
        <v>Maandag</v>
      </c>
      <c r="B13" s="396">
        <f>Rooster!B14</f>
        <v>0.7083333333</v>
      </c>
      <c r="C13" s="15">
        <f>Rooster!C14</f>
        <v>60</v>
      </c>
      <c r="D13" s="11" t="str">
        <f>Rooster!D14</f>
        <v>Streetdance 8+</v>
      </c>
      <c r="E13" s="77">
        <v>4.0</v>
      </c>
      <c r="F13" s="327" t="str">
        <f>Rooster!E14</f>
        <v>Julia</v>
      </c>
      <c r="G13" s="319">
        <f>IFERROR(VLOOKUP(F13, Docenten!$A$2:$G$30, 7, FALSE), "0")</f>
        <v>15</v>
      </c>
      <c r="H13" s="320">
        <f t="shared" si="1"/>
        <v>15</v>
      </c>
      <c r="I13" s="327" t="str">
        <f>Rooster!H14</f>
        <v>Santpoort Noord</v>
      </c>
      <c r="J13" s="321">
        <f>IFERROR(VLOOKUP(I13, Locaties!$A$2:$G$15, 7, FALSE), "0")</f>
        <v>14.2</v>
      </c>
      <c r="K13" s="42">
        <f t="shared" si="2"/>
        <v>14.2</v>
      </c>
      <c r="L13" s="440">
        <v>1.0</v>
      </c>
      <c r="M13" s="428" t="str">
        <f>Oktober!M12</f>
        <v>1x per week abbo</v>
      </c>
      <c r="N13" s="321">
        <f>IFERROR(VLOOKUP(M13, Tarieven!$A$1:$J$150, 10, FALSE), "0")</f>
        <v>31</v>
      </c>
      <c r="O13" s="437">
        <v>5.0</v>
      </c>
      <c r="P13" s="438" t="s">
        <v>62</v>
      </c>
      <c r="Q13" s="325"/>
      <c r="R13" s="431" t="str">
        <f>Oktober!R12</f>
        <v/>
      </c>
      <c r="S13" s="430" t="str">
        <f>Oktober!S12</f>
        <v/>
      </c>
      <c r="T13" s="325" t="str">
        <f>IFERROR(VLOOKUP(S13, Tarieven!$A$2:$J$150, 10, FALSE), "0")</f>
        <v>0</v>
      </c>
      <c r="U13" s="77" t="str">
        <f>Oktober!U13</f>
        <v/>
      </c>
      <c r="V13" s="327" t="str">
        <f>Oktober!V13</f>
        <v/>
      </c>
      <c r="W13" s="325" t="str">
        <f>IFERROR(VLOOKUP(V13, Tarieven!$A$2:$J$150, 10, FALSE), "0")</f>
        <v>0</v>
      </c>
      <c r="X13" s="138">
        <f>Oktober!X13</f>
        <v>13</v>
      </c>
      <c r="Y13" s="398">
        <v>0.0</v>
      </c>
      <c r="Z13" s="329">
        <f t="shared" si="3"/>
        <v>19</v>
      </c>
      <c r="AA13" s="32">
        <f t="shared" si="4"/>
        <v>116.8</v>
      </c>
      <c r="AB13" s="32">
        <f t="shared" si="5"/>
        <v>31</v>
      </c>
      <c r="AC13" s="32">
        <f t="shared" si="6"/>
        <v>-85.8</v>
      </c>
      <c r="AE13" s="330"/>
      <c r="AF13" s="330"/>
    </row>
    <row r="14" ht="22.5" customHeight="1">
      <c r="A14" s="331" t="str">
        <f>Rooster!A15</f>
        <v>Dinsdag</v>
      </c>
      <c r="B14" s="396">
        <f>Rooster!B15</f>
        <v>0.6666666667</v>
      </c>
      <c r="C14" s="15">
        <f>Rooster!C15</f>
        <v>60</v>
      </c>
      <c r="D14" s="11" t="str">
        <f>Rooster!D15</f>
        <v>Modern 8+</v>
      </c>
      <c r="E14" s="77">
        <v>4.0</v>
      </c>
      <c r="F14" s="327" t="str">
        <f>Rooster!E15</f>
        <v>Eigenaar</v>
      </c>
      <c r="G14" s="319">
        <f>IFERROR(VLOOKUP(F14, Docenten!$A$2:$G$30, 7, FALSE), "0")</f>
        <v>0</v>
      </c>
      <c r="H14" s="320">
        <f t="shared" si="1"/>
        <v>0</v>
      </c>
      <c r="I14" s="327" t="str">
        <f>Rooster!H15</f>
        <v>Santpoort Zuid</v>
      </c>
      <c r="J14" s="321">
        <f>IFERROR(VLOOKUP(I14, Locaties!$A$2:$G$15, 7, FALSE), "0")</f>
        <v>18.9</v>
      </c>
      <c r="K14" s="42">
        <f t="shared" si="2"/>
        <v>18.9</v>
      </c>
      <c r="L14" s="427">
        <f>Oktober!L13</f>
        <v>5</v>
      </c>
      <c r="M14" s="428" t="str">
        <f>Oktober!M13</f>
        <v>2x per week abbo</v>
      </c>
      <c r="N14" s="321">
        <f>IFERROR(VLOOKUP(M14, Tarieven!$A$1:$J$150, 10, FALSE), "0")</f>
        <v>28.55</v>
      </c>
      <c r="O14" s="437">
        <v>1.0</v>
      </c>
      <c r="P14" s="430" t="str">
        <f>Oktober!P13</f>
        <v>1x per week abbo</v>
      </c>
      <c r="Q14" s="325">
        <f>IFERROR(VLOOKUP(P14, Tarieven!$A$2:$J$150, 10, FALSE), "0")</f>
        <v>31</v>
      </c>
      <c r="R14" s="441">
        <v>2.0</v>
      </c>
      <c r="S14" s="438" t="s">
        <v>157</v>
      </c>
      <c r="T14" s="325">
        <f>IFERROR(VLOOKUP(S14, Tarieven!$A$2:$J$150, 10, FALSE), "0")</f>
        <v>44.45</v>
      </c>
      <c r="U14" s="77">
        <v>1.0</v>
      </c>
      <c r="V14" s="70" t="s">
        <v>87</v>
      </c>
      <c r="W14" s="325">
        <f>IFERROR(VLOOKUP(V14, Tarieven!$A$2:$J$150, 10, FALSE), "0")</f>
        <v>32.25</v>
      </c>
      <c r="X14" s="138">
        <f>Oktober!X14</f>
        <v>8</v>
      </c>
      <c r="Y14" s="398">
        <v>0.0</v>
      </c>
      <c r="Z14" s="329">
        <f t="shared" si="3"/>
        <v>17</v>
      </c>
      <c r="AA14" s="32">
        <f t="shared" si="4"/>
        <v>75.6</v>
      </c>
      <c r="AB14" s="32">
        <f t="shared" si="5"/>
        <v>294.9</v>
      </c>
      <c r="AC14" s="32">
        <f t="shared" si="6"/>
        <v>219.3</v>
      </c>
    </row>
    <row r="15" ht="22.5" customHeight="1">
      <c r="A15" s="331" t="str">
        <f>Rooster!A16</f>
        <v>Dinsdag</v>
      </c>
      <c r="B15" s="396">
        <f>Rooster!B16</f>
        <v>0.7083333333</v>
      </c>
      <c r="C15" s="15">
        <f>Rooster!C16</f>
        <v>60</v>
      </c>
      <c r="D15" s="11" t="str">
        <f>Rooster!D16</f>
        <v>Selectie show 8+</v>
      </c>
      <c r="E15" s="77">
        <v>4.0</v>
      </c>
      <c r="F15" s="327" t="str">
        <f>Rooster!E16</f>
        <v>Eigenaar</v>
      </c>
      <c r="G15" s="319">
        <f>IFERROR(VLOOKUP(F15, Docenten!$A$2:$G$30, 7, FALSE), "0")</f>
        <v>0</v>
      </c>
      <c r="H15" s="320">
        <f t="shared" si="1"/>
        <v>0</v>
      </c>
      <c r="I15" s="327" t="str">
        <f>Rooster!H16</f>
        <v>Santpoort Zuid</v>
      </c>
      <c r="J15" s="321">
        <f>IFERROR(VLOOKUP(I15, Locaties!$A$2:$G$15, 7, FALSE), "0")</f>
        <v>18.9</v>
      </c>
      <c r="K15" s="42">
        <f t="shared" si="2"/>
        <v>18.9</v>
      </c>
      <c r="L15" s="440">
        <v>2.0</v>
      </c>
      <c r="M15" s="428" t="str">
        <f>Oktober!M14</f>
        <v>Cheer regulier + onbeperkt abbo</v>
      </c>
      <c r="N15" s="321">
        <f>IFERROR(VLOOKUP(M15, Tarieven!$A$1:$J$150, 10, FALSE), "0")</f>
        <v>44.45</v>
      </c>
      <c r="O15" s="437">
        <v>2.0</v>
      </c>
      <c r="P15" s="430" t="str">
        <f>Oktober!P14</f>
        <v>2x per week abbo</v>
      </c>
      <c r="Q15" s="325">
        <f>IFERROR(VLOOKUP(P15, Tarieven!$A$2:$J$150, 10, FALSE), "0")</f>
        <v>28.55</v>
      </c>
      <c r="R15" s="431"/>
      <c r="S15" s="430"/>
      <c r="T15" s="325" t="str">
        <f>IFERROR(VLOOKUP(S15, Tarieven!$A$2:$J$150, 10, FALSE), "0")</f>
        <v>0</v>
      </c>
      <c r="U15" s="77">
        <v>1.0</v>
      </c>
      <c r="V15" s="70" t="s">
        <v>141</v>
      </c>
      <c r="W15" s="325">
        <f>IFERROR(VLOOKUP(V15, Tarieven!$A$2:$J$150, 10, FALSE), "0")</f>
        <v>29.03333333</v>
      </c>
      <c r="X15" s="138">
        <f>Oktober!X15</f>
        <v>7</v>
      </c>
      <c r="Y15" s="398">
        <v>0.0</v>
      </c>
      <c r="Z15" s="329">
        <f t="shared" si="3"/>
        <v>12</v>
      </c>
      <c r="AA15" s="32">
        <f t="shared" si="4"/>
        <v>75.6</v>
      </c>
      <c r="AB15" s="32">
        <f t="shared" si="5"/>
        <v>175.0333333</v>
      </c>
      <c r="AC15" s="32">
        <f t="shared" si="6"/>
        <v>99.43333333</v>
      </c>
    </row>
    <row r="16" ht="22.5" customHeight="1">
      <c r="A16" s="331" t="str">
        <f>Rooster!A17</f>
        <v>Dinsdag</v>
      </c>
      <c r="B16" s="396">
        <f>Rooster!B17</f>
        <v>0.75</v>
      </c>
      <c r="C16" s="15">
        <f>Rooster!C17</f>
        <v>90</v>
      </c>
      <c r="D16" s="11" t="str">
        <f>Rooster!D17</f>
        <v>Selectie Cheer</v>
      </c>
      <c r="E16" s="77">
        <v>4.0</v>
      </c>
      <c r="F16" s="327" t="str">
        <f>Rooster!E17</f>
        <v>Eigenaar</v>
      </c>
      <c r="G16" s="319">
        <f>IFERROR(VLOOKUP(F16, Docenten!$A$2:$G$30, 7, FALSE), "0")</f>
        <v>0</v>
      </c>
      <c r="H16" s="320">
        <f t="shared" si="1"/>
        <v>0</v>
      </c>
      <c r="I16" s="327" t="str">
        <f>Rooster!H17</f>
        <v>Santpoort Zuid</v>
      </c>
      <c r="J16" s="321">
        <f>IFERROR(VLOOKUP(I16, Locaties!$A$2:$G$15, 7, FALSE), "0")</f>
        <v>18.9</v>
      </c>
      <c r="K16" s="42">
        <f t="shared" si="2"/>
        <v>28.35</v>
      </c>
      <c r="L16" s="427">
        <f>Oktober!L15</f>
        <v>2</v>
      </c>
      <c r="M16" s="439" t="s">
        <v>92</v>
      </c>
      <c r="N16" s="321">
        <f>IFERROR(VLOOKUP(M16, Tarieven!$A$1:$J$150, 10, FALSE), "0")</f>
        <v>31.53333333</v>
      </c>
      <c r="O16" s="437">
        <v>1.0</v>
      </c>
      <c r="P16" s="438" t="s">
        <v>89</v>
      </c>
      <c r="Q16" s="325">
        <f>IFERROR(VLOOKUP(P16, Tarieven!$A$2:$J$150, 10, FALSE), "0")</f>
        <v>34.25</v>
      </c>
      <c r="R16" s="431"/>
      <c r="S16" s="430"/>
      <c r="T16" s="325" t="str">
        <f>IFERROR(VLOOKUP(S16, Tarieven!$A$2:$J$150, 10, FALSE), "0")</f>
        <v>0</v>
      </c>
      <c r="U16" s="77" t="str">
        <f>Oktober!U16</f>
        <v/>
      </c>
      <c r="V16" s="327" t="str">
        <f>Oktober!V16</f>
        <v/>
      </c>
      <c r="W16" s="325" t="str">
        <f>IFERROR(VLOOKUP(V16, Tarieven!$A$2:$J$150, 10, FALSE), "0")</f>
        <v>0</v>
      </c>
      <c r="X16" s="138">
        <f>Oktober!X16</f>
        <v>8</v>
      </c>
      <c r="Y16" s="398">
        <v>0.0</v>
      </c>
      <c r="Z16" s="329">
        <f t="shared" si="3"/>
        <v>11</v>
      </c>
      <c r="AA16" s="32">
        <f t="shared" si="4"/>
        <v>113.4</v>
      </c>
      <c r="AB16" s="32">
        <f t="shared" si="5"/>
        <v>97.31666667</v>
      </c>
      <c r="AC16" s="32">
        <f t="shared" si="6"/>
        <v>-16.08333333</v>
      </c>
    </row>
    <row r="17" ht="22.5" customHeight="1">
      <c r="A17" s="331" t="str">
        <f>Rooster!A18</f>
        <v>Dinsdag</v>
      </c>
      <c r="B17" s="396">
        <f>Rooster!B18</f>
        <v>0.8125</v>
      </c>
      <c r="C17" s="15">
        <f>Rooster!C18</f>
        <v>60</v>
      </c>
      <c r="D17" s="11" t="str">
        <f>Rooster!D18</f>
        <v>Hiphop 15+</v>
      </c>
      <c r="E17" s="77">
        <v>4.0</v>
      </c>
      <c r="F17" s="327" t="str">
        <f>Rooster!E18</f>
        <v>Eigenaar</v>
      </c>
      <c r="G17" s="319">
        <f>IFERROR(VLOOKUP(F17, Docenten!$A$2:$G$30, 7, FALSE), "0")</f>
        <v>0</v>
      </c>
      <c r="H17" s="320">
        <f t="shared" si="1"/>
        <v>0</v>
      </c>
      <c r="I17" s="327" t="str">
        <f>Rooster!H18</f>
        <v>Santpoort Zuid</v>
      </c>
      <c r="J17" s="321">
        <f>IFERROR(VLOOKUP(I17, Locaties!$A$2:$G$15, 7, FALSE), "0")</f>
        <v>18.9</v>
      </c>
      <c r="K17" s="42">
        <f t="shared" si="2"/>
        <v>18.9</v>
      </c>
      <c r="L17" s="440">
        <v>4.0</v>
      </c>
      <c r="M17" s="439" t="s">
        <v>71</v>
      </c>
      <c r="N17" s="321">
        <f>IFERROR(VLOOKUP(M17, Tarieven!$A$1:$J$150, 10, FALSE), "0")</f>
        <v>28.93333333</v>
      </c>
      <c r="O17" s="437">
        <v>1.0</v>
      </c>
      <c r="P17" s="438" t="s">
        <v>62</v>
      </c>
      <c r="Q17" s="325">
        <f>IFERROR(VLOOKUP(P17, Tarieven!$A$2:$J$150, 10, FALSE), "0")</f>
        <v>28.55</v>
      </c>
      <c r="R17" s="441"/>
      <c r="S17" s="438"/>
      <c r="T17" s="432"/>
      <c r="U17" s="77">
        <f>Oktober!U17</f>
        <v>1</v>
      </c>
      <c r="V17" s="327" t="str">
        <f>Oktober!V17</f>
        <v>Aangepast tarief</v>
      </c>
      <c r="W17" s="432">
        <v>20.0</v>
      </c>
      <c r="X17" s="138">
        <f>Oktober!X17</f>
        <v>9</v>
      </c>
      <c r="Y17" s="398">
        <v>0.0</v>
      </c>
      <c r="Z17" s="329">
        <f t="shared" si="3"/>
        <v>15</v>
      </c>
      <c r="AA17" s="32">
        <f t="shared" si="4"/>
        <v>75.6</v>
      </c>
      <c r="AB17" s="32">
        <f t="shared" si="5"/>
        <v>164.2833333</v>
      </c>
      <c r="AC17" s="32">
        <f t="shared" si="6"/>
        <v>88.68333333</v>
      </c>
    </row>
    <row r="18" ht="22.5" customHeight="1">
      <c r="A18" s="331" t="str">
        <f>Rooster!A19</f>
        <v>Woensdag</v>
      </c>
      <c r="B18" s="396">
        <f>Rooster!B19</f>
        <v>0.6041666667</v>
      </c>
      <c r="C18" s="15">
        <f>Rooster!C19</f>
        <v>60</v>
      </c>
      <c r="D18" s="11" t="str">
        <f>Rooster!D19</f>
        <v>Streetdance 6+</v>
      </c>
      <c r="E18" s="77">
        <v>4.0</v>
      </c>
      <c r="F18" s="327" t="str">
        <f>Rooster!E19</f>
        <v>Julia</v>
      </c>
      <c r="G18" s="319">
        <f>IFERROR(VLOOKUP(F18, Docenten!$A$2:$G$30, 7, FALSE), "0")</f>
        <v>15</v>
      </c>
      <c r="H18" s="320">
        <f t="shared" si="1"/>
        <v>15</v>
      </c>
      <c r="I18" s="327" t="str">
        <f>Rooster!H19</f>
        <v>Santpoort Noord</v>
      </c>
      <c r="J18" s="321">
        <f>IFERROR(VLOOKUP(I18, Locaties!$A$2:$G$15, 7, FALSE), "0")</f>
        <v>14.2</v>
      </c>
      <c r="K18" s="42">
        <f t="shared" si="2"/>
        <v>14.2</v>
      </c>
      <c r="L18" s="427">
        <f>Oktober!L17</f>
        <v>1</v>
      </c>
      <c r="M18" s="428" t="str">
        <f>Oktober!M17</f>
        <v>2x per week abbo</v>
      </c>
      <c r="N18" s="321">
        <f>IFERROR(VLOOKUP(M18, Tarieven!$A$1:$J$150, 10, FALSE), "0")</f>
        <v>28.55</v>
      </c>
      <c r="O18" s="429">
        <f>Oktober!O17</f>
        <v>3</v>
      </c>
      <c r="P18" s="438" t="s">
        <v>54</v>
      </c>
      <c r="Q18" s="325">
        <f>IFERROR(VLOOKUP(P18, Tarieven!$A$2:$J$150, 10, FALSE), "0")</f>
        <v>31</v>
      </c>
      <c r="R18" s="431"/>
      <c r="S18" s="430"/>
      <c r="T18" s="325" t="str">
        <f>IFERROR(VLOOKUP(S18, Tarieven!$A$2:$J$150, 10, FALSE), "0")</f>
        <v>0</v>
      </c>
      <c r="U18" s="77"/>
      <c r="V18" s="327"/>
      <c r="W18" s="325"/>
      <c r="X18" s="138">
        <f>Oktober!X18</f>
        <v>9</v>
      </c>
      <c r="Y18" s="398">
        <v>0.0</v>
      </c>
      <c r="Z18" s="329">
        <f t="shared" si="3"/>
        <v>13</v>
      </c>
      <c r="AA18" s="32">
        <f t="shared" si="4"/>
        <v>116.8</v>
      </c>
      <c r="AB18" s="32">
        <f t="shared" si="5"/>
        <v>121.55</v>
      </c>
      <c r="AC18" s="32">
        <f t="shared" si="6"/>
        <v>4.75</v>
      </c>
    </row>
    <row r="19" ht="22.5" customHeight="1">
      <c r="A19" s="331" t="str">
        <f>Rooster!A20</f>
        <v>Woensdag</v>
      </c>
      <c r="B19" s="396">
        <f>Rooster!B20</f>
        <v>0.6458333333</v>
      </c>
      <c r="C19" s="15">
        <f>Rooster!C20</f>
        <v>60</v>
      </c>
      <c r="D19" s="11" t="str">
        <f>Rooster!D20</f>
        <v>Streetdance 8+</v>
      </c>
      <c r="E19" s="77">
        <v>4.0</v>
      </c>
      <c r="F19" s="327" t="str">
        <f>Rooster!E20</f>
        <v>Julia</v>
      </c>
      <c r="G19" s="319">
        <f>IFERROR(VLOOKUP(F19, Docenten!$A$2:$G$30, 7, FALSE), "0")</f>
        <v>15</v>
      </c>
      <c r="H19" s="320">
        <f t="shared" si="1"/>
        <v>15</v>
      </c>
      <c r="I19" s="327" t="str">
        <f>Rooster!H20</f>
        <v>Santpoort Noord</v>
      </c>
      <c r="J19" s="321">
        <f>IFERROR(VLOOKUP(I19, Locaties!$A$2:$G$15, 7, FALSE), "0")</f>
        <v>14.2</v>
      </c>
      <c r="K19" s="42">
        <f t="shared" si="2"/>
        <v>14.2</v>
      </c>
      <c r="L19" s="440">
        <v>6.0</v>
      </c>
      <c r="M19" s="428" t="str">
        <f>Oktober!M18</f>
        <v>1x per week abbo</v>
      </c>
      <c r="N19" s="321">
        <f>IFERROR(VLOOKUP(M19, Tarieven!$A$1:$J$150, 10, FALSE), "0")</f>
        <v>31</v>
      </c>
      <c r="O19" s="429">
        <f>Oktober!O18</f>
        <v>1</v>
      </c>
      <c r="P19" s="430" t="str">
        <f>Oktober!P18</f>
        <v>Cheer regulier +1 abbo</v>
      </c>
      <c r="Q19" s="325">
        <f>IFERROR(VLOOKUP(P19, Tarieven!$A$2:$J$150, 10, FALSE), "0")</f>
        <v>32.25</v>
      </c>
      <c r="R19" s="431">
        <f>Oktober!R18</f>
        <v>1</v>
      </c>
      <c r="S19" s="430" t="str">
        <f>Oktober!S18</f>
        <v>Cheer regulier + onbeperkt abbo</v>
      </c>
      <c r="T19" s="325">
        <f>IFERROR(VLOOKUP(S19, Tarieven!$A$2:$J$150, 10, FALSE), "0")</f>
        <v>44.45</v>
      </c>
      <c r="U19" s="77" t="str">
        <f>Oktober!U19</f>
        <v/>
      </c>
      <c r="V19" s="327" t="str">
        <f>Oktober!V19</f>
        <v/>
      </c>
      <c r="W19" s="325" t="str">
        <f>IFERROR(VLOOKUP(V19, Tarieven!$A$2:$J$150, 10, FALSE), "0")</f>
        <v>0</v>
      </c>
      <c r="X19" s="138">
        <f>Oktober!X19</f>
        <v>11</v>
      </c>
      <c r="Y19" s="398">
        <v>0.0</v>
      </c>
      <c r="Z19" s="329">
        <f t="shared" si="3"/>
        <v>19</v>
      </c>
      <c r="AA19" s="32">
        <f t="shared" si="4"/>
        <v>116.8</v>
      </c>
      <c r="AB19" s="32">
        <f t="shared" si="5"/>
        <v>262.7</v>
      </c>
      <c r="AC19" s="32">
        <f t="shared" si="6"/>
        <v>145.9</v>
      </c>
    </row>
    <row r="20" ht="22.5" customHeight="1">
      <c r="A20" s="331" t="str">
        <f>Rooster!A21</f>
        <v>Woensdag</v>
      </c>
      <c r="B20" s="396">
        <f>Rooster!B21</f>
        <v>0.6875</v>
      </c>
      <c r="C20" s="15">
        <f>Rooster!C21</f>
        <v>60</v>
      </c>
      <c r="D20" s="11" t="str">
        <f>Rooster!D21</f>
        <v>Modern 11+</v>
      </c>
      <c r="E20" s="77">
        <v>4.0</v>
      </c>
      <c r="F20" s="327" t="str">
        <f>Rooster!E21</f>
        <v>Julia</v>
      </c>
      <c r="G20" s="319">
        <f>IFERROR(VLOOKUP(F20, Docenten!$A$2:$G$30, 7, FALSE), "0")</f>
        <v>15</v>
      </c>
      <c r="H20" s="320">
        <f t="shared" si="1"/>
        <v>15</v>
      </c>
      <c r="I20" s="327" t="str">
        <f>Rooster!H21</f>
        <v>Santpoort Noord</v>
      </c>
      <c r="J20" s="321">
        <f>IFERROR(VLOOKUP(I20, Locaties!$A$2:$G$15, 7, FALSE), "0")</f>
        <v>14.2</v>
      </c>
      <c r="K20" s="42">
        <f t="shared" si="2"/>
        <v>14.2</v>
      </c>
      <c r="L20" s="427">
        <f>Oktober!L19</f>
        <v>3</v>
      </c>
      <c r="M20" s="428" t="str">
        <f>Oktober!M19</f>
        <v>1x per week abbo</v>
      </c>
      <c r="N20" s="321">
        <f>IFERROR(VLOOKUP(M20, Tarieven!$A$1:$J$150, 10, FALSE), "0")</f>
        <v>31</v>
      </c>
      <c r="O20" s="429">
        <f>Oktober!O19</f>
        <v>1</v>
      </c>
      <c r="P20" s="430" t="str">
        <f>Oktober!P19</f>
        <v>Cheer regulier +1 abbo</v>
      </c>
      <c r="Q20" s="325">
        <f>IFERROR(VLOOKUP(P20, Tarieven!$A$2:$J$150, 10, FALSE), "0")</f>
        <v>32.25</v>
      </c>
      <c r="R20" s="431">
        <f>Oktober!R19</f>
        <v>1</v>
      </c>
      <c r="S20" s="430" t="str">
        <f>Oktober!S19</f>
        <v>Cheer regulier + onbeperkt abbo</v>
      </c>
      <c r="T20" s="325">
        <f>IFERROR(VLOOKUP(S20, Tarieven!$A$2:$J$150, 10, FALSE), "0")</f>
        <v>44.45</v>
      </c>
      <c r="U20" s="77" t="str">
        <f>Oktober!U20</f>
        <v/>
      </c>
      <c r="V20" s="327" t="str">
        <f>Oktober!V20</f>
        <v/>
      </c>
      <c r="W20" s="325" t="str">
        <f>IFERROR(VLOOKUP(V20, Tarieven!$A$2:$J$150, 10, FALSE), "0")</f>
        <v>0</v>
      </c>
      <c r="X20" s="138">
        <f>Oktober!X20</f>
        <v>9</v>
      </c>
      <c r="Y20" s="398">
        <v>0.0</v>
      </c>
      <c r="Z20" s="329">
        <f t="shared" si="3"/>
        <v>14</v>
      </c>
      <c r="AA20" s="32">
        <f t="shared" si="4"/>
        <v>116.8</v>
      </c>
      <c r="AB20" s="32">
        <f t="shared" si="5"/>
        <v>169.7</v>
      </c>
      <c r="AC20" s="32">
        <f t="shared" si="6"/>
        <v>52.9</v>
      </c>
    </row>
    <row r="21" ht="22.5" customHeight="1">
      <c r="A21" s="331" t="str">
        <f>Rooster!A22</f>
        <v>Woensdag</v>
      </c>
      <c r="B21" s="396">
        <f>Rooster!B22</f>
        <v>0.7291666667</v>
      </c>
      <c r="C21" s="15">
        <f>Rooster!C22</f>
        <v>60</v>
      </c>
      <c r="D21" s="11" t="str">
        <f>Rooster!D22</f>
        <v>Selectie Hiphop 11+</v>
      </c>
      <c r="E21" s="77">
        <v>4.0</v>
      </c>
      <c r="F21" s="327" t="str">
        <f>Rooster!E22</f>
        <v>Eigenaar</v>
      </c>
      <c r="G21" s="319">
        <f>IFERROR(VLOOKUP(F21, Docenten!$A$2:$G$30, 7, FALSE), "0")</f>
        <v>0</v>
      </c>
      <c r="H21" s="320">
        <f t="shared" si="1"/>
        <v>0</v>
      </c>
      <c r="I21" s="327" t="str">
        <f>Rooster!H22</f>
        <v>Santpoort Noord</v>
      </c>
      <c r="J21" s="321">
        <f>IFERROR(VLOOKUP(I21, Locaties!$A$2:$G$15, 7, FALSE), "0")</f>
        <v>14.2</v>
      </c>
      <c r="K21" s="42">
        <f t="shared" si="2"/>
        <v>14.2</v>
      </c>
      <c r="L21" s="427">
        <f>Oktober!L20</f>
        <v>1</v>
      </c>
      <c r="M21" s="428" t="str">
        <f>Oktober!M20</f>
        <v>1x per week abbo</v>
      </c>
      <c r="N21" s="321">
        <f>IFERROR(VLOOKUP(M21, Tarieven!$A$1:$J$150, 10, FALSE), "0")</f>
        <v>31</v>
      </c>
      <c r="O21" s="429">
        <f>Oktober!O20</f>
        <v>3</v>
      </c>
      <c r="P21" s="430" t="str">
        <f>Oktober!P20</f>
        <v>2x per week abbo</v>
      </c>
      <c r="Q21" s="325">
        <f>IFERROR(VLOOKUP(P21, Tarieven!$A$2:$J$150, 10, FALSE), "0")</f>
        <v>28.55</v>
      </c>
      <c r="R21" s="431">
        <f>Oktober!R20</f>
        <v>1</v>
      </c>
      <c r="S21" s="430" t="str">
        <f>Oktober!S20</f>
        <v>Cheer regulier +1 abbo</v>
      </c>
      <c r="T21" s="325">
        <f>IFERROR(VLOOKUP(S21, Tarieven!$A$2:$J$150, 10, FALSE), "0")</f>
        <v>32.25</v>
      </c>
      <c r="U21" s="77" t="str">
        <f>Oktober!U21</f>
        <v/>
      </c>
      <c r="V21" s="327" t="str">
        <f>Oktober!V21</f>
        <v/>
      </c>
      <c r="W21" s="325" t="str">
        <f>IFERROR(VLOOKUP(V21, Tarieven!$A$2:$J$150, 10, FALSE), "0")</f>
        <v>0</v>
      </c>
      <c r="X21" s="138">
        <f>Oktober!X21</f>
        <v>11</v>
      </c>
      <c r="Y21" s="398">
        <v>0.0</v>
      </c>
      <c r="Z21" s="329">
        <f t="shared" si="3"/>
        <v>16</v>
      </c>
      <c r="AA21" s="32">
        <f t="shared" si="4"/>
        <v>56.8</v>
      </c>
      <c r="AB21" s="32">
        <f t="shared" si="5"/>
        <v>148.9</v>
      </c>
      <c r="AC21" s="32">
        <f t="shared" si="6"/>
        <v>92.1</v>
      </c>
    </row>
    <row r="22" ht="22.5" customHeight="1">
      <c r="A22" s="331" t="str">
        <f>Rooster!A23</f>
        <v>Woensdag</v>
      </c>
      <c r="B22" s="396">
        <f>Rooster!B23</f>
        <v>0.7708333333</v>
      </c>
      <c r="C22" s="15">
        <f>Rooster!C23</f>
        <v>60</v>
      </c>
      <c r="D22" s="11" t="str">
        <f>Rooster!D23</f>
        <v>Show 12+</v>
      </c>
      <c r="E22" s="77">
        <v>4.0</v>
      </c>
      <c r="F22" s="327" t="str">
        <f>Rooster!E23</f>
        <v>Eigenaar</v>
      </c>
      <c r="G22" s="319">
        <f>IFERROR(VLOOKUP(F22, Docenten!$A$2:$G$30, 7, FALSE), "0")</f>
        <v>0</v>
      </c>
      <c r="H22" s="320">
        <f t="shared" si="1"/>
        <v>0</v>
      </c>
      <c r="I22" s="327" t="str">
        <f>Rooster!H23</f>
        <v>Santpoort Noord</v>
      </c>
      <c r="J22" s="321">
        <f>IFERROR(VLOOKUP(I22, Locaties!$A$2:$G$15, 7, FALSE), "0")</f>
        <v>14.2</v>
      </c>
      <c r="K22" s="42">
        <f t="shared" si="2"/>
        <v>14.2</v>
      </c>
      <c r="L22" s="427">
        <f>Oktober!L21</f>
        <v>1</v>
      </c>
      <c r="M22" s="428" t="str">
        <f>Oktober!M21</f>
        <v>Cheer selectie +1 abbo</v>
      </c>
      <c r="N22" s="321">
        <f>IFERROR(VLOOKUP(M22, Tarieven!$A$1:$J$150, 10, FALSE), "0")</f>
        <v>34.25</v>
      </c>
      <c r="O22" s="429" t="str">
        <f>Oktober!O21</f>
        <v/>
      </c>
      <c r="P22" s="430" t="str">
        <f>Oktober!P21</f>
        <v/>
      </c>
      <c r="Q22" s="325" t="str">
        <f>IFERROR(VLOOKUP(P22, Tarieven!$A$2:$J$150, 10, FALSE), "0")</f>
        <v>0</v>
      </c>
      <c r="R22" s="431" t="str">
        <f>Oktober!R21</f>
        <v/>
      </c>
      <c r="S22" s="430" t="str">
        <f>Oktober!S21</f>
        <v/>
      </c>
      <c r="T22" s="325" t="str">
        <f>IFERROR(VLOOKUP(S22, Tarieven!$A$2:$J$150, 10, FALSE), "0")</f>
        <v>0</v>
      </c>
      <c r="U22" s="77" t="str">
        <f>Oktober!U22</f>
        <v/>
      </c>
      <c r="V22" s="327" t="str">
        <f>Oktober!V22</f>
        <v/>
      </c>
      <c r="W22" s="325" t="str">
        <f>IFERROR(VLOOKUP(V22, Tarieven!$A$2:$J$150, 10, FALSE), "0")</f>
        <v>0</v>
      </c>
      <c r="X22" s="138">
        <f>Oktober!X22</f>
        <v>9</v>
      </c>
      <c r="Y22" s="398">
        <v>0.0</v>
      </c>
      <c r="Z22" s="329">
        <f t="shared" si="3"/>
        <v>10</v>
      </c>
      <c r="AA22" s="32">
        <f t="shared" si="4"/>
        <v>56.8</v>
      </c>
      <c r="AB22" s="32">
        <f t="shared" si="5"/>
        <v>34.25</v>
      </c>
      <c r="AC22" s="32">
        <f t="shared" si="6"/>
        <v>-22.55</v>
      </c>
    </row>
    <row r="23" ht="22.5" customHeight="1">
      <c r="A23" s="331" t="str">
        <f>Rooster!A24</f>
        <v/>
      </c>
      <c r="B23" s="396" t="str">
        <f>Rooster!B24</f>
        <v/>
      </c>
      <c r="C23" s="15" t="str">
        <f>Rooster!C24</f>
        <v/>
      </c>
      <c r="D23" s="11" t="str">
        <f>Rooster!D24</f>
        <v/>
      </c>
      <c r="E23" s="77"/>
      <c r="F23" s="327" t="str">
        <f>Rooster!E24</f>
        <v/>
      </c>
      <c r="G23" s="319" t="str">
        <f>IFERROR(VLOOKUP(F23, Docenten!$A$2:$G$30, 7, FALSE), "0")</f>
        <v>0</v>
      </c>
      <c r="H23" s="320">
        <f t="shared" si="1"/>
        <v>0</v>
      </c>
      <c r="I23" s="327" t="str">
        <f>Rooster!H24</f>
        <v/>
      </c>
      <c r="J23" s="321" t="str">
        <f>IFERROR(VLOOKUP(I23, Locaties!$A$2:$G$15, 7, FALSE), "0")</f>
        <v>0</v>
      </c>
      <c r="K23" s="42">
        <f t="shared" si="2"/>
        <v>0</v>
      </c>
      <c r="L23" s="427">
        <f>Oktober!L22</f>
        <v>1</v>
      </c>
      <c r="M23" s="428"/>
      <c r="N23" s="321" t="str">
        <f>IFERROR(VLOOKUP(M23, Tarieven!$A$1:$J$150, 10, FALSE), "0")</f>
        <v>0</v>
      </c>
      <c r="O23" s="429"/>
      <c r="P23" s="430"/>
      <c r="Q23" s="325" t="str">
        <f>IFERROR(VLOOKUP(P23, Tarieven!$A$2:$J$150, 10, FALSE), "0")</f>
        <v>0</v>
      </c>
      <c r="R23" s="431" t="str">
        <f>Oktober!R22</f>
        <v/>
      </c>
      <c r="S23" s="430" t="str">
        <f>Oktober!S22</f>
        <v/>
      </c>
      <c r="T23" s="325" t="str">
        <f>IFERROR(VLOOKUP(S23, Tarieven!$A$2:$J$150, 10, FALSE), "0")</f>
        <v>0</v>
      </c>
      <c r="U23" s="77" t="str">
        <f>Oktober!U23</f>
        <v/>
      </c>
      <c r="V23" s="327" t="str">
        <f>Oktober!V23</f>
        <v/>
      </c>
      <c r="W23" s="325" t="str">
        <f>IFERROR(VLOOKUP(V23, Tarieven!$A$2:$J$150, 10, FALSE), "0")</f>
        <v>0</v>
      </c>
      <c r="X23" s="138">
        <f>Oktober!X23</f>
        <v>0</v>
      </c>
      <c r="Y23" s="398">
        <v>0.0</v>
      </c>
      <c r="Z23" s="329">
        <f t="shared" si="3"/>
        <v>1</v>
      </c>
      <c r="AA23" s="32">
        <f t="shared" si="4"/>
        <v>0</v>
      </c>
      <c r="AB23" s="32">
        <f t="shared" si="5"/>
        <v>0</v>
      </c>
      <c r="AC23" s="32">
        <f t="shared" si="6"/>
        <v>0</v>
      </c>
    </row>
    <row r="24" ht="22.5" customHeight="1">
      <c r="A24" s="331" t="str">
        <f>Rooster!A25</f>
        <v>Donderdag</v>
      </c>
      <c r="B24" s="396">
        <f>Rooster!B25</f>
        <v>0.6458333333</v>
      </c>
      <c r="C24" s="15">
        <f>Rooster!C25</f>
        <v>60</v>
      </c>
      <c r="D24" s="11" t="str">
        <f>Rooster!D25</f>
        <v>Showdance 6+</v>
      </c>
      <c r="E24" s="77">
        <v>4.0</v>
      </c>
      <c r="F24" s="327" t="str">
        <f>Rooster!E25</f>
        <v>Eigenaar</v>
      </c>
      <c r="G24" s="319">
        <f>IFERROR(VLOOKUP(F24, Docenten!$A$2:$G$30, 7, FALSE), "0")</f>
        <v>0</v>
      </c>
      <c r="H24" s="320">
        <f t="shared" si="1"/>
        <v>0</v>
      </c>
      <c r="I24" s="327" t="str">
        <f>Rooster!H25</f>
        <v>Santpoort Zuid</v>
      </c>
      <c r="J24" s="321">
        <f>IFERROR(VLOOKUP(I24, Locaties!$A$2:$G$15, 7, FALSE), "0")</f>
        <v>18.9</v>
      </c>
      <c r="K24" s="42">
        <f t="shared" si="2"/>
        <v>18.9</v>
      </c>
      <c r="L24" s="440">
        <v>5.0</v>
      </c>
      <c r="M24" s="439" t="s">
        <v>54</v>
      </c>
      <c r="N24" s="321">
        <f>IFERROR(VLOOKUP(M24, Tarieven!$A$1:$J$150, 10, FALSE), "0")</f>
        <v>31</v>
      </c>
      <c r="O24" s="437">
        <v>3.0</v>
      </c>
      <c r="P24" s="438" t="s">
        <v>62</v>
      </c>
      <c r="Q24" s="325">
        <f>IFERROR(VLOOKUP(P24, Tarieven!$A$2:$J$150, 10, FALSE), "0")</f>
        <v>28.55</v>
      </c>
      <c r="R24" s="431" t="str">
        <f>Oktober!R23</f>
        <v/>
      </c>
      <c r="S24" s="430" t="str">
        <f>Oktober!S23</f>
        <v/>
      </c>
      <c r="T24" s="325" t="str">
        <f>IFERROR(VLOOKUP(S24, Tarieven!$A$2:$J$150, 10, FALSE), "0")</f>
        <v>0</v>
      </c>
      <c r="U24" s="77" t="str">
        <f>Oktober!U24</f>
        <v/>
      </c>
      <c r="V24" s="327" t="str">
        <f>Oktober!V24</f>
        <v/>
      </c>
      <c r="W24" s="325" t="str">
        <f>IFERROR(VLOOKUP(V24, Tarieven!$A$2:$J$150, 10, FALSE), "0")</f>
        <v>0</v>
      </c>
      <c r="X24" s="138">
        <f>Oktober!X24</f>
        <v>4</v>
      </c>
      <c r="Y24" s="398">
        <v>0.0</v>
      </c>
      <c r="Z24" s="329">
        <f t="shared" si="3"/>
        <v>12</v>
      </c>
      <c r="AA24" s="32">
        <f t="shared" si="4"/>
        <v>75.6</v>
      </c>
      <c r="AB24" s="32">
        <f t="shared" si="5"/>
        <v>240.65</v>
      </c>
      <c r="AC24" s="32">
        <f t="shared" si="6"/>
        <v>165.05</v>
      </c>
    </row>
    <row r="25" ht="22.5" customHeight="1">
      <c r="A25" s="331" t="str">
        <f>Rooster!A26</f>
        <v>Donderdag</v>
      </c>
      <c r="B25" s="396">
        <f>Rooster!B26</f>
        <v>0.6875</v>
      </c>
      <c r="C25" s="15">
        <f>Rooster!C26</f>
        <v>60</v>
      </c>
      <c r="D25" s="11" t="str">
        <f>Rooster!D26</f>
        <v>Showdance 8+</v>
      </c>
      <c r="E25" s="77">
        <v>4.0</v>
      </c>
      <c r="F25" s="327" t="str">
        <f>Rooster!E26</f>
        <v>Eigenaar</v>
      </c>
      <c r="G25" s="319">
        <f>IFERROR(VLOOKUP(F25, Docenten!$A$2:$G$30, 7, FALSE), "0")</f>
        <v>0</v>
      </c>
      <c r="H25" s="320">
        <f t="shared" si="1"/>
        <v>0</v>
      </c>
      <c r="I25" s="327" t="str">
        <f>Rooster!H26</f>
        <v>Santpoort Zuid</v>
      </c>
      <c r="J25" s="321">
        <f>IFERROR(VLOOKUP(I25, Locaties!$A$2:$G$15, 7, FALSE), "0")</f>
        <v>18.9</v>
      </c>
      <c r="K25" s="42">
        <f t="shared" si="2"/>
        <v>18.9</v>
      </c>
      <c r="L25" s="427">
        <f>Oktober!L24</f>
        <v>4</v>
      </c>
      <c r="M25" s="428" t="str">
        <f>Oktober!M24</f>
        <v>1x per week abbo</v>
      </c>
      <c r="N25" s="321">
        <f>IFERROR(VLOOKUP(M25, Tarieven!$A$1:$J$150, 10, FALSE), "0")</f>
        <v>31</v>
      </c>
      <c r="O25" s="429">
        <f>Oktober!O24</f>
        <v>3</v>
      </c>
      <c r="P25" s="430" t="str">
        <f>Oktober!P24</f>
        <v>2x per week abbo</v>
      </c>
      <c r="Q25" s="325">
        <f>IFERROR(VLOOKUP(P25, Tarieven!$A$2:$J$150, 10, FALSE), "0")</f>
        <v>28.55</v>
      </c>
      <c r="R25" s="431" t="str">
        <f>Oktober!R24</f>
        <v/>
      </c>
      <c r="S25" s="430" t="str">
        <f>Oktober!S24</f>
        <v/>
      </c>
      <c r="T25" s="325" t="str">
        <f>IFERROR(VLOOKUP(S25, Tarieven!$A$2:$J$150, 10, FALSE), "0")</f>
        <v>0</v>
      </c>
      <c r="U25" s="77" t="str">
        <f>Oktober!U25</f>
        <v/>
      </c>
      <c r="V25" s="327" t="str">
        <f>Oktober!V25</f>
        <v/>
      </c>
      <c r="W25" s="325" t="str">
        <f>IFERROR(VLOOKUP(V25, Tarieven!$A$2:$J$150, 10, FALSE), "0")</f>
        <v>0</v>
      </c>
      <c r="X25" s="138">
        <f>Oktober!X25</f>
        <v>4</v>
      </c>
      <c r="Y25" s="398">
        <v>0.0</v>
      </c>
      <c r="Z25" s="329">
        <f t="shared" si="3"/>
        <v>11</v>
      </c>
      <c r="AA25" s="32">
        <f t="shared" si="4"/>
        <v>75.6</v>
      </c>
      <c r="AB25" s="32">
        <f t="shared" si="5"/>
        <v>209.65</v>
      </c>
      <c r="AC25" s="32">
        <f t="shared" si="6"/>
        <v>134.05</v>
      </c>
    </row>
    <row r="26" ht="22.5" customHeight="1">
      <c r="A26" s="331" t="str">
        <f>Rooster!A27</f>
        <v>Donderdag</v>
      </c>
      <c r="B26" s="396">
        <f>Rooster!B27</f>
        <v>0.7291666667</v>
      </c>
      <c r="C26" s="15">
        <f>Rooster!C27</f>
        <v>60</v>
      </c>
      <c r="D26" s="11" t="str">
        <f>Rooster!D27</f>
        <v>Modern 14+</v>
      </c>
      <c r="E26" s="77">
        <v>4.0</v>
      </c>
      <c r="F26" s="327" t="str">
        <f>Rooster!E27</f>
        <v>Eigenaar</v>
      </c>
      <c r="G26" s="319">
        <f>IFERROR(VLOOKUP(F26, Docenten!$A$2:$G$30, 7, FALSE), "0")</f>
        <v>0</v>
      </c>
      <c r="H26" s="320">
        <f t="shared" si="1"/>
        <v>0</v>
      </c>
      <c r="I26" s="327" t="str">
        <f>Rooster!H27</f>
        <v>Santpoort Zuid</v>
      </c>
      <c r="J26" s="321">
        <f>IFERROR(VLOOKUP(I26, Locaties!$A$2:$G$15, 7, FALSE), "0")</f>
        <v>18.9</v>
      </c>
      <c r="K26" s="42">
        <f t="shared" si="2"/>
        <v>18.9</v>
      </c>
      <c r="L26" s="440">
        <v>3.0</v>
      </c>
      <c r="M26" s="439" t="s">
        <v>71</v>
      </c>
      <c r="N26" s="321">
        <f>IFERROR(VLOOKUP(M26, Tarieven!$A$1:$J$150, 10, FALSE), "0")</f>
        <v>28.93333333</v>
      </c>
      <c r="O26" s="437">
        <v>1.0</v>
      </c>
      <c r="P26" s="438" t="s">
        <v>62</v>
      </c>
      <c r="Q26" s="325">
        <f>IFERROR(VLOOKUP(P26, Tarieven!$A$2:$J$150, 10, FALSE), "0")</f>
        <v>28.55</v>
      </c>
      <c r="R26" s="441">
        <v>2.0</v>
      </c>
      <c r="S26" s="438" t="s">
        <v>92</v>
      </c>
      <c r="T26" s="325">
        <f>IFERROR(VLOOKUP(S26, Tarieven!$A$2:$J$150, 10, FALSE), "0")</f>
        <v>31.53333333</v>
      </c>
      <c r="U26" s="77" t="str">
        <f>Oktober!U26</f>
        <v/>
      </c>
      <c r="V26" s="327" t="str">
        <f>Oktober!V26</f>
        <v/>
      </c>
      <c r="W26" s="325" t="str">
        <f>IFERROR(VLOOKUP(V26, Tarieven!$A$2:$J$150, 10, FALSE), "0")</f>
        <v>0</v>
      </c>
      <c r="X26" s="138">
        <f>Oktober!X26</f>
        <v>7</v>
      </c>
      <c r="Y26" s="398">
        <v>0.0</v>
      </c>
      <c r="Z26" s="329">
        <f t="shared" si="3"/>
        <v>13</v>
      </c>
      <c r="AA26" s="32">
        <f t="shared" si="4"/>
        <v>75.6</v>
      </c>
      <c r="AB26" s="32">
        <f t="shared" si="5"/>
        <v>178.4166667</v>
      </c>
      <c r="AC26" s="32">
        <f t="shared" si="6"/>
        <v>102.8166667</v>
      </c>
    </row>
    <row r="27" ht="22.5" customHeight="1">
      <c r="A27" s="331" t="str">
        <f>Rooster!A28</f>
        <v>Donderdag</v>
      </c>
      <c r="B27" s="396">
        <f>Rooster!B28</f>
        <v>0.7708333333</v>
      </c>
      <c r="C27" s="15">
        <f>Rooster!C28</f>
        <v>60</v>
      </c>
      <c r="D27" s="11" t="str">
        <f>Rooster!D28</f>
        <v>Commercial 14+</v>
      </c>
      <c r="E27" s="77">
        <v>4.0</v>
      </c>
      <c r="F27" s="327" t="str">
        <f>Rooster!E28</f>
        <v>Nova</v>
      </c>
      <c r="G27" s="319">
        <f>IFERROR(VLOOKUP(F27, Docenten!$A$2:$G$30, 7, FALSE), "0")</f>
        <v>22.5</v>
      </c>
      <c r="H27" s="320">
        <f t="shared" si="1"/>
        <v>22.5</v>
      </c>
      <c r="I27" s="327" t="str">
        <f>Rooster!H28</f>
        <v>Santpoort Zuid</v>
      </c>
      <c r="J27" s="321">
        <f>IFERROR(VLOOKUP(I27, Locaties!$A$2:$G$15, 7, FALSE), "0")</f>
        <v>18.9</v>
      </c>
      <c r="K27" s="42">
        <f t="shared" si="2"/>
        <v>18.9</v>
      </c>
      <c r="L27" s="440">
        <v>4.0</v>
      </c>
      <c r="M27" s="428" t="str">
        <f>Oktober!M26</f>
        <v>3x per week abbo</v>
      </c>
      <c r="N27" s="321">
        <f>IFERROR(VLOOKUP(M27, Tarieven!$A$1:$J$150, 10, FALSE), "0")</f>
        <v>28.93333333</v>
      </c>
      <c r="O27" s="437">
        <v>2.0</v>
      </c>
      <c r="P27" s="438" t="s">
        <v>62</v>
      </c>
      <c r="Q27" s="325">
        <f>IFERROR(VLOOKUP(P27, Tarieven!$A$2:$J$150, 10, FALSE), "0")</f>
        <v>28.55</v>
      </c>
      <c r="R27" s="431">
        <f>Oktober!R26</f>
        <v>2</v>
      </c>
      <c r="S27" s="430" t="str">
        <f>Oktober!S26</f>
        <v>Cheer selectie +2 abbo</v>
      </c>
      <c r="T27" s="325">
        <f>IFERROR(VLOOKUP(S27, Tarieven!$A$2:$J$150, 10, FALSE), "0")</f>
        <v>31.53333333</v>
      </c>
      <c r="U27" s="77">
        <f>Oktober!U27</f>
        <v>1</v>
      </c>
      <c r="V27" s="327" t="str">
        <f>Oktober!V27</f>
        <v>1x per week abbo</v>
      </c>
      <c r="W27" s="325">
        <f>IFERROR(VLOOKUP(V27, Tarieven!$A$2:$J$150, 10, FALSE), "0")</f>
        <v>31</v>
      </c>
      <c r="X27" s="138">
        <f>Oktober!X27</f>
        <v>10</v>
      </c>
      <c r="Y27" s="398">
        <v>0.0</v>
      </c>
      <c r="Z27" s="329">
        <f t="shared" si="3"/>
        <v>19</v>
      </c>
      <c r="AA27" s="32">
        <f t="shared" si="4"/>
        <v>165.6</v>
      </c>
      <c r="AB27" s="32">
        <f t="shared" si="5"/>
        <v>266.9</v>
      </c>
      <c r="AC27" s="32">
        <f t="shared" si="6"/>
        <v>101.3</v>
      </c>
    </row>
    <row r="28" ht="22.5" customHeight="1">
      <c r="A28" s="331" t="str">
        <f>Rooster!A29</f>
        <v>Donderdag</v>
      </c>
      <c r="B28" s="396">
        <f>Rooster!B29</f>
        <v>0.8125</v>
      </c>
      <c r="C28" s="15">
        <f>Rooster!C29</f>
        <v>60</v>
      </c>
      <c r="D28" s="11" t="str">
        <f>Rooster!D29</f>
        <v>Selectie Hiphop 16+</v>
      </c>
      <c r="E28" s="77">
        <v>4.0</v>
      </c>
      <c r="F28" s="327" t="str">
        <f>Rooster!E29</f>
        <v>Nova</v>
      </c>
      <c r="G28" s="319">
        <f>IFERROR(VLOOKUP(F28, Docenten!$A$2:$G$30, 7, FALSE), "0")</f>
        <v>22.5</v>
      </c>
      <c r="H28" s="320">
        <f t="shared" si="1"/>
        <v>22.5</v>
      </c>
      <c r="I28" s="327" t="str">
        <f>Rooster!H29</f>
        <v>Santpoort Zuid</v>
      </c>
      <c r="J28" s="321">
        <f>IFERROR(VLOOKUP(I28, Locaties!$A$2:$G$15, 7, FALSE), "0")</f>
        <v>18.9</v>
      </c>
      <c r="K28" s="42">
        <f t="shared" si="2"/>
        <v>18.9</v>
      </c>
      <c r="L28" s="427">
        <f>Oktober!L27</f>
        <v>2</v>
      </c>
      <c r="M28" s="428" t="str">
        <f>Oktober!M27</f>
        <v>Cheer selectie +2 abbo</v>
      </c>
      <c r="N28" s="321">
        <f>IFERROR(VLOOKUP(M28, Tarieven!$A$1:$J$150, 10, FALSE), "0")</f>
        <v>31.53333333</v>
      </c>
      <c r="O28" s="429">
        <f>Oktober!O27</f>
        <v>3</v>
      </c>
      <c r="P28" s="430" t="str">
        <f>Oktober!P27</f>
        <v>3x per week abbo</v>
      </c>
      <c r="Q28" s="325">
        <f>IFERROR(VLOOKUP(P28, Tarieven!$A$2:$J$150, 10, FALSE), "0")</f>
        <v>28.93333333</v>
      </c>
      <c r="R28" s="431">
        <f>Oktober!R27</f>
        <v>2</v>
      </c>
      <c r="S28" s="430" t="str">
        <f>Oktober!S27</f>
        <v>2x per week abbo</v>
      </c>
      <c r="T28" s="325">
        <f>IFERROR(VLOOKUP(S28, Tarieven!$A$2:$J$150, 10, FALSE), "0")</f>
        <v>28.55</v>
      </c>
      <c r="U28" s="77" t="str">
        <f>Oktober!U28</f>
        <v/>
      </c>
      <c r="V28" s="327" t="str">
        <f>Oktober!V28</f>
        <v/>
      </c>
      <c r="W28" s="325" t="str">
        <f>IFERROR(VLOOKUP(V28, Tarieven!$A$2:$J$150, 10, FALSE), "0")</f>
        <v>0</v>
      </c>
      <c r="X28" s="138">
        <f>Oktober!X28</f>
        <v>8</v>
      </c>
      <c r="Y28" s="398">
        <v>0.0</v>
      </c>
      <c r="Z28" s="329">
        <f t="shared" si="3"/>
        <v>15</v>
      </c>
      <c r="AA28" s="32">
        <f t="shared" si="4"/>
        <v>165.6</v>
      </c>
      <c r="AB28" s="32">
        <f t="shared" si="5"/>
        <v>206.9666667</v>
      </c>
      <c r="AC28" s="32">
        <f t="shared" si="6"/>
        <v>41.36666667</v>
      </c>
    </row>
    <row r="29" ht="22.5" customHeight="1">
      <c r="A29" s="331" t="str">
        <f>Rooster!A30</f>
        <v>Donderdag</v>
      </c>
      <c r="B29" s="396">
        <f>Rooster!B30</f>
        <v>0.8541666667</v>
      </c>
      <c r="C29" s="15">
        <f>Rooster!C30</f>
        <v>60</v>
      </c>
      <c r="D29" s="11" t="str">
        <f>Rooster!D30</f>
        <v>Modern 16+</v>
      </c>
      <c r="E29" s="77">
        <v>4.0</v>
      </c>
      <c r="F29" s="327" t="str">
        <f>Rooster!E30</f>
        <v>Nova</v>
      </c>
      <c r="G29" s="319">
        <f>IFERROR(VLOOKUP(F29, Docenten!$A$2:$G$30, 7, FALSE), "0")</f>
        <v>22.5</v>
      </c>
      <c r="H29" s="320">
        <f t="shared" si="1"/>
        <v>22.5</v>
      </c>
      <c r="I29" s="327" t="str">
        <f>Rooster!H30</f>
        <v>Santpoort Zuid</v>
      </c>
      <c r="J29" s="321">
        <f>IFERROR(VLOOKUP(I29, Locaties!$A$2:$G$15, 7, FALSE), "0")</f>
        <v>18.9</v>
      </c>
      <c r="K29" s="42">
        <f t="shared" si="2"/>
        <v>18.9</v>
      </c>
      <c r="L29" s="440">
        <v>1.0</v>
      </c>
      <c r="M29" s="439" t="s">
        <v>54</v>
      </c>
      <c r="N29" s="321">
        <f>IFERROR(VLOOKUP(M29, Tarieven!$A$1:$J$150, 10, FALSE), "0")</f>
        <v>31</v>
      </c>
      <c r="O29" s="437">
        <v>1.0</v>
      </c>
      <c r="P29" s="430" t="str">
        <f>Oktober!P28</f>
        <v>3x per week abbo</v>
      </c>
      <c r="Q29" s="325">
        <f>IFERROR(VLOOKUP(P29, Tarieven!$A$2:$J$150, 10, FALSE), "0")</f>
        <v>28.93333333</v>
      </c>
      <c r="R29" s="431"/>
      <c r="S29" s="430"/>
      <c r="T29" s="325" t="str">
        <f>IFERROR(VLOOKUP(S29, Tarieven!$A$2:$J$150, 10, FALSE), "0")</f>
        <v>0</v>
      </c>
      <c r="U29" s="77" t="str">
        <f>Oktober!U29</f>
        <v/>
      </c>
      <c r="V29" s="327" t="str">
        <f>Oktober!V29</f>
        <v/>
      </c>
      <c r="W29" s="325" t="str">
        <f>IFERROR(VLOOKUP(V29, Tarieven!$A$2:$J$150, 10, FALSE), "0")</f>
        <v>0</v>
      </c>
      <c r="X29" s="138">
        <f>Oktober!X29</f>
        <v>5</v>
      </c>
      <c r="Y29" s="398">
        <v>0.0</v>
      </c>
      <c r="Z29" s="329">
        <f t="shared" si="3"/>
        <v>7</v>
      </c>
      <c r="AA29" s="32">
        <f t="shared" si="4"/>
        <v>165.6</v>
      </c>
      <c r="AB29" s="32">
        <f t="shared" si="5"/>
        <v>59.93333333</v>
      </c>
      <c r="AC29" s="32">
        <f t="shared" si="6"/>
        <v>-105.6666667</v>
      </c>
    </row>
    <row r="30" ht="22.5" customHeight="1">
      <c r="A30" s="331" t="str">
        <f>Rooster!A31</f>
        <v>Vrijdag</v>
      </c>
      <c r="B30" s="396">
        <f>Rooster!B31</f>
        <v>0.625</v>
      </c>
      <c r="C30" s="15">
        <f>Rooster!C31</f>
        <v>60</v>
      </c>
      <c r="D30" s="11" t="str">
        <f>Rooster!D31</f>
        <v>Selectie Hiphop 8+</v>
      </c>
      <c r="E30" s="77">
        <v>4.0</v>
      </c>
      <c r="F30" s="327" t="str">
        <f>Rooster!E31</f>
        <v>Eigenaar</v>
      </c>
      <c r="G30" s="319">
        <f>IFERROR(VLOOKUP(F30, Docenten!$A$2:$G$30, 7, FALSE), "0")</f>
        <v>0</v>
      </c>
      <c r="H30" s="320">
        <f t="shared" si="1"/>
        <v>0</v>
      </c>
      <c r="I30" s="327" t="str">
        <f>Rooster!H31</f>
        <v>Santpoort Zuid</v>
      </c>
      <c r="J30" s="321">
        <f>IFERROR(VLOOKUP(I30, Locaties!$A$2:$G$15, 7, FALSE), "0")</f>
        <v>18.9</v>
      </c>
      <c r="K30" s="42">
        <f t="shared" si="2"/>
        <v>18.9</v>
      </c>
      <c r="L30" s="440">
        <v>5.0</v>
      </c>
      <c r="M30" s="439" t="s">
        <v>62</v>
      </c>
      <c r="N30" s="321">
        <f>IFERROR(VLOOKUP(M30, Tarieven!$A$1:$J$150, 10, FALSE), "0")</f>
        <v>28.55</v>
      </c>
      <c r="O30" s="437">
        <v>3.0</v>
      </c>
      <c r="P30" s="438" t="s">
        <v>157</v>
      </c>
      <c r="Q30" s="325">
        <f>IFERROR(VLOOKUP(P30, Tarieven!$A$2:$J$150, 10, FALSE), "0")</f>
        <v>44.45</v>
      </c>
      <c r="R30" s="441">
        <v>1.0</v>
      </c>
      <c r="S30" s="438" t="s">
        <v>141</v>
      </c>
      <c r="T30" s="325">
        <f>IFERROR(VLOOKUP(S30, Tarieven!$A$2:$J$150, 10, FALSE), "0")</f>
        <v>29.03333333</v>
      </c>
      <c r="U30" s="77" t="str">
        <f>Oktober!U30</f>
        <v/>
      </c>
      <c r="V30" s="327" t="str">
        <f>Oktober!V30</f>
        <v/>
      </c>
      <c r="W30" s="325" t="str">
        <f>IFERROR(VLOOKUP(V30, Tarieven!$A$2:$J$150, 10, FALSE), "0")</f>
        <v>0</v>
      </c>
      <c r="X30" s="138">
        <f>Oktober!X30</f>
        <v>4</v>
      </c>
      <c r="Y30" s="398">
        <v>0.0</v>
      </c>
      <c r="Z30" s="329">
        <f t="shared" si="3"/>
        <v>13</v>
      </c>
      <c r="AA30" s="32">
        <f t="shared" si="4"/>
        <v>75.6</v>
      </c>
      <c r="AB30" s="32">
        <f t="shared" si="5"/>
        <v>305.1333333</v>
      </c>
      <c r="AC30" s="32">
        <f t="shared" si="6"/>
        <v>229.5333333</v>
      </c>
    </row>
    <row r="31" ht="22.5" customHeight="1">
      <c r="A31" s="331" t="str">
        <f>Rooster!A32</f>
        <v>Vrijdag</v>
      </c>
      <c r="B31" s="396">
        <f>Rooster!B32</f>
        <v>0.6666666667</v>
      </c>
      <c r="C31" s="15">
        <f>Rooster!C32</f>
        <v>60</v>
      </c>
      <c r="D31" s="11" t="str">
        <f>Rooster!D32</f>
        <v>Cheer 8+</v>
      </c>
      <c r="E31" s="77">
        <v>4.0</v>
      </c>
      <c r="F31" s="327" t="str">
        <f>Rooster!E32</f>
        <v>Eigenaar</v>
      </c>
      <c r="G31" s="319">
        <f>IFERROR(VLOOKUP(F31, Docenten!$A$2:$G$30, 7, FALSE), "0")</f>
        <v>0</v>
      </c>
      <c r="H31" s="320">
        <f t="shared" si="1"/>
        <v>0</v>
      </c>
      <c r="I31" s="327" t="str">
        <f>Rooster!H32</f>
        <v>Santpoort Zuid</v>
      </c>
      <c r="J31" s="321">
        <f>IFERROR(VLOOKUP(I31, Locaties!$A$2:$G$15, 7, FALSE), "0")</f>
        <v>18.9</v>
      </c>
      <c r="K31" s="42">
        <f t="shared" si="2"/>
        <v>18.9</v>
      </c>
      <c r="L31" s="440">
        <v>3.0</v>
      </c>
      <c r="M31" s="439" t="s">
        <v>157</v>
      </c>
      <c r="N31" s="321">
        <f>IFERROR(VLOOKUP(M31, Tarieven!$A$1:$J$150, 10, FALSE), "0")</f>
        <v>44.45</v>
      </c>
      <c r="O31" s="437">
        <v>4.0</v>
      </c>
      <c r="P31" s="438" t="s">
        <v>87</v>
      </c>
      <c r="Q31" s="325">
        <f>IFERROR(VLOOKUP(P31, Tarieven!$A$2:$J$150, 10, FALSE), "0")</f>
        <v>32.25</v>
      </c>
      <c r="R31" s="431"/>
      <c r="S31" s="430"/>
      <c r="T31" s="325" t="str">
        <f>IFERROR(VLOOKUP(S31, Tarieven!$A$2:$J$150, 10, FALSE), "0")</f>
        <v>0</v>
      </c>
      <c r="U31" s="77"/>
      <c r="V31" s="70"/>
      <c r="W31" s="432"/>
      <c r="X31" s="138">
        <f>Oktober!X31</f>
        <v>11</v>
      </c>
      <c r="Y31" s="398">
        <v>0.0</v>
      </c>
      <c r="Z31" s="329">
        <f t="shared" si="3"/>
        <v>18</v>
      </c>
      <c r="AA31" s="32">
        <f t="shared" si="4"/>
        <v>75.6</v>
      </c>
      <c r="AB31" s="32">
        <f t="shared" si="5"/>
        <v>262.35</v>
      </c>
      <c r="AC31" s="32">
        <f t="shared" si="6"/>
        <v>186.75</v>
      </c>
    </row>
    <row r="32" ht="22.5" customHeight="1">
      <c r="A32" s="331" t="str">
        <f>Rooster!A33</f>
        <v>Vrijdag</v>
      </c>
      <c r="B32" s="396">
        <f>Rooster!B33</f>
        <v>0.7083333333</v>
      </c>
      <c r="C32" s="15">
        <f>Rooster!C33</f>
        <v>60</v>
      </c>
      <c r="D32" s="11" t="str">
        <f>Rooster!D33</f>
        <v>Cheer 12+</v>
      </c>
      <c r="E32" s="77">
        <v>4.0</v>
      </c>
      <c r="F32" s="327" t="str">
        <f>Rooster!E33</f>
        <v>Eigenaar</v>
      </c>
      <c r="G32" s="319">
        <f>IFERROR(VLOOKUP(F32, Docenten!$A$2:$G$30, 7, FALSE), "0")</f>
        <v>0</v>
      </c>
      <c r="H32" s="320">
        <f t="shared" si="1"/>
        <v>0</v>
      </c>
      <c r="I32" s="327" t="str">
        <f>Rooster!H33</f>
        <v>Santpoort Zuid</v>
      </c>
      <c r="J32" s="321">
        <f>IFERROR(VLOOKUP(I32, Locaties!$A$2:$G$15, 7, FALSE), "0")</f>
        <v>18.9</v>
      </c>
      <c r="K32" s="42">
        <f t="shared" si="2"/>
        <v>18.9</v>
      </c>
      <c r="L32" s="427">
        <f>Oktober!L31</f>
        <v>4</v>
      </c>
      <c r="M32" s="428" t="str">
        <f>Oktober!M31</f>
        <v>Cheer regulier +1 abbo</v>
      </c>
      <c r="N32" s="321">
        <f>IFERROR(VLOOKUP(M32, Tarieven!$A$1:$J$150, 10, FALSE), "0")</f>
        <v>32.25</v>
      </c>
      <c r="O32" s="429">
        <f>Oktober!O31</f>
        <v>3</v>
      </c>
      <c r="P32" s="430" t="str">
        <f>Oktober!P31</f>
        <v>Cheer regulier + onbeperkt abbo</v>
      </c>
      <c r="Q32" s="325">
        <f>IFERROR(VLOOKUP(P32, Tarieven!$A$2:$J$150, 10, FALSE), "0")</f>
        <v>44.45</v>
      </c>
      <c r="R32" s="441">
        <v>1.0</v>
      </c>
      <c r="S32" s="438" t="s">
        <v>46</v>
      </c>
      <c r="T32" s="432">
        <v>20.0</v>
      </c>
      <c r="U32" s="77" t="str">
        <f>Oktober!U32</f>
        <v/>
      </c>
      <c r="V32" s="327" t="str">
        <f>Oktober!V32</f>
        <v/>
      </c>
      <c r="W32" s="325" t="str">
        <f>IFERROR(VLOOKUP(V32, Tarieven!$A$2:$J$150, 10, FALSE), "0")</f>
        <v>0</v>
      </c>
      <c r="X32" s="138">
        <f>Oktober!X32</f>
        <v>5</v>
      </c>
      <c r="Y32" s="398">
        <v>0.0</v>
      </c>
      <c r="Z32" s="329">
        <f t="shared" si="3"/>
        <v>13</v>
      </c>
      <c r="AA32" s="32">
        <f t="shared" si="4"/>
        <v>75.6</v>
      </c>
      <c r="AB32" s="32">
        <f t="shared" si="5"/>
        <v>282.35</v>
      </c>
      <c r="AC32" s="32">
        <f t="shared" si="6"/>
        <v>206.75</v>
      </c>
    </row>
    <row r="33" ht="22.5" customHeight="1">
      <c r="A33" s="331" t="str">
        <f>Rooster!A34</f>
        <v>Vrijdag</v>
      </c>
      <c r="B33" s="396">
        <f>Rooster!B34</f>
        <v>0.75</v>
      </c>
      <c r="C33" s="15">
        <f>Rooster!C34</f>
        <v>60</v>
      </c>
      <c r="D33" s="11" t="str">
        <f>Rooster!D34</f>
        <v>Urban-pop-Show 11+</v>
      </c>
      <c r="E33" s="77">
        <v>4.0</v>
      </c>
      <c r="F33" s="327" t="str">
        <f>Rooster!E34</f>
        <v>Eigenaar</v>
      </c>
      <c r="G33" s="319">
        <f>IFERROR(VLOOKUP(F33, Docenten!$A$2:$G$30, 7, FALSE), "0")</f>
        <v>0</v>
      </c>
      <c r="H33" s="320">
        <f t="shared" si="1"/>
        <v>0</v>
      </c>
      <c r="I33" s="327" t="str">
        <f>Rooster!H34</f>
        <v>Santpoort Noord</v>
      </c>
      <c r="J33" s="321">
        <f>IFERROR(VLOOKUP(I33, Locaties!$A$2:$G$15, 7, FALSE), "0")</f>
        <v>14.2</v>
      </c>
      <c r="K33" s="42">
        <f t="shared" si="2"/>
        <v>14.2</v>
      </c>
      <c r="L33" s="427">
        <f>Oktober!L32</f>
        <v>2</v>
      </c>
      <c r="M33" s="428" t="str">
        <f>Oktober!M32</f>
        <v>Cheer regulier +1 abbo</v>
      </c>
      <c r="N33" s="321">
        <f>IFERROR(VLOOKUP(M33, Tarieven!$A$1:$J$150, 10, FALSE), "0")</f>
        <v>32.25</v>
      </c>
      <c r="O33" s="429" t="str">
        <f>Oktober!O32</f>
        <v/>
      </c>
      <c r="P33" s="430" t="str">
        <f>Oktober!P32</f>
        <v/>
      </c>
      <c r="Q33" s="325"/>
      <c r="R33" s="431" t="str">
        <f>Oktober!R32</f>
        <v/>
      </c>
      <c r="S33" s="430" t="str">
        <f>Oktober!S32</f>
        <v/>
      </c>
      <c r="T33" s="325" t="str">
        <f>IFERROR(VLOOKUP(S33, Tarieven!$A$2:$J$150, 10, FALSE), "0")</f>
        <v>0</v>
      </c>
      <c r="U33" s="77" t="str">
        <f>Oktober!U33</f>
        <v/>
      </c>
      <c r="V33" s="327" t="str">
        <f>Oktober!V33</f>
        <v/>
      </c>
      <c r="W33" s="325" t="str">
        <f>IFERROR(VLOOKUP(V33, Tarieven!$A$2:$J$150, 10, FALSE), "0")</f>
        <v>0</v>
      </c>
      <c r="X33" s="138">
        <f>Oktober!X33</f>
        <v>8</v>
      </c>
      <c r="Y33" s="398">
        <v>0.0</v>
      </c>
      <c r="Z33" s="329">
        <f t="shared" si="3"/>
        <v>10</v>
      </c>
      <c r="AA33" s="32">
        <f t="shared" si="4"/>
        <v>56.8</v>
      </c>
      <c r="AB33" s="32">
        <f t="shared" si="5"/>
        <v>64.5</v>
      </c>
      <c r="AC33" s="32">
        <f t="shared" si="6"/>
        <v>7.7</v>
      </c>
    </row>
    <row r="34" ht="22.5" customHeight="1">
      <c r="A34" s="331" t="str">
        <f>Rooster!A35</f>
        <v>Zaterdag</v>
      </c>
      <c r="B34" s="396">
        <f>Rooster!B35</f>
        <v>0.375</v>
      </c>
      <c r="C34" s="15">
        <f>Rooster!C35</f>
        <v>60</v>
      </c>
      <c r="D34" s="11" t="str">
        <f>Rooster!D35</f>
        <v>Peuters</v>
      </c>
      <c r="E34" s="77">
        <v>5.0</v>
      </c>
      <c r="F34" s="327" t="str">
        <f>Rooster!E35</f>
        <v>Frederique</v>
      </c>
      <c r="G34" s="319">
        <f>IFERROR(VLOOKUP(F34, Docenten!$A$2:$G$30, 7, FALSE), "0")</f>
        <v>12.5</v>
      </c>
      <c r="H34" s="320">
        <f t="shared" si="1"/>
        <v>12.5</v>
      </c>
      <c r="I34" s="327" t="str">
        <f>Rooster!H35</f>
        <v>Santpoort Noord</v>
      </c>
      <c r="J34" s="321">
        <f>IFERROR(VLOOKUP(I34, Locaties!$A$2:$G$15, 7, FALSE), "0")</f>
        <v>14.2</v>
      </c>
      <c r="K34" s="42">
        <f t="shared" si="2"/>
        <v>14.2</v>
      </c>
      <c r="L34" s="440">
        <v>9.0</v>
      </c>
      <c r="M34" s="428" t="str">
        <f>Oktober!M33</f>
        <v>1x per week abbo</v>
      </c>
      <c r="N34" s="321">
        <f>IFERROR(VLOOKUP(M34, Tarieven!$A$1:$J$150, 10, FALSE), "0")</f>
        <v>31</v>
      </c>
      <c r="O34" s="429">
        <f>Oktober!O33</f>
        <v>1</v>
      </c>
      <c r="P34" s="430"/>
      <c r="Q34" s="325"/>
      <c r="R34" s="431" t="str">
        <f>Oktober!R33</f>
        <v/>
      </c>
      <c r="S34" s="430" t="str">
        <f>Oktober!S33</f>
        <v/>
      </c>
      <c r="T34" s="325" t="str">
        <f>IFERROR(VLOOKUP(S34, Tarieven!$A$2:$J$150, 10, FALSE), "0")</f>
        <v>0</v>
      </c>
      <c r="U34" s="77" t="str">
        <f>Oktober!U34</f>
        <v/>
      </c>
      <c r="V34" s="327" t="str">
        <f>Oktober!V34</f>
        <v/>
      </c>
      <c r="W34" s="325" t="str">
        <f>IFERROR(VLOOKUP(V34, Tarieven!$A$2:$J$150, 10, FALSE), "0")</f>
        <v>0</v>
      </c>
      <c r="X34" s="138">
        <f>Oktober!X34</f>
        <v>4</v>
      </c>
      <c r="Y34" s="398">
        <v>0.0</v>
      </c>
      <c r="Z34" s="329">
        <f t="shared" si="3"/>
        <v>14</v>
      </c>
      <c r="AA34" s="32">
        <f t="shared" si="4"/>
        <v>133.5</v>
      </c>
      <c r="AB34" s="32">
        <f t="shared" si="5"/>
        <v>279</v>
      </c>
      <c r="AC34" s="32">
        <f t="shared" si="6"/>
        <v>145.5</v>
      </c>
    </row>
    <row r="35" ht="22.5" customHeight="1">
      <c r="A35" s="331" t="str">
        <f>Rooster!A36</f>
        <v>Zaterdag</v>
      </c>
      <c r="B35" s="396">
        <f>Rooster!B36</f>
        <v>0.40625</v>
      </c>
      <c r="C35" s="15">
        <f>Rooster!C36</f>
        <v>60</v>
      </c>
      <c r="D35" s="11" t="str">
        <f>Rooster!D36</f>
        <v>Kleuters</v>
      </c>
      <c r="E35" s="77">
        <v>5.0</v>
      </c>
      <c r="F35" s="327" t="str">
        <f>Rooster!E36</f>
        <v>Frederique</v>
      </c>
      <c r="G35" s="319">
        <f>IFERROR(VLOOKUP(F35, Docenten!$A$2:$G$30, 7, FALSE), "0")</f>
        <v>12.5</v>
      </c>
      <c r="H35" s="320">
        <f t="shared" si="1"/>
        <v>12.5</v>
      </c>
      <c r="I35" s="327" t="str">
        <f>Rooster!H36</f>
        <v>Santpoort Noord</v>
      </c>
      <c r="J35" s="321">
        <f>IFERROR(VLOOKUP(I35, Locaties!$A$2:$G$15, 7, FALSE), "0")</f>
        <v>14.2</v>
      </c>
      <c r="K35" s="42">
        <f t="shared" si="2"/>
        <v>14.2</v>
      </c>
      <c r="L35" s="440">
        <v>10.0</v>
      </c>
      <c r="M35" s="428" t="str">
        <f>Oktober!M34</f>
        <v>1x per week abbo</v>
      </c>
      <c r="N35" s="321">
        <f>IFERROR(VLOOKUP(M35, Tarieven!$A$1:$J$150, 10, FALSE), "0")</f>
        <v>31</v>
      </c>
      <c r="O35" s="429" t="str">
        <f>Oktober!O34</f>
        <v/>
      </c>
      <c r="P35" s="430" t="str">
        <f>Oktober!P34</f>
        <v/>
      </c>
      <c r="Q35" s="325"/>
      <c r="R35" s="431" t="str">
        <f>Oktober!R34</f>
        <v/>
      </c>
      <c r="S35" s="430" t="str">
        <f>Oktober!S34</f>
        <v/>
      </c>
      <c r="T35" s="325" t="str">
        <f>IFERROR(VLOOKUP(S35, Tarieven!$A$2:$J$150, 10, FALSE), "0")</f>
        <v>0</v>
      </c>
      <c r="U35" s="77" t="str">
        <f>Oktober!U35</f>
        <v/>
      </c>
      <c r="V35" s="327" t="str">
        <f>Oktober!V35</f>
        <v/>
      </c>
      <c r="W35" s="325" t="str">
        <f>IFERROR(VLOOKUP(V35, Tarieven!$A$2:$J$150, 10, FALSE), "0")</f>
        <v>0</v>
      </c>
      <c r="X35" s="138">
        <f>Oktober!X35</f>
        <v>5</v>
      </c>
      <c r="Y35" s="398">
        <v>0.0</v>
      </c>
      <c r="Z35" s="329">
        <f t="shared" si="3"/>
        <v>15</v>
      </c>
      <c r="AA35" s="32">
        <f t="shared" si="4"/>
        <v>133.5</v>
      </c>
      <c r="AB35" s="32">
        <f t="shared" si="5"/>
        <v>310</v>
      </c>
      <c r="AC35" s="32">
        <f t="shared" si="6"/>
        <v>176.5</v>
      </c>
    </row>
    <row r="36" ht="22.5" customHeight="1">
      <c r="A36" s="331" t="str">
        <f>Rooster!A37</f>
        <v>Zaterdag</v>
      </c>
      <c r="B36" s="396">
        <f>Rooster!B37</f>
        <v>0.4375</v>
      </c>
      <c r="C36" s="15">
        <f>Rooster!C37</f>
        <v>60</v>
      </c>
      <c r="D36" s="11" t="str">
        <f>Rooster!D37</f>
        <v>Showdance 5-6</v>
      </c>
      <c r="E36" s="77">
        <v>5.0</v>
      </c>
      <c r="F36" s="327" t="str">
        <f>Rooster!E37</f>
        <v>Frederique</v>
      </c>
      <c r="G36" s="319">
        <f>IFERROR(VLOOKUP(F36, Docenten!$A$2:$G$30, 7, FALSE), "0")</f>
        <v>12.5</v>
      </c>
      <c r="H36" s="320">
        <f t="shared" si="1"/>
        <v>12.5</v>
      </c>
      <c r="I36" s="327" t="str">
        <f>Rooster!H37</f>
        <v>Santpoort Noord</v>
      </c>
      <c r="J36" s="321">
        <f>IFERROR(VLOOKUP(I36, Locaties!$A$2:$G$15, 7, FALSE), "0")</f>
        <v>14.2</v>
      </c>
      <c r="K36" s="42">
        <f t="shared" si="2"/>
        <v>14.2</v>
      </c>
      <c r="L36" s="440">
        <v>1.0</v>
      </c>
      <c r="M36" s="428" t="str">
        <f>Oktober!M35</f>
        <v>1x per week abbo</v>
      </c>
      <c r="N36" s="321">
        <f>IFERROR(VLOOKUP(M36, Tarieven!$A$1:$J$150, 10, FALSE), "0")</f>
        <v>31</v>
      </c>
      <c r="O36" s="437">
        <v>1.0</v>
      </c>
      <c r="P36" s="438" t="s">
        <v>62</v>
      </c>
      <c r="Q36" s="432"/>
      <c r="R36" s="431" t="str">
        <f>Oktober!R35</f>
        <v/>
      </c>
      <c r="S36" s="430" t="str">
        <f>Oktober!S35</f>
        <v/>
      </c>
      <c r="T36" s="325" t="str">
        <f>IFERROR(VLOOKUP(S36, Tarieven!$A$2:$J$150, 10, FALSE), "0")</f>
        <v>0</v>
      </c>
      <c r="U36" s="77" t="str">
        <f>Oktober!U36</f>
        <v/>
      </c>
      <c r="V36" s="327" t="str">
        <f>Oktober!V36</f>
        <v/>
      </c>
      <c r="W36" s="325" t="str">
        <f>IFERROR(VLOOKUP(V36, Tarieven!$A$2:$J$150, 10, FALSE), "0")</f>
        <v>0</v>
      </c>
      <c r="X36" s="138">
        <f>Oktober!X36</f>
        <v>9</v>
      </c>
      <c r="Y36" s="398">
        <v>0.0</v>
      </c>
      <c r="Z36" s="329">
        <f t="shared" si="3"/>
        <v>11</v>
      </c>
      <c r="AA36" s="32">
        <f t="shared" si="4"/>
        <v>133.5</v>
      </c>
      <c r="AB36" s="32">
        <f t="shared" si="5"/>
        <v>31</v>
      </c>
      <c r="AC36" s="32">
        <f t="shared" si="6"/>
        <v>-102.5</v>
      </c>
    </row>
    <row r="37" ht="22.5" customHeight="1">
      <c r="A37" s="331" t="str">
        <f>Rooster!A38</f>
        <v>Zaterdag</v>
      </c>
      <c r="B37" s="396">
        <f>Rooster!B38</f>
        <v>0.4791666667</v>
      </c>
      <c r="C37" s="15">
        <f>Rooster!C38</f>
        <v>60</v>
      </c>
      <c r="D37" s="11" t="str">
        <f>Rooster!D38</f>
        <v>Showdance 7+</v>
      </c>
      <c r="E37" s="77">
        <v>5.0</v>
      </c>
      <c r="F37" s="327" t="str">
        <f>Rooster!E38</f>
        <v>Frederique</v>
      </c>
      <c r="G37" s="319">
        <f>IFERROR(VLOOKUP(F37, Docenten!$A$2:$G$30, 7, FALSE), "0")</f>
        <v>12.5</v>
      </c>
      <c r="H37" s="320">
        <f t="shared" si="1"/>
        <v>12.5</v>
      </c>
      <c r="I37" s="327" t="str">
        <f>Rooster!H38</f>
        <v>Santpoort Noord</v>
      </c>
      <c r="J37" s="321">
        <f>IFERROR(VLOOKUP(I37, Locaties!$A$2:$G$15, 7, FALSE), "0")</f>
        <v>14.2</v>
      </c>
      <c r="K37" s="42">
        <f t="shared" si="2"/>
        <v>14.2</v>
      </c>
      <c r="L37" s="440">
        <v>5.0</v>
      </c>
      <c r="M37" s="428" t="str">
        <f>Oktober!M36</f>
        <v>1x per week abbo</v>
      </c>
      <c r="N37" s="321">
        <f>IFERROR(VLOOKUP(M37, Tarieven!$A$1:$J$150, 10, FALSE), "0")</f>
        <v>31</v>
      </c>
      <c r="O37" s="437">
        <v>1.0</v>
      </c>
      <c r="P37" s="430" t="str">
        <f>Oktober!P36</f>
        <v>2x per week abbo</v>
      </c>
      <c r="Q37" s="325">
        <f>IFERROR(VLOOKUP(P37, Tarieven!$A$2:$J$150, 10, FALSE), "0")</f>
        <v>28.55</v>
      </c>
      <c r="R37" s="431" t="str">
        <f>Oktober!R36</f>
        <v/>
      </c>
      <c r="S37" s="430" t="str">
        <f>Oktober!S36</f>
        <v/>
      </c>
      <c r="T37" s="325" t="str">
        <f>IFERROR(VLOOKUP(S37, Tarieven!$A$2:$J$150, 10, FALSE), "0")</f>
        <v>0</v>
      </c>
      <c r="U37" s="77" t="str">
        <f>Oktober!U37</f>
        <v/>
      </c>
      <c r="V37" s="327" t="str">
        <f>Oktober!V37</f>
        <v/>
      </c>
      <c r="W37" s="325" t="str">
        <f>IFERROR(VLOOKUP(V37, Tarieven!$A$2:$J$150, 10, FALSE), "0")</f>
        <v>0</v>
      </c>
      <c r="X37" s="138">
        <f>Oktober!X37</f>
        <v>4</v>
      </c>
      <c r="Y37" s="398">
        <v>0.0</v>
      </c>
      <c r="Z37" s="329">
        <f t="shared" si="3"/>
        <v>10</v>
      </c>
      <c r="AA37" s="32">
        <f t="shared" si="4"/>
        <v>133.5</v>
      </c>
      <c r="AB37" s="32">
        <f t="shared" si="5"/>
        <v>183.55</v>
      </c>
      <c r="AC37" s="32">
        <f t="shared" si="6"/>
        <v>50.05</v>
      </c>
    </row>
    <row r="38" ht="22.5" customHeight="1">
      <c r="A38" s="17" t="s">
        <v>237</v>
      </c>
      <c r="B38" s="396">
        <v>0.4166666666666667</v>
      </c>
      <c r="C38" s="15">
        <v>60.0</v>
      </c>
      <c r="D38" s="11" t="s">
        <v>320</v>
      </c>
      <c r="E38" s="77">
        <v>3.0</v>
      </c>
      <c r="F38" s="70" t="s">
        <v>64</v>
      </c>
      <c r="G38" s="319">
        <f>IFERROR(VLOOKUP(F38, Docenten!$A$2:$G$30, 7, FALSE), "0")</f>
        <v>17.5</v>
      </c>
      <c r="H38" s="320">
        <f t="shared" si="1"/>
        <v>17.5</v>
      </c>
      <c r="I38" s="70" t="s">
        <v>63</v>
      </c>
      <c r="J38" s="321">
        <f>IFERROR(VLOOKUP(I38, Locaties!$A$2:$G$15, 7, FALSE), "0")</f>
        <v>18.9</v>
      </c>
      <c r="K38" s="42">
        <f t="shared" si="2"/>
        <v>18.9</v>
      </c>
      <c r="L38" s="440">
        <v>9.0</v>
      </c>
      <c r="M38" s="439" t="s">
        <v>46</v>
      </c>
      <c r="N38" s="442">
        <v>20.0</v>
      </c>
      <c r="O38" s="429" t="str">
        <f>Oktober!O38</f>
        <v/>
      </c>
      <c r="P38" s="430" t="str">
        <f>Oktober!P38</f>
        <v/>
      </c>
      <c r="Q38" s="325" t="str">
        <f>IFERROR(VLOOKUP(P38, Tarieven!$A$2:$J$150, 10, FALSE), "0")</f>
        <v>0</v>
      </c>
      <c r="R38" s="431" t="str">
        <f>Oktober!R38</f>
        <v/>
      </c>
      <c r="S38" s="430" t="str">
        <f>Oktober!S38</f>
        <v/>
      </c>
      <c r="T38" s="325" t="str">
        <f>IFERROR(VLOOKUP(S38, Tarieven!$A$2:$J$150, 10, FALSE), "0")</f>
        <v>0</v>
      </c>
      <c r="U38" s="77" t="str">
        <f>Oktober!U39</f>
        <v/>
      </c>
      <c r="V38" s="327" t="str">
        <f>Oktober!V39</f>
        <v/>
      </c>
      <c r="W38" s="325" t="str">
        <f>IFERROR(VLOOKUP(V38, Tarieven!$A$2:$J$150, 10, FALSE), "0")</f>
        <v>0</v>
      </c>
      <c r="X38" s="138">
        <f>Oktober!X39</f>
        <v>0</v>
      </c>
      <c r="Y38" s="398">
        <v>0.0</v>
      </c>
      <c r="Z38" s="329">
        <f t="shared" si="3"/>
        <v>9</v>
      </c>
      <c r="AA38" s="32">
        <f t="shared" si="4"/>
        <v>109.2</v>
      </c>
      <c r="AB38" s="32">
        <f t="shared" si="5"/>
        <v>180</v>
      </c>
      <c r="AC38" s="32">
        <f t="shared" si="6"/>
        <v>70.8</v>
      </c>
    </row>
    <row r="39" ht="22.5" customHeight="1">
      <c r="A39" s="17" t="s">
        <v>237</v>
      </c>
      <c r="B39" s="396">
        <v>0.4479166666666667</v>
      </c>
      <c r="C39" s="15">
        <v>60.0</v>
      </c>
      <c r="D39" s="11" t="s">
        <v>239</v>
      </c>
      <c r="E39" s="77">
        <v>3.0</v>
      </c>
      <c r="F39" s="70" t="s">
        <v>64</v>
      </c>
      <c r="G39" s="319">
        <f>IFERROR(VLOOKUP(F39, Docenten!$A$2:$G$30, 7, FALSE), "0")</f>
        <v>17.5</v>
      </c>
      <c r="H39" s="320">
        <f t="shared" si="1"/>
        <v>17.5</v>
      </c>
      <c r="I39" s="70" t="s">
        <v>63</v>
      </c>
      <c r="J39" s="321">
        <f>IFERROR(VLOOKUP(I39, Locaties!$A$2:$G$15, 7, FALSE), "0")</f>
        <v>18.9</v>
      </c>
      <c r="K39" s="42">
        <f t="shared" si="2"/>
        <v>18.9</v>
      </c>
      <c r="L39" s="440">
        <v>4.0</v>
      </c>
      <c r="M39" s="439" t="s">
        <v>46</v>
      </c>
      <c r="N39" s="442">
        <v>20.0</v>
      </c>
      <c r="O39" s="437">
        <v>2.0</v>
      </c>
      <c r="P39" s="438" t="s">
        <v>54</v>
      </c>
      <c r="Q39" s="325">
        <f>IFERROR(VLOOKUP(P39, Tarieven!$A$2:$J$150, 10, FALSE), "0")</f>
        <v>31</v>
      </c>
      <c r="R39" s="431" t="str">
        <f>Oktober!R39</f>
        <v/>
      </c>
      <c r="S39" s="430" t="str">
        <f>Oktober!S39</f>
        <v/>
      </c>
      <c r="T39" s="325" t="str">
        <f>IFERROR(VLOOKUP(S39, Tarieven!$A$2:$J$150, 10, FALSE), "0")</f>
        <v>0</v>
      </c>
      <c r="U39" s="77" t="str">
        <f>Oktober!U40</f>
        <v/>
      </c>
      <c r="V39" s="327" t="str">
        <f>Oktober!V40</f>
        <v/>
      </c>
      <c r="W39" s="325" t="str">
        <f>IFERROR(VLOOKUP(V39, Tarieven!$A$2:$J$150, 10, FALSE), "0")</f>
        <v>0</v>
      </c>
      <c r="X39" s="138">
        <f>Oktober!X40</f>
        <v>0</v>
      </c>
      <c r="Y39" s="398">
        <v>0.0</v>
      </c>
      <c r="Z39" s="329">
        <f t="shared" si="3"/>
        <v>6</v>
      </c>
      <c r="AA39" s="32">
        <f t="shared" si="4"/>
        <v>109.2</v>
      </c>
      <c r="AB39" s="32">
        <f t="shared" si="5"/>
        <v>142</v>
      </c>
      <c r="AC39" s="32">
        <f t="shared" si="6"/>
        <v>32.8</v>
      </c>
    </row>
    <row r="40" ht="22.5" customHeight="1">
      <c r="A40" s="331" t="str">
        <f>Rooster!A42</f>
        <v/>
      </c>
      <c r="B40" s="396" t="str">
        <f>Rooster!B42</f>
        <v/>
      </c>
      <c r="C40" s="15" t="str">
        <f>Rooster!C42</f>
        <v/>
      </c>
      <c r="D40" s="11" t="str">
        <f>Rooster!D42</f>
        <v/>
      </c>
      <c r="E40" s="77"/>
      <c r="F40" s="327" t="str">
        <f>Rooster!E42</f>
        <v/>
      </c>
      <c r="G40" s="319" t="str">
        <f>IFERROR(VLOOKUP(F40, Docenten!$A$2:$G$30, 7, FALSE), "0")</f>
        <v>0</v>
      </c>
      <c r="H40" s="320">
        <f t="shared" si="1"/>
        <v>0</v>
      </c>
      <c r="I40" s="327" t="str">
        <f>Rooster!H42</f>
        <v/>
      </c>
      <c r="J40" s="321" t="str">
        <f>IFERROR(VLOOKUP(I40, Locaties!$A$2:$G$15, 7, FALSE), "0")</f>
        <v>0</v>
      </c>
      <c r="K40" s="42">
        <f t="shared" si="2"/>
        <v>0</v>
      </c>
      <c r="L40" s="427" t="str">
        <f>Oktober!L40</f>
        <v/>
      </c>
      <c r="M40" s="428" t="str">
        <f>Oktober!M40</f>
        <v/>
      </c>
      <c r="N40" s="321" t="str">
        <f>IFERROR(VLOOKUP(M40, Tarieven!$A$1:$J$150, 10, FALSE), "0")</f>
        <v>0</v>
      </c>
      <c r="O40" s="429" t="str">
        <f>Oktober!O40</f>
        <v/>
      </c>
      <c r="P40" s="430" t="str">
        <f>Oktober!P40</f>
        <v/>
      </c>
      <c r="Q40" s="325" t="str">
        <f>IFERROR(VLOOKUP(P40, Tarieven!$A$2:$J$150, 10, FALSE), "0")</f>
        <v>0</v>
      </c>
      <c r="R40" s="431" t="str">
        <f>Oktober!R40</f>
        <v/>
      </c>
      <c r="S40" s="430" t="str">
        <f>Oktober!S40</f>
        <v/>
      </c>
      <c r="T40" s="325" t="str">
        <f>IFERROR(VLOOKUP(S40, Tarieven!$A$2:$J$150, 10, FALSE), "0")</f>
        <v>0</v>
      </c>
      <c r="U40" s="77" t="str">
        <f>Oktober!U41</f>
        <v/>
      </c>
      <c r="V40" s="327" t="str">
        <f>Oktober!V41</f>
        <v/>
      </c>
      <c r="W40" s="325" t="str">
        <f>IFERROR(VLOOKUP(V40, Tarieven!$A$2:$J$150, 10, FALSE), "0")</f>
        <v>0</v>
      </c>
      <c r="X40" s="138">
        <f>Oktober!X41</f>
        <v>0</v>
      </c>
      <c r="Y40" s="398">
        <v>0.0</v>
      </c>
      <c r="Z40" s="329">
        <f t="shared" si="3"/>
        <v>0</v>
      </c>
      <c r="AA40" s="32">
        <f t="shared" si="4"/>
        <v>0</v>
      </c>
      <c r="AB40" s="32">
        <f t="shared" si="5"/>
        <v>0</v>
      </c>
      <c r="AC40" s="32">
        <f t="shared" si="6"/>
        <v>0</v>
      </c>
    </row>
    <row r="41" ht="22.5" customHeight="1">
      <c r="A41" s="331" t="str">
        <f>Rooster!A43</f>
        <v>Maandag</v>
      </c>
      <c r="B41" s="396">
        <f>Rooster!B43</f>
        <v>0.3958333333</v>
      </c>
      <c r="C41" s="15">
        <f>Rooster!C43</f>
        <v>60</v>
      </c>
      <c r="D41" s="11" t="str">
        <f>Rooster!D43</f>
        <v>Kinderopvang</v>
      </c>
      <c r="E41" s="77">
        <v>4.0</v>
      </c>
      <c r="F41" s="327" t="str">
        <f>Rooster!E43</f>
        <v>Opvang T</v>
      </c>
      <c r="G41" s="319">
        <f>IFERROR(VLOOKUP(F41, Docenten!$A$2:$G$30, 7, FALSE), "0")</f>
        <v>45</v>
      </c>
      <c r="H41" s="320">
        <f t="shared" si="1"/>
        <v>45</v>
      </c>
      <c r="I41" s="327" t="str">
        <f>Rooster!H43</f>
        <v/>
      </c>
      <c r="J41" s="321" t="str">
        <f>IFERROR(VLOOKUP(I41, Locaties!$A$2:$G$15, 7, FALSE), "0")</f>
        <v>0</v>
      </c>
      <c r="K41" s="42">
        <f t="shared" si="2"/>
        <v>0</v>
      </c>
      <c r="L41" s="440">
        <v>1.0</v>
      </c>
      <c r="M41" s="439" t="s">
        <v>46</v>
      </c>
      <c r="N41" s="442">
        <v>320.0</v>
      </c>
      <c r="O41" s="429" t="str">
        <f>Oktober!O41</f>
        <v/>
      </c>
      <c r="P41" s="430" t="str">
        <f>Oktober!P41</f>
        <v/>
      </c>
      <c r="Q41" s="325" t="str">
        <f>IFERROR(VLOOKUP(P41, Tarieven!$A$2:$J$150, 10, FALSE), "0")</f>
        <v>0</v>
      </c>
      <c r="R41" s="431" t="str">
        <f>Oktober!R41</f>
        <v/>
      </c>
      <c r="S41" s="430" t="str">
        <f>Oktober!S41</f>
        <v/>
      </c>
      <c r="T41" s="325" t="str">
        <f>IFERROR(VLOOKUP(S41, Tarieven!$A$2:$J$150, 10, FALSE), "0")</f>
        <v>0</v>
      </c>
      <c r="U41" s="77" t="str">
        <f>Oktober!U42</f>
        <v/>
      </c>
      <c r="V41" s="327" t="str">
        <f>Oktober!V42</f>
        <v/>
      </c>
      <c r="W41" s="325" t="str">
        <f>IFERROR(VLOOKUP(V41, Tarieven!$A$2:$J$150, 10, FALSE), "0")</f>
        <v>0</v>
      </c>
      <c r="X41" s="138">
        <f>Oktober!X42</f>
        <v>0</v>
      </c>
      <c r="Y41" s="398">
        <v>0.0</v>
      </c>
      <c r="Z41" s="329">
        <f t="shared" si="3"/>
        <v>1</v>
      </c>
      <c r="AA41" s="32">
        <f t="shared" si="4"/>
        <v>180</v>
      </c>
      <c r="AB41" s="32">
        <f t="shared" si="5"/>
        <v>320</v>
      </c>
      <c r="AC41" s="32">
        <f t="shared" si="6"/>
        <v>140</v>
      </c>
    </row>
    <row r="42" ht="22.5" customHeight="1">
      <c r="A42" s="331" t="str">
        <f>Rooster!A44</f>
        <v>Vrijdag</v>
      </c>
      <c r="B42" s="396">
        <f>Rooster!B44</f>
        <v>0.7916666667</v>
      </c>
      <c r="C42" s="15">
        <v>60.0</v>
      </c>
      <c r="D42" s="11" t="str">
        <f>Rooster!D44</f>
        <v>Prive training</v>
      </c>
      <c r="E42" s="77"/>
      <c r="F42" s="327"/>
      <c r="G42" s="319"/>
      <c r="H42" s="320"/>
      <c r="I42" s="70"/>
      <c r="J42" s="321" t="str">
        <f>IFERROR(VLOOKUP(I42, Locaties!$A$2:$G$15, 7, FALSE), "0")</f>
        <v>0</v>
      </c>
      <c r="K42" s="42">
        <f t="shared" si="2"/>
        <v>0</v>
      </c>
      <c r="L42" s="427"/>
      <c r="M42" s="428"/>
      <c r="N42" s="321" t="str">
        <f>IFERROR(VLOOKUP(M42, Tarieven!$A$1:$J$150, 10, FALSE), "0")</f>
        <v>0</v>
      </c>
      <c r="O42" s="429" t="str">
        <f>Oktober!O42</f>
        <v/>
      </c>
      <c r="P42" s="430" t="str">
        <f>Oktober!P42</f>
        <v/>
      </c>
      <c r="Q42" s="325" t="str">
        <f>IFERROR(VLOOKUP(P42, Tarieven!$A$2:$J$150, 10, FALSE), "0")</f>
        <v>0</v>
      </c>
      <c r="R42" s="431" t="str">
        <f>Oktober!R42</f>
        <v/>
      </c>
      <c r="S42" s="430" t="str">
        <f>Oktober!S42</f>
        <v/>
      </c>
      <c r="T42" s="325" t="str">
        <f>IFERROR(VLOOKUP(S42, Tarieven!$A$2:$J$150, 10, FALSE), "0")</f>
        <v>0</v>
      </c>
      <c r="U42" s="77" t="str">
        <f>Oktober!U43</f>
        <v/>
      </c>
      <c r="V42" s="327" t="str">
        <f>Oktober!V43</f>
        <v/>
      </c>
      <c r="W42" s="325" t="str">
        <f>IFERROR(VLOOKUP(V42, Tarieven!$A$2:$J$150, 10, FALSE), "0")</f>
        <v>0</v>
      </c>
      <c r="X42" s="138">
        <f>Oktober!X43</f>
        <v>0</v>
      </c>
      <c r="Y42" s="398">
        <v>0.0</v>
      </c>
      <c r="Z42" s="329">
        <f t="shared" si="3"/>
        <v>0</v>
      </c>
      <c r="AA42" s="32">
        <f t="shared" si="4"/>
        <v>0</v>
      </c>
      <c r="AB42" s="32">
        <f t="shared" si="5"/>
        <v>0</v>
      </c>
      <c r="AC42" s="32">
        <f t="shared" si="6"/>
        <v>0</v>
      </c>
    </row>
    <row r="43" ht="22.5" customHeight="1">
      <c r="A43" s="331" t="str">
        <f>Rooster!A45</f>
        <v>Zaterdag</v>
      </c>
      <c r="B43" s="396">
        <f>Rooster!B45</f>
        <v>0.5625</v>
      </c>
      <c r="C43" s="15">
        <v>69.0</v>
      </c>
      <c r="D43" s="11" t="str">
        <f>Rooster!D45</f>
        <v>Prive training</v>
      </c>
      <c r="E43" s="77"/>
      <c r="F43" s="327"/>
      <c r="G43" s="319"/>
      <c r="H43" s="320"/>
      <c r="I43" s="70"/>
      <c r="J43" s="321" t="str">
        <f>IFERROR(VLOOKUP(I43, Locaties!$A$2:$G$15, 7, FALSE), "0")</f>
        <v>0</v>
      </c>
      <c r="K43" s="42">
        <f t="shared" si="2"/>
        <v>0</v>
      </c>
      <c r="L43" s="427" t="str">
        <f>Oktober!L43</f>
        <v/>
      </c>
      <c r="M43" s="428" t="str">
        <f>Oktober!M43</f>
        <v/>
      </c>
      <c r="N43" s="321" t="str">
        <f>IFERROR(VLOOKUP(M43, Tarieven!$A$1:$J$150, 10, FALSE), "0")</f>
        <v>0</v>
      </c>
      <c r="O43" s="429" t="str">
        <f>Oktober!O43</f>
        <v/>
      </c>
      <c r="P43" s="430" t="str">
        <f>Oktober!P43</f>
        <v/>
      </c>
      <c r="Q43" s="325" t="str">
        <f>IFERROR(VLOOKUP(P43, Tarieven!$A$2:$J$150, 10, FALSE), "0")</f>
        <v>0</v>
      </c>
      <c r="R43" s="431" t="str">
        <f>Oktober!R43</f>
        <v/>
      </c>
      <c r="S43" s="430" t="str">
        <f>Oktober!S43</f>
        <v/>
      </c>
      <c r="T43" s="325" t="str">
        <f>IFERROR(VLOOKUP(S43, Tarieven!$A$2:$J$150, 10, FALSE), "0")</f>
        <v>0</v>
      </c>
      <c r="U43" s="77" t="str">
        <f>Oktober!U44</f>
        <v/>
      </c>
      <c r="V43" s="327" t="str">
        <f>Oktober!V44</f>
        <v/>
      </c>
      <c r="W43" s="325" t="str">
        <f>IFERROR(VLOOKUP(V43, Tarieven!$A$2:$J$150, 10, FALSE), "0")</f>
        <v>0</v>
      </c>
      <c r="X43" s="138">
        <f>Oktober!X44</f>
        <v>0</v>
      </c>
      <c r="Y43" s="398">
        <v>0.0</v>
      </c>
      <c r="Z43" s="329">
        <f t="shared" si="3"/>
        <v>0</v>
      </c>
      <c r="AA43" s="32">
        <f t="shared" si="4"/>
        <v>0</v>
      </c>
      <c r="AB43" s="32">
        <f t="shared" si="5"/>
        <v>0</v>
      </c>
      <c r="AC43" s="32">
        <f t="shared" si="6"/>
        <v>0</v>
      </c>
    </row>
    <row r="44" ht="22.5" customHeight="1">
      <c r="A44" s="331" t="str">
        <f>Rooster!A46</f>
        <v/>
      </c>
      <c r="B44" s="396" t="str">
        <f>Rooster!B46</f>
        <v/>
      </c>
      <c r="C44" s="15" t="str">
        <f>Rooster!C46</f>
        <v/>
      </c>
      <c r="D44" s="11" t="str">
        <f>Rooster!D46</f>
        <v/>
      </c>
      <c r="E44" s="77"/>
      <c r="F44" s="327" t="str">
        <f>Rooster!E46</f>
        <v/>
      </c>
      <c r="G44" s="319" t="str">
        <f>IFERROR(VLOOKUP(F44, Docenten!$A$2:$G$30, 7, FALSE), "0")</f>
        <v>0</v>
      </c>
      <c r="H44" s="320">
        <f t="shared" ref="H44:H100" si="7">SUM(G44/60)*C44</f>
        <v>0</v>
      </c>
      <c r="I44" s="327" t="str">
        <f>Rooster!H46</f>
        <v/>
      </c>
      <c r="J44" s="321" t="str">
        <f>IFERROR(VLOOKUP(I44, Locaties!$A$2:$G$15, 7, FALSE), "0")</f>
        <v>0</v>
      </c>
      <c r="K44" s="42">
        <f t="shared" si="2"/>
        <v>0</v>
      </c>
      <c r="L44" s="427" t="str">
        <f>Oktober!L44</f>
        <v/>
      </c>
      <c r="M44" s="428" t="str">
        <f>Oktober!M44</f>
        <v/>
      </c>
      <c r="N44" s="321" t="str">
        <f>IFERROR(VLOOKUP(M44, Tarieven!$A$1:$J$150, 10, FALSE), "0")</f>
        <v>0</v>
      </c>
      <c r="O44" s="429" t="str">
        <f>Oktober!O44</f>
        <v/>
      </c>
      <c r="P44" s="430" t="str">
        <f>Oktober!P44</f>
        <v/>
      </c>
      <c r="Q44" s="325" t="str">
        <f>IFERROR(VLOOKUP(P44, Tarieven!$A$2:$J$150, 10, FALSE), "0")</f>
        <v>0</v>
      </c>
      <c r="R44" s="431" t="str">
        <f>Oktober!R44</f>
        <v/>
      </c>
      <c r="S44" s="430" t="str">
        <f>Oktober!S44</f>
        <v/>
      </c>
      <c r="T44" s="325" t="str">
        <f>IFERROR(VLOOKUP(S44, Tarieven!$A$2:$J$150, 10, FALSE), "0")</f>
        <v>0</v>
      </c>
      <c r="U44" s="77" t="str">
        <f>Oktober!U45</f>
        <v/>
      </c>
      <c r="V44" s="327" t="str">
        <f>Oktober!V45</f>
        <v/>
      </c>
      <c r="W44" s="325" t="str">
        <f>IFERROR(VLOOKUP(V44, Tarieven!$A$2:$J$150, 10, FALSE), "0")</f>
        <v>0</v>
      </c>
      <c r="X44" s="138">
        <f>Oktober!X45</f>
        <v>0</v>
      </c>
      <c r="Y44" s="398">
        <v>0.0</v>
      </c>
      <c r="Z44" s="329">
        <f t="shared" si="3"/>
        <v>0</v>
      </c>
      <c r="AA44" s="32">
        <f t="shared" si="4"/>
        <v>0</v>
      </c>
      <c r="AB44" s="32">
        <f t="shared" si="5"/>
        <v>0</v>
      </c>
      <c r="AC44" s="32">
        <f t="shared" si="6"/>
        <v>0</v>
      </c>
    </row>
    <row r="45" ht="22.5" customHeight="1">
      <c r="A45" s="331" t="str">
        <f>Rooster!A47</f>
        <v/>
      </c>
      <c r="B45" s="396" t="str">
        <f>Rooster!B47</f>
        <v/>
      </c>
      <c r="C45" s="15" t="str">
        <f>Rooster!C47</f>
        <v/>
      </c>
      <c r="D45" s="11" t="str">
        <f>Rooster!D47</f>
        <v/>
      </c>
      <c r="E45" s="77"/>
      <c r="F45" s="327" t="str">
        <f>Rooster!E47</f>
        <v/>
      </c>
      <c r="G45" s="319" t="str">
        <f>IFERROR(VLOOKUP(F45, Docenten!$A$2:$G$30, 7, FALSE), "0")</f>
        <v>0</v>
      </c>
      <c r="H45" s="320">
        <f t="shared" si="7"/>
        <v>0</v>
      </c>
      <c r="I45" s="327" t="str">
        <f>Rooster!H47</f>
        <v/>
      </c>
      <c r="J45" s="321" t="str">
        <f>IFERROR(VLOOKUP(I45, Locaties!$A$2:$G$15, 7, FALSE), "0")</f>
        <v>0</v>
      </c>
      <c r="K45" s="42">
        <f t="shared" si="2"/>
        <v>0</v>
      </c>
      <c r="L45" s="427" t="str">
        <f>Oktober!L45</f>
        <v/>
      </c>
      <c r="M45" s="428" t="str">
        <f>Oktober!M45</f>
        <v/>
      </c>
      <c r="N45" s="321" t="str">
        <f>IFERROR(VLOOKUP(M45, Tarieven!$A$1:$J$150, 10, FALSE), "0")</f>
        <v>0</v>
      </c>
      <c r="O45" s="429" t="str">
        <f>Oktober!O45</f>
        <v/>
      </c>
      <c r="P45" s="430" t="str">
        <f>Oktober!P45</f>
        <v/>
      </c>
      <c r="Q45" s="325" t="str">
        <f>IFERROR(VLOOKUP(P45, Tarieven!$A$2:$J$150, 10, FALSE), "0")</f>
        <v>0</v>
      </c>
      <c r="R45" s="431" t="str">
        <f>Oktober!R45</f>
        <v/>
      </c>
      <c r="S45" s="430" t="str">
        <f>Oktober!S45</f>
        <v/>
      </c>
      <c r="T45" s="325" t="str">
        <f>IFERROR(VLOOKUP(S45, Tarieven!$A$2:$J$150, 10, FALSE), "0")</f>
        <v>0</v>
      </c>
      <c r="U45" s="77" t="str">
        <f>Oktober!U46</f>
        <v/>
      </c>
      <c r="V45" s="327" t="str">
        <f>Oktober!V46</f>
        <v/>
      </c>
      <c r="W45" s="325" t="str">
        <f>IFERROR(VLOOKUP(V45, Tarieven!$A$2:$J$150, 10, FALSE), "0")</f>
        <v>0</v>
      </c>
      <c r="X45" s="138">
        <f>Oktober!X46</f>
        <v>0</v>
      </c>
      <c r="Y45" s="398">
        <v>0.0</v>
      </c>
      <c r="Z45" s="329">
        <f t="shared" si="3"/>
        <v>0</v>
      </c>
      <c r="AA45" s="32">
        <f t="shared" si="4"/>
        <v>0</v>
      </c>
      <c r="AB45" s="32">
        <f t="shared" si="5"/>
        <v>0</v>
      </c>
      <c r="AC45" s="32">
        <f t="shared" si="6"/>
        <v>0</v>
      </c>
    </row>
    <row r="46" ht="22.5" customHeight="1">
      <c r="A46" s="331" t="str">
        <f>Rooster!A48</f>
        <v>Donderdag</v>
      </c>
      <c r="B46" s="396">
        <f>Rooster!B48</f>
        <v>0.75</v>
      </c>
      <c r="C46" s="15">
        <f>Rooster!C48</f>
        <v>60</v>
      </c>
      <c r="D46" s="11" t="str">
        <f>Rooster!D48</f>
        <v>Turnen 6+</v>
      </c>
      <c r="E46" s="77"/>
      <c r="F46" s="327" t="str">
        <f>Rooster!E48</f>
        <v>Dion + 3</v>
      </c>
      <c r="G46" s="319">
        <f>IFERROR(VLOOKUP(F46, Docenten!$A$2:$G$30, 7, FALSE), "0")</f>
        <v>34</v>
      </c>
      <c r="H46" s="320">
        <f t="shared" si="7"/>
        <v>34</v>
      </c>
      <c r="I46" s="327" t="str">
        <f>Rooster!H48</f>
        <v>Santpoort Noord</v>
      </c>
      <c r="J46" s="321">
        <f>IFERROR(VLOOKUP(I46, Locaties!$A$2:$G$15, 7, FALSE), "0")</f>
        <v>14.2</v>
      </c>
      <c r="K46" s="42">
        <f t="shared" si="2"/>
        <v>14.2</v>
      </c>
      <c r="L46" s="427" t="str">
        <f>Oktober!L46</f>
        <v/>
      </c>
      <c r="M46" s="428" t="str">
        <f>Oktober!M46</f>
        <v/>
      </c>
      <c r="N46" s="321" t="str">
        <f>IFERROR(VLOOKUP(M46, Tarieven!$A$1:$J$150, 10, FALSE), "0")</f>
        <v>0</v>
      </c>
      <c r="O46" s="429" t="str">
        <f>Oktober!O46</f>
        <v/>
      </c>
      <c r="P46" s="430" t="str">
        <f>Oktober!P46</f>
        <v/>
      </c>
      <c r="Q46" s="325" t="str">
        <f>IFERROR(VLOOKUP(P46, Tarieven!$A$2:$J$150, 10, FALSE), "0")</f>
        <v>0</v>
      </c>
      <c r="R46" s="431" t="str">
        <f>Oktober!R46</f>
        <v/>
      </c>
      <c r="S46" s="430" t="str">
        <f>Oktober!S46</f>
        <v/>
      </c>
      <c r="T46" s="325" t="str">
        <f>IFERROR(VLOOKUP(S46, Tarieven!$A$2:$J$150, 10, FALSE), "0")</f>
        <v>0</v>
      </c>
      <c r="U46" s="77" t="str">
        <f>Oktober!U47</f>
        <v/>
      </c>
      <c r="V46" s="327" t="str">
        <f>Oktober!V47</f>
        <v/>
      </c>
      <c r="W46" s="325" t="str">
        <f>IFERROR(VLOOKUP(V46, Tarieven!$A$2:$J$150, 10, FALSE), "0")</f>
        <v>0</v>
      </c>
      <c r="X46" s="138">
        <f>Oktober!X47</f>
        <v>0</v>
      </c>
      <c r="Y46" s="398">
        <v>0.0</v>
      </c>
      <c r="Z46" s="329">
        <f t="shared" si="3"/>
        <v>0</v>
      </c>
      <c r="AA46" s="32">
        <f t="shared" si="4"/>
        <v>0</v>
      </c>
      <c r="AB46" s="32">
        <f t="shared" si="5"/>
        <v>0</v>
      </c>
      <c r="AC46" s="32">
        <f t="shared" si="6"/>
        <v>0</v>
      </c>
    </row>
    <row r="47" ht="22.5" customHeight="1">
      <c r="A47" s="331" t="str">
        <f>Rooster!A49</f>
        <v>Donderdag</v>
      </c>
      <c r="B47" s="396">
        <f>Rooster!B49</f>
        <v>0.7916666667</v>
      </c>
      <c r="C47" s="15">
        <f>Rooster!C49</f>
        <v>60</v>
      </c>
      <c r="D47" s="11" t="str">
        <f>Rooster!D49</f>
        <v>Turnen 12+</v>
      </c>
      <c r="E47" s="77"/>
      <c r="F47" s="327" t="str">
        <f>Rooster!E49</f>
        <v>Dion + 3</v>
      </c>
      <c r="G47" s="319">
        <f>IFERROR(VLOOKUP(F47, Docenten!$A$2:$G$30, 7, FALSE), "0")</f>
        <v>34</v>
      </c>
      <c r="H47" s="320">
        <f t="shared" si="7"/>
        <v>34</v>
      </c>
      <c r="I47" s="327" t="str">
        <f>Rooster!H49</f>
        <v>Santpoort Noord</v>
      </c>
      <c r="J47" s="321">
        <f>IFERROR(VLOOKUP(I47, Locaties!$A$2:$G$15, 7, FALSE), "0")</f>
        <v>14.2</v>
      </c>
      <c r="K47" s="42">
        <f t="shared" si="2"/>
        <v>14.2</v>
      </c>
      <c r="L47" s="427" t="str">
        <f>Oktober!L47</f>
        <v/>
      </c>
      <c r="M47" s="428" t="str">
        <f>Oktober!M47</f>
        <v/>
      </c>
      <c r="N47" s="321" t="str">
        <f>IFERROR(VLOOKUP(M47, Tarieven!$A$1:$J$150, 10, FALSE), "0")</f>
        <v>0</v>
      </c>
      <c r="O47" s="429" t="str">
        <f>Oktober!O47</f>
        <v/>
      </c>
      <c r="P47" s="430" t="str">
        <f>Oktober!P47</f>
        <v/>
      </c>
      <c r="Q47" s="325" t="str">
        <f>IFERROR(VLOOKUP(P47, Tarieven!$A$2:$J$150, 10, FALSE), "0")</f>
        <v>0</v>
      </c>
      <c r="R47" s="431" t="str">
        <f>Oktober!R47</f>
        <v/>
      </c>
      <c r="S47" s="430" t="str">
        <f>Oktober!S47</f>
        <v/>
      </c>
      <c r="T47" s="325" t="str">
        <f>IFERROR(VLOOKUP(S47, Tarieven!$A$2:$J$150, 10, FALSE), "0")</f>
        <v>0</v>
      </c>
      <c r="U47" s="77" t="str">
        <f>Oktober!U48</f>
        <v/>
      </c>
      <c r="V47" s="327" t="str">
        <f>Oktober!V48</f>
        <v/>
      </c>
      <c r="W47" s="325" t="str">
        <f>IFERROR(VLOOKUP(V47, Tarieven!$A$2:$J$150, 10, FALSE), "0")</f>
        <v>0</v>
      </c>
      <c r="X47" s="138">
        <f>Oktober!X47</f>
        <v>0</v>
      </c>
      <c r="Y47" s="398">
        <v>0.0</v>
      </c>
      <c r="Z47" s="329">
        <f t="shared" si="3"/>
        <v>0</v>
      </c>
      <c r="AA47" s="32">
        <f t="shared" si="4"/>
        <v>0</v>
      </c>
      <c r="AB47" s="32">
        <f t="shared" si="5"/>
        <v>0</v>
      </c>
      <c r="AC47" s="32">
        <f t="shared" si="6"/>
        <v>0</v>
      </c>
    </row>
    <row r="48" ht="22.5" customHeight="1">
      <c r="A48" s="331" t="str">
        <f>Rooster!A50</f>
        <v/>
      </c>
      <c r="B48" s="396" t="str">
        <f>Rooster!B50</f>
        <v/>
      </c>
      <c r="C48" s="15" t="str">
        <f>Rooster!C50</f>
        <v/>
      </c>
      <c r="D48" s="11" t="str">
        <f>Rooster!D50</f>
        <v/>
      </c>
      <c r="E48" s="77"/>
      <c r="F48" s="327" t="str">
        <f>Rooster!E50</f>
        <v/>
      </c>
      <c r="G48" s="319" t="str">
        <f>IFERROR(VLOOKUP(F48, Docenten!$A$2:$G$30, 7, FALSE), "0")</f>
        <v>0</v>
      </c>
      <c r="H48" s="320">
        <f t="shared" si="7"/>
        <v>0</v>
      </c>
      <c r="I48" s="327" t="str">
        <f>Rooster!H50</f>
        <v/>
      </c>
      <c r="J48" s="321" t="str">
        <f>IFERROR(VLOOKUP(I48, Locaties!$A$2:$G$15, 7, FALSE), "0")</f>
        <v>0</v>
      </c>
      <c r="K48" s="42">
        <f t="shared" si="2"/>
        <v>0</v>
      </c>
      <c r="L48" s="427" t="str">
        <f>Oktober!L48</f>
        <v/>
      </c>
      <c r="M48" s="428" t="str">
        <f>Oktober!M48</f>
        <v/>
      </c>
      <c r="N48" s="321" t="str">
        <f>IFERROR(VLOOKUP(M48, Tarieven!$A$1:$J$150, 10, FALSE), "0")</f>
        <v>0</v>
      </c>
      <c r="O48" s="429" t="str">
        <f>Oktober!O48</f>
        <v/>
      </c>
      <c r="P48" s="430" t="str">
        <f>Oktober!P48</f>
        <v/>
      </c>
      <c r="Q48" s="325" t="str">
        <f>IFERROR(VLOOKUP(P48, Tarieven!$A$2:$J$150, 10, FALSE), "0")</f>
        <v>0</v>
      </c>
      <c r="R48" s="431" t="str">
        <f>Oktober!R48</f>
        <v/>
      </c>
      <c r="S48" s="430" t="str">
        <f>Oktober!S48</f>
        <v/>
      </c>
      <c r="T48" s="325" t="str">
        <f>IFERROR(VLOOKUP(S48, Tarieven!$A$2:$J$150, 10, FALSE), "0")</f>
        <v>0</v>
      </c>
      <c r="U48" s="77" t="str">
        <f>Oktober!U49</f>
        <v/>
      </c>
      <c r="V48" s="327" t="str">
        <f>Oktober!V49</f>
        <v/>
      </c>
      <c r="W48" s="325" t="str">
        <f>IFERROR(VLOOKUP(V48, Tarieven!$A$2:$J$150, 10, FALSE), "0")</f>
        <v>0</v>
      </c>
      <c r="X48" s="138">
        <f>Oktober!X48</f>
        <v>0</v>
      </c>
      <c r="Y48" s="398">
        <v>0.0</v>
      </c>
      <c r="Z48" s="329">
        <f t="shared" si="3"/>
        <v>0</v>
      </c>
      <c r="AA48" s="32">
        <f t="shared" si="4"/>
        <v>0</v>
      </c>
      <c r="AB48" s="32">
        <f t="shared" si="5"/>
        <v>0</v>
      </c>
      <c r="AC48" s="32">
        <f t="shared" si="6"/>
        <v>0</v>
      </c>
    </row>
    <row r="49" ht="22.5" customHeight="1">
      <c r="A49" s="331" t="str">
        <f>Rooster!A51</f>
        <v/>
      </c>
      <c r="B49" s="396" t="str">
        <f>Rooster!B51</f>
        <v/>
      </c>
      <c r="C49" s="15" t="str">
        <f>Rooster!C51</f>
        <v/>
      </c>
      <c r="D49" s="11" t="str">
        <f>Rooster!D51</f>
        <v/>
      </c>
      <c r="E49" s="77"/>
      <c r="F49" s="327" t="str">
        <f>Rooster!E51</f>
        <v/>
      </c>
      <c r="G49" s="319" t="str">
        <f>IFERROR(VLOOKUP(F49, Docenten!$A$2:$G$30, 7, FALSE), "0")</f>
        <v>0</v>
      </c>
      <c r="H49" s="320">
        <f t="shared" si="7"/>
        <v>0</v>
      </c>
      <c r="I49" s="327" t="str">
        <f>Rooster!H51</f>
        <v/>
      </c>
      <c r="J49" s="321" t="str">
        <f>IFERROR(VLOOKUP(I49, Locaties!$A$2:$G$15, 7, FALSE), "0")</f>
        <v>0</v>
      </c>
      <c r="K49" s="42">
        <f t="shared" si="2"/>
        <v>0</v>
      </c>
      <c r="L49" s="427" t="str">
        <f>Oktober!L49</f>
        <v/>
      </c>
      <c r="M49" s="428" t="str">
        <f>Oktober!M49</f>
        <v/>
      </c>
      <c r="N49" s="321" t="str">
        <f>IFERROR(VLOOKUP(M49, Tarieven!$A$1:$J$150, 10, FALSE), "0")</f>
        <v>0</v>
      </c>
      <c r="O49" s="429" t="str">
        <f>Oktober!O49</f>
        <v/>
      </c>
      <c r="P49" s="430" t="str">
        <f>Oktober!P49</f>
        <v/>
      </c>
      <c r="Q49" s="325" t="str">
        <f>IFERROR(VLOOKUP(P49, Tarieven!$A$2:$J$150, 10, FALSE), "0")</f>
        <v>0</v>
      </c>
      <c r="R49" s="431" t="str">
        <f>Oktober!R49</f>
        <v/>
      </c>
      <c r="S49" s="430" t="str">
        <f>Oktober!S49</f>
        <v/>
      </c>
      <c r="T49" s="325" t="str">
        <f>IFERROR(VLOOKUP(S49, Tarieven!$A$2:$J$150, 10, FALSE), "0")</f>
        <v>0</v>
      </c>
      <c r="U49" s="77" t="str">
        <f>Oktober!U50</f>
        <v/>
      </c>
      <c r="V49" s="327" t="str">
        <f>Oktober!V50</f>
        <v/>
      </c>
      <c r="W49" s="325" t="str">
        <f>IFERROR(VLOOKUP(V49, Tarieven!$A$2:$J$150, 10, FALSE), "0")</f>
        <v>0</v>
      </c>
      <c r="X49" s="138">
        <f>Oktober!X49</f>
        <v>0</v>
      </c>
      <c r="Y49" s="398">
        <v>0.0</v>
      </c>
      <c r="Z49" s="329">
        <f t="shared" si="3"/>
        <v>0</v>
      </c>
      <c r="AA49" s="32">
        <f t="shared" si="4"/>
        <v>0</v>
      </c>
      <c r="AB49" s="32">
        <f t="shared" si="5"/>
        <v>0</v>
      </c>
      <c r="AC49" s="32">
        <f t="shared" si="6"/>
        <v>0</v>
      </c>
    </row>
    <row r="50" ht="22.5" customHeight="1">
      <c r="A50" s="331" t="str">
        <f>Rooster!A52</f>
        <v/>
      </c>
      <c r="B50" s="396" t="str">
        <f>Rooster!B52</f>
        <v/>
      </c>
      <c r="C50" s="15" t="str">
        <f>Rooster!C52</f>
        <v/>
      </c>
      <c r="D50" s="11" t="str">
        <f>Rooster!D52</f>
        <v/>
      </c>
      <c r="E50" s="77"/>
      <c r="F50" s="327" t="str">
        <f>Rooster!E52</f>
        <v/>
      </c>
      <c r="G50" s="319" t="str">
        <f>IFERROR(VLOOKUP(F50, Docenten!$A$2:$G$30, 7, FALSE), "0")</f>
        <v>0</v>
      </c>
      <c r="H50" s="320">
        <f t="shared" si="7"/>
        <v>0</v>
      </c>
      <c r="I50" s="327" t="str">
        <f>Rooster!H52</f>
        <v/>
      </c>
      <c r="J50" s="321" t="str">
        <f>IFERROR(VLOOKUP(I50, Locaties!$A$2:$G$15, 7, FALSE), "0")</f>
        <v>0</v>
      </c>
      <c r="K50" s="42">
        <f t="shared" si="2"/>
        <v>0</v>
      </c>
      <c r="L50" s="427" t="str">
        <f>Oktober!L50</f>
        <v/>
      </c>
      <c r="M50" s="428" t="str">
        <f>Oktober!M50</f>
        <v/>
      </c>
      <c r="N50" s="321" t="str">
        <f>IFERROR(VLOOKUP(M50, Tarieven!$A$1:$J$150, 10, FALSE), "0")</f>
        <v>0</v>
      </c>
      <c r="O50" s="429" t="str">
        <f>Oktober!O50</f>
        <v/>
      </c>
      <c r="P50" s="430" t="str">
        <f>Oktober!P50</f>
        <v/>
      </c>
      <c r="Q50" s="325" t="str">
        <f>IFERROR(VLOOKUP(P50, Tarieven!$A$2:$J$150, 10, FALSE), "0")</f>
        <v>0</v>
      </c>
      <c r="R50" s="431" t="str">
        <f>Oktober!R50</f>
        <v/>
      </c>
      <c r="S50" s="430" t="str">
        <f>Oktober!S50</f>
        <v/>
      </c>
      <c r="T50" s="325" t="str">
        <f>IFERROR(VLOOKUP(S50, Tarieven!$A$2:$J$150, 10, FALSE), "0")</f>
        <v>0</v>
      </c>
      <c r="U50" s="77" t="str">
        <f>Oktober!U51</f>
        <v/>
      </c>
      <c r="V50" s="327" t="str">
        <f>Oktober!V51</f>
        <v/>
      </c>
      <c r="W50" s="325" t="str">
        <f>IFERROR(VLOOKUP(V50, Tarieven!$A$2:$J$150, 10, FALSE), "0")</f>
        <v>0</v>
      </c>
      <c r="X50" s="138">
        <f>Oktober!X50</f>
        <v>0</v>
      </c>
      <c r="Y50" s="398">
        <v>0.0</v>
      </c>
      <c r="Z50" s="329">
        <f t="shared" si="3"/>
        <v>0</v>
      </c>
      <c r="AA50" s="32">
        <f t="shared" si="4"/>
        <v>0</v>
      </c>
      <c r="AB50" s="32">
        <f t="shared" si="5"/>
        <v>0</v>
      </c>
      <c r="AC50" s="32">
        <f t="shared" si="6"/>
        <v>0</v>
      </c>
    </row>
    <row r="51" ht="22.5" customHeight="1">
      <c r="A51" s="331" t="str">
        <f>Rooster!A53</f>
        <v/>
      </c>
      <c r="B51" s="396" t="str">
        <f>Rooster!B53</f>
        <v/>
      </c>
      <c r="C51" s="15" t="str">
        <f>Rooster!C53</f>
        <v/>
      </c>
      <c r="D51" s="11" t="str">
        <f>Rooster!D53</f>
        <v/>
      </c>
      <c r="E51" s="77"/>
      <c r="F51" s="327" t="str">
        <f>Rooster!E53</f>
        <v/>
      </c>
      <c r="G51" s="319" t="str">
        <f>IFERROR(VLOOKUP(F51, Docenten!$A$2:$G$30, 7, FALSE), "0")</f>
        <v>0</v>
      </c>
      <c r="H51" s="320">
        <f t="shared" si="7"/>
        <v>0</v>
      </c>
      <c r="I51" s="327" t="str">
        <f>Rooster!H53</f>
        <v/>
      </c>
      <c r="J51" s="321" t="str">
        <f>IFERROR(VLOOKUP(I51, Locaties!$A$2:$G$15, 7, FALSE), "0")</f>
        <v>0</v>
      </c>
      <c r="K51" s="42">
        <f t="shared" si="2"/>
        <v>0</v>
      </c>
      <c r="L51" s="427" t="str">
        <f>Oktober!L51</f>
        <v/>
      </c>
      <c r="M51" s="428" t="str">
        <f>Oktober!M51</f>
        <v/>
      </c>
      <c r="N51" s="321" t="str">
        <f>IFERROR(VLOOKUP(M51, Tarieven!$A$1:$J$150, 10, FALSE), "0")</f>
        <v>0</v>
      </c>
      <c r="O51" s="429" t="str">
        <f>Oktober!O51</f>
        <v/>
      </c>
      <c r="P51" s="430" t="str">
        <f>Oktober!P51</f>
        <v/>
      </c>
      <c r="Q51" s="325" t="str">
        <f>IFERROR(VLOOKUP(P51, Tarieven!$A$2:$J$150, 10, FALSE), "0")</f>
        <v>0</v>
      </c>
      <c r="R51" s="431" t="str">
        <f>Oktober!R51</f>
        <v/>
      </c>
      <c r="S51" s="430" t="str">
        <f>Oktober!S51</f>
        <v/>
      </c>
      <c r="T51" s="325" t="str">
        <f>IFERROR(VLOOKUP(S51, Tarieven!$A$2:$J$150, 10, FALSE), "0")</f>
        <v>0</v>
      </c>
      <c r="U51" s="77" t="str">
        <f>Oktober!U52</f>
        <v/>
      </c>
      <c r="V51" s="327" t="str">
        <f>Oktober!V52</f>
        <v/>
      </c>
      <c r="W51" s="325" t="str">
        <f>IFERROR(VLOOKUP(V51, Tarieven!$A$2:$J$150, 10, FALSE), "0")</f>
        <v>0</v>
      </c>
      <c r="X51" s="138">
        <f>Oktober!X51</f>
        <v>0</v>
      </c>
      <c r="Y51" s="398">
        <v>0.0</v>
      </c>
      <c r="Z51" s="329">
        <f t="shared" si="3"/>
        <v>0</v>
      </c>
      <c r="AA51" s="32">
        <f t="shared" si="4"/>
        <v>0</v>
      </c>
      <c r="AB51" s="32">
        <f t="shared" si="5"/>
        <v>0</v>
      </c>
      <c r="AC51" s="32">
        <f t="shared" si="6"/>
        <v>0</v>
      </c>
    </row>
    <row r="52" ht="22.5" customHeight="1">
      <c r="A52" s="331" t="str">
        <f>Rooster!A54</f>
        <v/>
      </c>
      <c r="B52" s="396" t="str">
        <f>Rooster!B54</f>
        <v/>
      </c>
      <c r="C52" s="15" t="str">
        <f>Rooster!C54</f>
        <v/>
      </c>
      <c r="D52" s="11" t="str">
        <f>Rooster!D54</f>
        <v/>
      </c>
      <c r="E52" s="77"/>
      <c r="F52" s="327" t="str">
        <f>Rooster!E54</f>
        <v/>
      </c>
      <c r="G52" s="319" t="str">
        <f>IFERROR(VLOOKUP(F52, Docenten!$A$2:$G$30, 7, FALSE), "0")</f>
        <v>0</v>
      </c>
      <c r="H52" s="320">
        <f t="shared" si="7"/>
        <v>0</v>
      </c>
      <c r="I52" s="327" t="str">
        <f>Rooster!H54</f>
        <v/>
      </c>
      <c r="J52" s="321" t="str">
        <f>IFERROR(VLOOKUP(I52, Locaties!$A$2:$G$15, 7, FALSE), "0")</f>
        <v>0</v>
      </c>
      <c r="K52" s="42">
        <f t="shared" si="2"/>
        <v>0</v>
      </c>
      <c r="L52" s="427" t="str">
        <f>Oktober!L52</f>
        <v/>
      </c>
      <c r="M52" s="428" t="str">
        <f>Oktober!M52</f>
        <v/>
      </c>
      <c r="N52" s="321" t="str">
        <f>IFERROR(VLOOKUP(M52, Tarieven!$A$1:$J$150, 10, FALSE), "0")</f>
        <v>0</v>
      </c>
      <c r="O52" s="429" t="str">
        <f>Oktober!O52</f>
        <v/>
      </c>
      <c r="P52" s="430" t="str">
        <f>Oktober!P52</f>
        <v/>
      </c>
      <c r="Q52" s="325" t="str">
        <f>IFERROR(VLOOKUP(P52, Tarieven!$A$2:$J$150, 10, FALSE), "0")</f>
        <v>0</v>
      </c>
      <c r="R52" s="431" t="str">
        <f>Oktober!R52</f>
        <v/>
      </c>
      <c r="S52" s="430" t="str">
        <f>Oktober!S52</f>
        <v/>
      </c>
      <c r="T52" s="325" t="str">
        <f>IFERROR(VLOOKUP(S52, Tarieven!$A$2:$J$150, 10, FALSE), "0")</f>
        <v>0</v>
      </c>
      <c r="U52" s="77" t="str">
        <f>Oktober!U53</f>
        <v/>
      </c>
      <c r="V52" s="327" t="str">
        <f>Oktober!V53</f>
        <v/>
      </c>
      <c r="W52" s="325" t="str">
        <f>IFERROR(VLOOKUP(V52, Tarieven!$A$2:$J$150, 10, FALSE), "0")</f>
        <v>0</v>
      </c>
      <c r="X52" s="138">
        <f>Oktober!X52</f>
        <v>0</v>
      </c>
      <c r="Y52" s="398">
        <v>0.0</v>
      </c>
      <c r="Z52" s="329">
        <f t="shared" si="3"/>
        <v>0</v>
      </c>
      <c r="AA52" s="32">
        <f t="shared" si="4"/>
        <v>0</v>
      </c>
      <c r="AB52" s="32">
        <f t="shared" si="5"/>
        <v>0</v>
      </c>
      <c r="AC52" s="32">
        <f t="shared" si="6"/>
        <v>0</v>
      </c>
    </row>
    <row r="53" ht="22.5" customHeight="1">
      <c r="A53" s="331" t="str">
        <f>Rooster!A55</f>
        <v/>
      </c>
      <c r="B53" s="396" t="str">
        <f>Rooster!B55</f>
        <v/>
      </c>
      <c r="C53" s="15" t="str">
        <f>Rooster!C55</f>
        <v/>
      </c>
      <c r="D53" s="11" t="str">
        <f>Rooster!D55</f>
        <v/>
      </c>
      <c r="E53" s="77"/>
      <c r="F53" s="327" t="str">
        <f>Rooster!E55</f>
        <v/>
      </c>
      <c r="G53" s="319" t="str">
        <f>IFERROR(VLOOKUP(F53, Docenten!$A$2:$G$30, 7, FALSE), "0")</f>
        <v>0</v>
      </c>
      <c r="H53" s="320">
        <f t="shared" si="7"/>
        <v>0</v>
      </c>
      <c r="I53" s="327" t="str">
        <f>Rooster!H55</f>
        <v/>
      </c>
      <c r="J53" s="321" t="str">
        <f>IFERROR(VLOOKUP(I53, Locaties!$A$2:$G$15, 7, FALSE), "0")</f>
        <v>0</v>
      </c>
      <c r="K53" s="42">
        <f t="shared" si="2"/>
        <v>0</v>
      </c>
      <c r="L53" s="427" t="str">
        <f>Oktober!L53</f>
        <v/>
      </c>
      <c r="M53" s="428" t="str">
        <f>Oktober!M53</f>
        <v/>
      </c>
      <c r="N53" s="321" t="str">
        <f>IFERROR(VLOOKUP(M53, Tarieven!$A$1:$J$150, 10, FALSE), "0")</f>
        <v>0</v>
      </c>
      <c r="O53" s="429" t="str">
        <f>Oktober!O53</f>
        <v/>
      </c>
      <c r="P53" s="430" t="str">
        <f>Oktober!P53</f>
        <v/>
      </c>
      <c r="Q53" s="325" t="str">
        <f>IFERROR(VLOOKUP(P53, Tarieven!$A$2:$J$150, 10, FALSE), "0")</f>
        <v>0</v>
      </c>
      <c r="R53" s="431" t="str">
        <f>Oktober!R53</f>
        <v/>
      </c>
      <c r="S53" s="430" t="str">
        <f>Oktober!S53</f>
        <v/>
      </c>
      <c r="T53" s="325" t="str">
        <f>IFERROR(VLOOKUP(S53, Tarieven!$A$2:$J$150, 10, FALSE), "0")</f>
        <v>0</v>
      </c>
      <c r="U53" s="77" t="str">
        <f>Oktober!U54</f>
        <v/>
      </c>
      <c r="V53" s="327" t="str">
        <f>Oktober!V54</f>
        <v/>
      </c>
      <c r="W53" s="325" t="str">
        <f>IFERROR(VLOOKUP(V53, Tarieven!$A$2:$J$150, 10, FALSE), "0")</f>
        <v>0</v>
      </c>
      <c r="X53" s="138">
        <f>Oktober!X53</f>
        <v>0</v>
      </c>
      <c r="Y53" s="398">
        <v>0.0</v>
      </c>
      <c r="Z53" s="329">
        <f t="shared" si="3"/>
        <v>0</v>
      </c>
      <c r="AA53" s="32">
        <f t="shared" si="4"/>
        <v>0</v>
      </c>
      <c r="AB53" s="32">
        <f t="shared" si="5"/>
        <v>0</v>
      </c>
      <c r="AC53" s="32">
        <f t="shared" si="6"/>
        <v>0</v>
      </c>
    </row>
    <row r="54" ht="22.5" customHeight="1">
      <c r="A54" s="331" t="str">
        <f>Rooster!A56</f>
        <v/>
      </c>
      <c r="B54" s="396" t="str">
        <f>Rooster!B56</f>
        <v/>
      </c>
      <c r="C54" s="15" t="str">
        <f>Rooster!C56</f>
        <v/>
      </c>
      <c r="D54" s="11" t="str">
        <f>Rooster!D56</f>
        <v/>
      </c>
      <c r="E54" s="77"/>
      <c r="F54" s="327" t="str">
        <f>Rooster!E56</f>
        <v/>
      </c>
      <c r="G54" s="319" t="str">
        <f>IFERROR(VLOOKUP(F54, Docenten!$A$2:$G$30, 7, FALSE), "0")</f>
        <v>0</v>
      </c>
      <c r="H54" s="320">
        <f t="shared" si="7"/>
        <v>0</v>
      </c>
      <c r="I54" s="327" t="str">
        <f>Rooster!H56</f>
        <v/>
      </c>
      <c r="J54" s="321" t="str">
        <f>IFERROR(VLOOKUP(I54, Locaties!$A$2:$G$15, 7, FALSE), "0")</f>
        <v>0</v>
      </c>
      <c r="K54" s="42">
        <f t="shared" si="2"/>
        <v>0</v>
      </c>
      <c r="L54" s="427" t="str">
        <f>Oktober!L54</f>
        <v/>
      </c>
      <c r="M54" s="428" t="str">
        <f>Oktober!M54</f>
        <v/>
      </c>
      <c r="N54" s="321" t="str">
        <f>IFERROR(VLOOKUP(M54, Tarieven!$A$1:$J$150, 10, FALSE), "0")</f>
        <v>0</v>
      </c>
      <c r="O54" s="429" t="str">
        <f>Oktober!O54</f>
        <v/>
      </c>
      <c r="P54" s="430" t="str">
        <f>Oktober!P54</f>
        <v/>
      </c>
      <c r="Q54" s="325" t="str">
        <f>IFERROR(VLOOKUP(P54, Tarieven!$A$2:$J$150, 10, FALSE), "0")</f>
        <v>0</v>
      </c>
      <c r="R54" s="431" t="str">
        <f>Oktober!R54</f>
        <v/>
      </c>
      <c r="S54" s="430" t="str">
        <f>Oktober!S54</f>
        <v/>
      </c>
      <c r="T54" s="325" t="str">
        <f>IFERROR(VLOOKUP(S54, Tarieven!$A$2:$J$150, 10, FALSE), "0")</f>
        <v>0</v>
      </c>
      <c r="U54" s="77" t="str">
        <f>Oktober!U55</f>
        <v/>
      </c>
      <c r="V54" s="327" t="str">
        <f>Oktober!V55</f>
        <v/>
      </c>
      <c r="W54" s="325" t="str">
        <f>IFERROR(VLOOKUP(V54, Tarieven!$A$2:$J$150, 10, FALSE), "0")</f>
        <v>0</v>
      </c>
      <c r="X54" s="138">
        <f>Oktober!X54</f>
        <v>0</v>
      </c>
      <c r="Y54" s="398">
        <v>0.0</v>
      </c>
      <c r="Z54" s="329">
        <f t="shared" si="3"/>
        <v>0</v>
      </c>
      <c r="AA54" s="32">
        <f t="shared" si="4"/>
        <v>0</v>
      </c>
      <c r="AB54" s="32">
        <f t="shared" si="5"/>
        <v>0</v>
      </c>
      <c r="AC54" s="32">
        <f t="shared" si="6"/>
        <v>0</v>
      </c>
    </row>
    <row r="55" ht="22.5" customHeight="1">
      <c r="A55" s="331" t="str">
        <f>Rooster!A57</f>
        <v/>
      </c>
      <c r="B55" s="396" t="str">
        <f>Rooster!B57</f>
        <v/>
      </c>
      <c r="C55" s="15" t="str">
        <f>Rooster!C57</f>
        <v/>
      </c>
      <c r="D55" s="11" t="str">
        <f>Rooster!D57</f>
        <v/>
      </c>
      <c r="E55" s="77"/>
      <c r="F55" s="327" t="str">
        <f>Rooster!E57</f>
        <v/>
      </c>
      <c r="G55" s="319" t="str">
        <f>IFERROR(VLOOKUP(F55, Docenten!$A$2:$G$30, 7, FALSE), "0")</f>
        <v>0</v>
      </c>
      <c r="H55" s="320">
        <f t="shared" si="7"/>
        <v>0</v>
      </c>
      <c r="I55" s="327" t="str">
        <f>Rooster!H57</f>
        <v/>
      </c>
      <c r="J55" s="321" t="str">
        <f>IFERROR(VLOOKUP(I55, Locaties!$A$2:$G$15, 7, FALSE), "0")</f>
        <v>0</v>
      </c>
      <c r="K55" s="42">
        <f t="shared" si="2"/>
        <v>0</v>
      </c>
      <c r="L55" s="427" t="str">
        <f>Oktober!L55</f>
        <v/>
      </c>
      <c r="M55" s="428" t="str">
        <f>Oktober!M55</f>
        <v/>
      </c>
      <c r="N55" s="321" t="str">
        <f>IFERROR(VLOOKUP(M55, Tarieven!$A$1:$J$150, 10, FALSE), "0")</f>
        <v>0</v>
      </c>
      <c r="O55" s="429" t="str">
        <f>Oktober!O55</f>
        <v/>
      </c>
      <c r="P55" s="430" t="str">
        <f>Oktober!P55</f>
        <v/>
      </c>
      <c r="Q55" s="325" t="str">
        <f>IFERROR(VLOOKUP(P55, Tarieven!$A$2:$J$150, 10, FALSE), "0")</f>
        <v>0</v>
      </c>
      <c r="R55" s="431" t="str">
        <f>Oktober!R55</f>
        <v/>
      </c>
      <c r="S55" s="430" t="str">
        <f>Oktober!S55</f>
        <v/>
      </c>
      <c r="T55" s="325" t="str">
        <f>IFERROR(VLOOKUP(S55, Tarieven!$A$2:$J$150, 10, FALSE), "0")</f>
        <v>0</v>
      </c>
      <c r="U55" s="77" t="str">
        <f>Oktober!U56</f>
        <v/>
      </c>
      <c r="V55" s="327" t="str">
        <f>Oktober!V56</f>
        <v/>
      </c>
      <c r="W55" s="325" t="str">
        <f>IFERROR(VLOOKUP(V55, Tarieven!$A$2:$J$150, 10, FALSE), "0")</f>
        <v>0</v>
      </c>
      <c r="X55" s="138">
        <f>Oktober!X55</f>
        <v>0</v>
      </c>
      <c r="Y55" s="398">
        <v>0.0</v>
      </c>
      <c r="Z55" s="329">
        <f t="shared" si="3"/>
        <v>0</v>
      </c>
      <c r="AA55" s="32">
        <f t="shared" si="4"/>
        <v>0</v>
      </c>
      <c r="AB55" s="32">
        <f t="shared" si="5"/>
        <v>0</v>
      </c>
      <c r="AC55" s="32">
        <f t="shared" si="6"/>
        <v>0</v>
      </c>
    </row>
    <row r="56" ht="22.5" customHeight="1">
      <c r="A56" s="331" t="str">
        <f>Rooster!A58</f>
        <v/>
      </c>
      <c r="B56" s="396" t="str">
        <f>Rooster!B58</f>
        <v/>
      </c>
      <c r="C56" s="15" t="str">
        <f>Rooster!C58</f>
        <v/>
      </c>
      <c r="D56" s="11" t="str">
        <f>Rooster!D58</f>
        <v/>
      </c>
      <c r="E56" s="77"/>
      <c r="F56" s="327" t="str">
        <f>Rooster!E58</f>
        <v/>
      </c>
      <c r="G56" s="319" t="str">
        <f>IFERROR(VLOOKUP(F56, Docenten!$A$2:$G$30, 7, FALSE), "0")</f>
        <v>0</v>
      </c>
      <c r="H56" s="320">
        <f t="shared" si="7"/>
        <v>0</v>
      </c>
      <c r="I56" s="327" t="str">
        <f>Rooster!H58</f>
        <v/>
      </c>
      <c r="J56" s="321" t="str">
        <f>IFERROR(VLOOKUP(I56, Locaties!$A$2:$G$15, 7, FALSE), "0")</f>
        <v>0</v>
      </c>
      <c r="K56" s="42">
        <f t="shared" si="2"/>
        <v>0</v>
      </c>
      <c r="L56" s="427" t="str">
        <f>Oktober!L56</f>
        <v/>
      </c>
      <c r="M56" s="428" t="str">
        <f>Oktober!M56</f>
        <v/>
      </c>
      <c r="N56" s="321" t="str">
        <f>IFERROR(VLOOKUP(M56, Tarieven!$A$1:$J$150, 10, FALSE), "0")</f>
        <v>0</v>
      </c>
      <c r="O56" s="429" t="str">
        <f>Oktober!O56</f>
        <v/>
      </c>
      <c r="P56" s="430" t="str">
        <f>Oktober!P56</f>
        <v/>
      </c>
      <c r="Q56" s="325" t="str">
        <f>IFERROR(VLOOKUP(P56, Tarieven!$A$2:$J$150, 10, FALSE), "0")</f>
        <v>0</v>
      </c>
      <c r="R56" s="431" t="str">
        <f>Oktober!R56</f>
        <v/>
      </c>
      <c r="S56" s="430" t="str">
        <f>Oktober!S56</f>
        <v/>
      </c>
      <c r="T56" s="325" t="str">
        <f>IFERROR(VLOOKUP(S56, Tarieven!$A$2:$J$150, 10, FALSE), "0")</f>
        <v>0</v>
      </c>
      <c r="U56" s="77" t="str">
        <f>Oktober!U57</f>
        <v/>
      </c>
      <c r="V56" s="327" t="str">
        <f>Oktober!V57</f>
        <v/>
      </c>
      <c r="W56" s="325" t="str">
        <f>IFERROR(VLOOKUP(V56, Tarieven!$A$2:$J$150, 10, FALSE), "0")</f>
        <v>0</v>
      </c>
      <c r="X56" s="138">
        <f>Oktober!X56</f>
        <v>0</v>
      </c>
      <c r="Y56" s="398">
        <v>0.0</v>
      </c>
      <c r="Z56" s="329">
        <f t="shared" si="3"/>
        <v>0</v>
      </c>
      <c r="AA56" s="32">
        <f t="shared" si="4"/>
        <v>0</v>
      </c>
      <c r="AB56" s="32">
        <f t="shared" si="5"/>
        <v>0</v>
      </c>
      <c r="AC56" s="32">
        <f t="shared" si="6"/>
        <v>0</v>
      </c>
    </row>
    <row r="57" ht="22.5" customHeight="1">
      <c r="A57" s="331" t="str">
        <f>Rooster!A59</f>
        <v/>
      </c>
      <c r="B57" s="396" t="str">
        <f>Rooster!B59</f>
        <v/>
      </c>
      <c r="C57" s="15" t="str">
        <f>Rooster!C59</f>
        <v/>
      </c>
      <c r="D57" s="11" t="str">
        <f>Rooster!D59</f>
        <v/>
      </c>
      <c r="E57" s="77"/>
      <c r="F57" s="327" t="str">
        <f>Rooster!E59</f>
        <v/>
      </c>
      <c r="G57" s="319" t="str">
        <f>IFERROR(VLOOKUP(F57, Docenten!$A$2:$G$30, 7, FALSE), "0")</f>
        <v>0</v>
      </c>
      <c r="H57" s="320">
        <f t="shared" si="7"/>
        <v>0</v>
      </c>
      <c r="I57" s="327" t="str">
        <f>Rooster!H59</f>
        <v/>
      </c>
      <c r="J57" s="321" t="str">
        <f>IFERROR(VLOOKUP(I57, Locaties!$A$2:$G$15, 7, FALSE), "0")</f>
        <v>0</v>
      </c>
      <c r="K57" s="42">
        <f t="shared" si="2"/>
        <v>0</v>
      </c>
      <c r="L57" s="427" t="str">
        <f>Oktober!L57</f>
        <v/>
      </c>
      <c r="M57" s="428" t="str">
        <f>Oktober!M57</f>
        <v/>
      </c>
      <c r="N57" s="321" t="str">
        <f>IFERROR(VLOOKUP(M57, Tarieven!$A$1:$J$150, 10, FALSE), "0")</f>
        <v>0</v>
      </c>
      <c r="O57" s="429" t="str">
        <f>Oktober!O57</f>
        <v/>
      </c>
      <c r="P57" s="430" t="str">
        <f>Oktober!P57</f>
        <v/>
      </c>
      <c r="Q57" s="325" t="str">
        <f>IFERROR(VLOOKUP(P57, Tarieven!$A$2:$J$150, 10, FALSE), "0")</f>
        <v>0</v>
      </c>
      <c r="R57" s="431" t="str">
        <f>Oktober!R57</f>
        <v/>
      </c>
      <c r="S57" s="430" t="str">
        <f>Oktober!S57</f>
        <v/>
      </c>
      <c r="T57" s="325" t="str">
        <f>IFERROR(VLOOKUP(S57, Tarieven!$A$2:$J$150, 10, FALSE), "0")</f>
        <v>0</v>
      </c>
      <c r="U57" s="77" t="str">
        <f>Oktober!U58</f>
        <v/>
      </c>
      <c r="V57" s="327" t="str">
        <f>Oktober!V58</f>
        <v/>
      </c>
      <c r="W57" s="325" t="str">
        <f>IFERROR(VLOOKUP(V57, Tarieven!$A$2:$J$150, 10, FALSE), "0")</f>
        <v>0</v>
      </c>
      <c r="X57" s="138">
        <f>Oktober!X57</f>
        <v>0</v>
      </c>
      <c r="Y57" s="398">
        <v>0.0</v>
      </c>
      <c r="Z57" s="329">
        <f t="shared" si="3"/>
        <v>0</v>
      </c>
      <c r="AA57" s="32">
        <f t="shared" si="4"/>
        <v>0</v>
      </c>
      <c r="AB57" s="32">
        <f t="shared" si="5"/>
        <v>0</v>
      </c>
      <c r="AC57" s="32">
        <f t="shared" si="6"/>
        <v>0</v>
      </c>
    </row>
    <row r="58" ht="22.5" customHeight="1">
      <c r="A58" s="331" t="str">
        <f>Rooster!A60</f>
        <v/>
      </c>
      <c r="B58" s="396" t="str">
        <f>Rooster!B60</f>
        <v/>
      </c>
      <c r="C58" s="15" t="str">
        <f>Rooster!C60</f>
        <v/>
      </c>
      <c r="D58" s="11" t="str">
        <f>Rooster!D60</f>
        <v/>
      </c>
      <c r="E58" s="77"/>
      <c r="F58" s="327" t="str">
        <f>Rooster!E60</f>
        <v/>
      </c>
      <c r="G58" s="319" t="str">
        <f>IFERROR(VLOOKUP(F58, Docenten!$A$2:$G$30, 7, FALSE), "0")</f>
        <v>0</v>
      </c>
      <c r="H58" s="320">
        <f t="shared" si="7"/>
        <v>0</v>
      </c>
      <c r="I58" s="327" t="str">
        <f>Rooster!H60</f>
        <v/>
      </c>
      <c r="J58" s="321" t="str">
        <f>IFERROR(VLOOKUP(I58, Locaties!$A$2:$G$15, 7, FALSE), "0")</f>
        <v>0</v>
      </c>
      <c r="K58" s="42">
        <f t="shared" si="2"/>
        <v>0</v>
      </c>
      <c r="L58" s="427" t="str">
        <f>Oktober!L58</f>
        <v/>
      </c>
      <c r="M58" s="428" t="str">
        <f>Oktober!M58</f>
        <v/>
      </c>
      <c r="N58" s="321" t="str">
        <f>IFERROR(VLOOKUP(M58, Tarieven!$A$1:$J$150, 10, FALSE), "0")</f>
        <v>0</v>
      </c>
      <c r="O58" s="429" t="str">
        <f>Oktober!O58</f>
        <v/>
      </c>
      <c r="P58" s="430" t="str">
        <f>Oktober!P58</f>
        <v/>
      </c>
      <c r="Q58" s="325" t="str">
        <f>IFERROR(VLOOKUP(P58, Tarieven!$A$2:$J$150, 10, FALSE), "0")</f>
        <v>0</v>
      </c>
      <c r="R58" s="431" t="str">
        <f>Oktober!R58</f>
        <v/>
      </c>
      <c r="S58" s="430" t="str">
        <f>Oktober!S58</f>
        <v/>
      </c>
      <c r="T58" s="325" t="str">
        <f>IFERROR(VLOOKUP(S58, Tarieven!$A$2:$J$150, 10, FALSE), "0")</f>
        <v>0</v>
      </c>
      <c r="U58" s="77" t="str">
        <f>Oktober!U59</f>
        <v/>
      </c>
      <c r="V58" s="327" t="str">
        <f>Oktober!V59</f>
        <v/>
      </c>
      <c r="W58" s="325" t="str">
        <f>IFERROR(VLOOKUP(V58, Tarieven!$A$2:$J$150, 10, FALSE), "0")</f>
        <v>0</v>
      </c>
      <c r="X58" s="138">
        <f>Oktober!X58</f>
        <v>0</v>
      </c>
      <c r="Y58" s="398">
        <v>0.0</v>
      </c>
      <c r="Z58" s="329">
        <f t="shared" si="3"/>
        <v>0</v>
      </c>
      <c r="AA58" s="32">
        <f t="shared" si="4"/>
        <v>0</v>
      </c>
      <c r="AB58" s="32">
        <f t="shared" si="5"/>
        <v>0</v>
      </c>
      <c r="AC58" s="32">
        <f t="shared" si="6"/>
        <v>0</v>
      </c>
    </row>
    <row r="59" ht="22.5" customHeight="1">
      <c r="A59" s="331" t="str">
        <f>Rooster!A61</f>
        <v/>
      </c>
      <c r="B59" s="396" t="str">
        <f>Rooster!B61</f>
        <v/>
      </c>
      <c r="C59" s="15" t="str">
        <f>Rooster!C61</f>
        <v/>
      </c>
      <c r="D59" s="11" t="str">
        <f>Rooster!D61</f>
        <v/>
      </c>
      <c r="E59" s="77"/>
      <c r="F59" s="327" t="str">
        <f>Rooster!E61</f>
        <v/>
      </c>
      <c r="G59" s="319" t="str">
        <f>IFERROR(VLOOKUP(F59, Docenten!$A$2:$G$30, 7, FALSE), "0")</f>
        <v>0</v>
      </c>
      <c r="H59" s="320">
        <f t="shared" si="7"/>
        <v>0</v>
      </c>
      <c r="I59" s="327" t="str">
        <f>Rooster!H61</f>
        <v/>
      </c>
      <c r="J59" s="321" t="str">
        <f>IFERROR(VLOOKUP(I59, Locaties!$A$2:$G$15, 7, FALSE), "0")</f>
        <v>0</v>
      </c>
      <c r="K59" s="42">
        <f t="shared" si="2"/>
        <v>0</v>
      </c>
      <c r="L59" s="427" t="str">
        <f>Oktober!L59</f>
        <v/>
      </c>
      <c r="M59" s="428" t="str">
        <f>Oktober!M59</f>
        <v/>
      </c>
      <c r="N59" s="321" t="str">
        <f>IFERROR(VLOOKUP(M59, Tarieven!$A$1:$J$150, 10, FALSE), "0")</f>
        <v>0</v>
      </c>
      <c r="O59" s="429" t="str">
        <f>Oktober!O59</f>
        <v/>
      </c>
      <c r="P59" s="430" t="str">
        <f>Oktober!P59</f>
        <v/>
      </c>
      <c r="Q59" s="325" t="str">
        <f>IFERROR(VLOOKUP(P59, Tarieven!$A$2:$J$150, 10, FALSE), "0")</f>
        <v>0</v>
      </c>
      <c r="R59" s="431" t="str">
        <f>Oktober!R59</f>
        <v/>
      </c>
      <c r="S59" s="430" t="str">
        <f>Oktober!S59</f>
        <v/>
      </c>
      <c r="T59" s="325" t="str">
        <f>IFERROR(VLOOKUP(S59, Tarieven!$A$2:$J$150, 10, FALSE), "0")</f>
        <v>0</v>
      </c>
      <c r="U59" s="77" t="str">
        <f>Oktober!U60</f>
        <v/>
      </c>
      <c r="V59" s="327" t="str">
        <f>Oktober!V60</f>
        <v/>
      </c>
      <c r="W59" s="325" t="str">
        <f>IFERROR(VLOOKUP(V59, Tarieven!$A$2:$J$150, 10, FALSE), "0")</f>
        <v>0</v>
      </c>
      <c r="X59" s="138">
        <f>Oktober!X59</f>
        <v>0</v>
      </c>
      <c r="Y59" s="398">
        <v>0.0</v>
      </c>
      <c r="Z59" s="329">
        <f t="shared" si="3"/>
        <v>0</v>
      </c>
      <c r="AA59" s="32">
        <f t="shared" si="4"/>
        <v>0</v>
      </c>
      <c r="AB59" s="32">
        <f t="shared" si="5"/>
        <v>0</v>
      </c>
      <c r="AC59" s="32">
        <f t="shared" si="6"/>
        <v>0</v>
      </c>
    </row>
    <row r="60" ht="22.5" customHeight="1">
      <c r="A60" s="331" t="str">
        <f>Rooster!A62</f>
        <v/>
      </c>
      <c r="B60" s="396" t="str">
        <f>Rooster!B62</f>
        <v/>
      </c>
      <c r="C60" s="15" t="str">
        <f>Rooster!C62</f>
        <v/>
      </c>
      <c r="D60" s="11" t="str">
        <f>Rooster!D62</f>
        <v/>
      </c>
      <c r="E60" s="77"/>
      <c r="F60" s="327" t="str">
        <f>Rooster!E62</f>
        <v/>
      </c>
      <c r="G60" s="319" t="str">
        <f>IFERROR(VLOOKUP(F60, Docenten!$A$2:$G$30, 7, FALSE), "0")</f>
        <v>0</v>
      </c>
      <c r="H60" s="320">
        <f t="shared" si="7"/>
        <v>0</v>
      </c>
      <c r="I60" s="327" t="str">
        <f>Rooster!H62</f>
        <v/>
      </c>
      <c r="J60" s="321" t="str">
        <f>IFERROR(VLOOKUP(I60, Locaties!$A$2:$G$15, 7, FALSE), "0")</f>
        <v>0</v>
      </c>
      <c r="K60" s="42">
        <f t="shared" si="2"/>
        <v>0</v>
      </c>
      <c r="L60" s="427" t="str">
        <f>Oktober!L60</f>
        <v/>
      </c>
      <c r="M60" s="428" t="str">
        <f>Oktober!M60</f>
        <v/>
      </c>
      <c r="N60" s="321" t="str">
        <f>IFERROR(VLOOKUP(M60, Tarieven!$A$1:$J$150, 10, FALSE), "0")</f>
        <v>0</v>
      </c>
      <c r="O60" s="429" t="str">
        <f>Oktober!O60</f>
        <v/>
      </c>
      <c r="P60" s="430" t="str">
        <f>Oktober!P60</f>
        <v/>
      </c>
      <c r="Q60" s="325" t="str">
        <f>IFERROR(VLOOKUP(P60, Tarieven!$A$2:$J$150, 10, FALSE), "0")</f>
        <v>0</v>
      </c>
      <c r="R60" s="431" t="str">
        <f>Oktober!R60</f>
        <v/>
      </c>
      <c r="S60" s="430" t="str">
        <f>Oktober!S60</f>
        <v/>
      </c>
      <c r="T60" s="325" t="str">
        <f>IFERROR(VLOOKUP(S60, Tarieven!$A$2:$J$150, 10, FALSE), "0")</f>
        <v>0</v>
      </c>
      <c r="U60" s="77" t="str">
        <f>Oktober!U61</f>
        <v/>
      </c>
      <c r="V60" s="327" t="str">
        <f>Oktober!V61</f>
        <v/>
      </c>
      <c r="W60" s="325" t="str">
        <f>IFERROR(VLOOKUP(V60, Tarieven!$A$2:$J$150, 10, FALSE), "0")</f>
        <v>0</v>
      </c>
      <c r="X60" s="138">
        <f>Oktober!X60</f>
        <v>0</v>
      </c>
      <c r="Y60" s="398">
        <v>0.0</v>
      </c>
      <c r="Z60" s="329">
        <f t="shared" si="3"/>
        <v>0</v>
      </c>
      <c r="AA60" s="32">
        <f t="shared" si="4"/>
        <v>0</v>
      </c>
      <c r="AB60" s="32">
        <f t="shared" si="5"/>
        <v>0</v>
      </c>
      <c r="AC60" s="32">
        <f t="shared" si="6"/>
        <v>0</v>
      </c>
    </row>
    <row r="61" ht="22.5" customHeight="1">
      <c r="A61" s="331" t="str">
        <f>Rooster!A63</f>
        <v/>
      </c>
      <c r="B61" s="396" t="str">
        <f>Rooster!B63</f>
        <v/>
      </c>
      <c r="C61" s="15" t="str">
        <f>Rooster!C63</f>
        <v/>
      </c>
      <c r="D61" s="11" t="str">
        <f>Rooster!D63</f>
        <v/>
      </c>
      <c r="E61" s="77"/>
      <c r="F61" s="327" t="str">
        <f>Rooster!E63</f>
        <v/>
      </c>
      <c r="G61" s="319" t="str">
        <f>IFERROR(VLOOKUP(F61, Docenten!$A$2:$G$30, 7, FALSE), "0")</f>
        <v>0</v>
      </c>
      <c r="H61" s="320">
        <f t="shared" si="7"/>
        <v>0</v>
      </c>
      <c r="I61" s="327" t="str">
        <f>Rooster!H63</f>
        <v/>
      </c>
      <c r="J61" s="321" t="str">
        <f>IFERROR(VLOOKUP(I61, Locaties!$A$2:$G$15, 7, FALSE), "0")</f>
        <v>0</v>
      </c>
      <c r="K61" s="42">
        <f t="shared" si="2"/>
        <v>0</v>
      </c>
      <c r="L61" s="427" t="str">
        <f>Oktober!L61</f>
        <v/>
      </c>
      <c r="M61" s="428" t="str">
        <f>Oktober!M61</f>
        <v/>
      </c>
      <c r="N61" s="321" t="str">
        <f>IFERROR(VLOOKUP(M61, Tarieven!$A$1:$J$150, 10, FALSE), "0")</f>
        <v>0</v>
      </c>
      <c r="O61" s="429" t="str">
        <f>Oktober!O61</f>
        <v/>
      </c>
      <c r="P61" s="430" t="str">
        <f>Oktober!P61</f>
        <v/>
      </c>
      <c r="Q61" s="325" t="str">
        <f>IFERROR(VLOOKUP(P61, Tarieven!$A$2:$J$150, 10, FALSE), "0")</f>
        <v>0</v>
      </c>
      <c r="R61" s="431" t="str">
        <f>Oktober!R61</f>
        <v/>
      </c>
      <c r="S61" s="430" t="str">
        <f>Oktober!S61</f>
        <v/>
      </c>
      <c r="T61" s="325" t="str">
        <f>IFERROR(VLOOKUP(S61, Tarieven!$A$2:$J$150, 10, FALSE), "0")</f>
        <v>0</v>
      </c>
      <c r="U61" s="77" t="str">
        <f>Oktober!U62</f>
        <v/>
      </c>
      <c r="V61" s="327" t="str">
        <f>Oktober!V62</f>
        <v/>
      </c>
      <c r="W61" s="325" t="str">
        <f>IFERROR(VLOOKUP(V61, Tarieven!$A$2:$J$150, 10, FALSE), "0")</f>
        <v>0</v>
      </c>
      <c r="X61" s="138">
        <f>Oktober!X61</f>
        <v>0</v>
      </c>
      <c r="Y61" s="398">
        <v>0.0</v>
      </c>
      <c r="Z61" s="329">
        <f t="shared" si="3"/>
        <v>0</v>
      </c>
      <c r="AA61" s="32">
        <f t="shared" si="4"/>
        <v>0</v>
      </c>
      <c r="AB61" s="32">
        <f t="shared" si="5"/>
        <v>0</v>
      </c>
      <c r="AC61" s="32">
        <f t="shared" si="6"/>
        <v>0</v>
      </c>
    </row>
    <row r="62" ht="22.5" customHeight="1">
      <c r="A62" s="331" t="str">
        <f>Rooster!A64</f>
        <v/>
      </c>
      <c r="B62" s="396" t="str">
        <f>Rooster!B64</f>
        <v/>
      </c>
      <c r="C62" s="15" t="str">
        <f>Rooster!C64</f>
        <v/>
      </c>
      <c r="D62" s="11" t="str">
        <f>Rooster!D64</f>
        <v/>
      </c>
      <c r="E62" s="77"/>
      <c r="F62" s="327" t="str">
        <f>Rooster!E64</f>
        <v/>
      </c>
      <c r="G62" s="319" t="str">
        <f>IFERROR(VLOOKUP(F62, Docenten!$A$2:$G$30, 7, FALSE), "0")</f>
        <v>0</v>
      </c>
      <c r="H62" s="320">
        <f t="shared" si="7"/>
        <v>0</v>
      </c>
      <c r="I62" s="327" t="str">
        <f>Rooster!H64</f>
        <v/>
      </c>
      <c r="J62" s="321" t="str">
        <f>IFERROR(VLOOKUP(I62, Locaties!$A$2:$G$15, 7, FALSE), "0")</f>
        <v>0</v>
      </c>
      <c r="K62" s="42">
        <f t="shared" si="2"/>
        <v>0</v>
      </c>
      <c r="L62" s="427" t="str">
        <f>Oktober!L62</f>
        <v/>
      </c>
      <c r="M62" s="428" t="str">
        <f>Oktober!M62</f>
        <v/>
      </c>
      <c r="N62" s="321" t="str">
        <f>IFERROR(VLOOKUP(M62, Tarieven!$A$1:$J$150, 10, FALSE), "0")</f>
        <v>0</v>
      </c>
      <c r="O62" s="429" t="str">
        <f>Oktober!O62</f>
        <v/>
      </c>
      <c r="P62" s="430" t="str">
        <f>Oktober!P62</f>
        <v/>
      </c>
      <c r="Q62" s="325" t="str">
        <f>IFERROR(VLOOKUP(P62, Tarieven!$A$2:$J$150, 10, FALSE), "0")</f>
        <v>0</v>
      </c>
      <c r="R62" s="431" t="str">
        <f>Oktober!R62</f>
        <v/>
      </c>
      <c r="S62" s="430" t="str">
        <f>Oktober!S62</f>
        <v/>
      </c>
      <c r="T62" s="325" t="str">
        <f>IFERROR(VLOOKUP(S62, Tarieven!$A$2:$J$150, 10, FALSE), "0")</f>
        <v>0</v>
      </c>
      <c r="U62" s="77" t="str">
        <f>Oktober!U63</f>
        <v/>
      </c>
      <c r="V62" s="327" t="str">
        <f>Oktober!V63</f>
        <v/>
      </c>
      <c r="W62" s="325" t="str">
        <f>IFERROR(VLOOKUP(V62, Tarieven!$A$2:$J$150, 10, FALSE), "0")</f>
        <v>0</v>
      </c>
      <c r="X62" s="138">
        <f>Oktober!X62</f>
        <v>0</v>
      </c>
      <c r="Y62" s="398">
        <v>0.0</v>
      </c>
      <c r="Z62" s="329">
        <f t="shared" si="3"/>
        <v>0</v>
      </c>
      <c r="AA62" s="32">
        <f t="shared" si="4"/>
        <v>0</v>
      </c>
      <c r="AB62" s="32">
        <f t="shared" si="5"/>
        <v>0</v>
      </c>
      <c r="AC62" s="32">
        <f t="shared" si="6"/>
        <v>0</v>
      </c>
    </row>
    <row r="63" ht="22.5" customHeight="1">
      <c r="A63" s="331" t="str">
        <f>Rooster!A65</f>
        <v/>
      </c>
      <c r="B63" s="396" t="str">
        <f>Rooster!B65</f>
        <v/>
      </c>
      <c r="C63" s="15" t="str">
        <f>Rooster!C65</f>
        <v/>
      </c>
      <c r="D63" s="11" t="str">
        <f>Rooster!D65</f>
        <v/>
      </c>
      <c r="E63" s="77"/>
      <c r="F63" s="327" t="str">
        <f>Rooster!E65</f>
        <v/>
      </c>
      <c r="G63" s="319" t="str">
        <f>IFERROR(VLOOKUP(F63, Docenten!$A$2:$G$30, 7, FALSE), "0")</f>
        <v>0</v>
      </c>
      <c r="H63" s="320">
        <f t="shared" si="7"/>
        <v>0</v>
      </c>
      <c r="I63" s="327" t="str">
        <f>Rooster!H65</f>
        <v/>
      </c>
      <c r="J63" s="321" t="str">
        <f>IFERROR(VLOOKUP(I63, Locaties!$A$2:$G$15, 7, FALSE), "0")</f>
        <v>0</v>
      </c>
      <c r="K63" s="42">
        <f t="shared" si="2"/>
        <v>0</v>
      </c>
      <c r="L63" s="427" t="str">
        <f>Oktober!L63</f>
        <v/>
      </c>
      <c r="M63" s="428" t="str">
        <f>Oktober!M63</f>
        <v/>
      </c>
      <c r="N63" s="321" t="str">
        <f>IFERROR(VLOOKUP(M63, Tarieven!$A$1:$J$150, 10, FALSE), "0")</f>
        <v>0</v>
      </c>
      <c r="O63" s="429" t="str">
        <f>Oktober!O63</f>
        <v/>
      </c>
      <c r="P63" s="430" t="str">
        <f>Oktober!P63</f>
        <v/>
      </c>
      <c r="Q63" s="325" t="str">
        <f>IFERROR(VLOOKUP(P63, Tarieven!$A$2:$J$150, 10, FALSE), "0")</f>
        <v>0</v>
      </c>
      <c r="R63" s="431" t="str">
        <f>Oktober!R63</f>
        <v/>
      </c>
      <c r="S63" s="430" t="str">
        <f>Oktober!S63</f>
        <v/>
      </c>
      <c r="T63" s="325" t="str">
        <f>IFERROR(VLOOKUP(S63, Tarieven!$A$2:$J$150, 10, FALSE), "0")</f>
        <v>0</v>
      </c>
      <c r="U63" s="77" t="str">
        <f>Oktober!U64</f>
        <v/>
      </c>
      <c r="V63" s="327" t="str">
        <f>Oktober!V64</f>
        <v/>
      </c>
      <c r="W63" s="325" t="str">
        <f>IFERROR(VLOOKUP(V63, Tarieven!$A$2:$J$150, 10, FALSE), "0")</f>
        <v>0</v>
      </c>
      <c r="X63" s="138">
        <f>Oktober!X63</f>
        <v>0</v>
      </c>
      <c r="Y63" s="398">
        <v>0.0</v>
      </c>
      <c r="Z63" s="329">
        <f t="shared" si="3"/>
        <v>0</v>
      </c>
      <c r="AA63" s="32">
        <f t="shared" si="4"/>
        <v>0</v>
      </c>
      <c r="AB63" s="32">
        <f t="shared" si="5"/>
        <v>0</v>
      </c>
      <c r="AC63" s="32">
        <f t="shared" si="6"/>
        <v>0</v>
      </c>
    </row>
    <row r="64" ht="22.5" customHeight="1">
      <c r="A64" s="331" t="str">
        <f>Rooster!A66</f>
        <v/>
      </c>
      <c r="B64" s="396" t="str">
        <f>Rooster!B66</f>
        <v/>
      </c>
      <c r="C64" s="15" t="str">
        <f>Rooster!C66</f>
        <v/>
      </c>
      <c r="D64" s="11" t="str">
        <f>Rooster!D66</f>
        <v/>
      </c>
      <c r="E64" s="77"/>
      <c r="F64" s="327" t="str">
        <f>Rooster!E66</f>
        <v/>
      </c>
      <c r="G64" s="319" t="str">
        <f>IFERROR(VLOOKUP(F64, Docenten!$A$2:$G$30, 7, FALSE), "0")</f>
        <v>0</v>
      </c>
      <c r="H64" s="320">
        <f t="shared" si="7"/>
        <v>0</v>
      </c>
      <c r="I64" s="327" t="str">
        <f>Rooster!H66</f>
        <v/>
      </c>
      <c r="J64" s="321" t="str">
        <f>IFERROR(VLOOKUP(I64, Locaties!$A$2:$G$15, 7, FALSE), "0")</f>
        <v>0</v>
      </c>
      <c r="K64" s="42">
        <f t="shared" si="2"/>
        <v>0</v>
      </c>
      <c r="L64" s="427" t="str">
        <f>Oktober!L64</f>
        <v/>
      </c>
      <c r="M64" s="428" t="str">
        <f>Oktober!M64</f>
        <v/>
      </c>
      <c r="N64" s="321" t="str">
        <f>IFERROR(VLOOKUP(M64, Tarieven!$A$1:$J$150, 10, FALSE), "0")</f>
        <v>0</v>
      </c>
      <c r="O64" s="429" t="str">
        <f>Oktober!O64</f>
        <v/>
      </c>
      <c r="P64" s="430" t="str">
        <f>Oktober!P64</f>
        <v/>
      </c>
      <c r="Q64" s="325" t="str">
        <f>IFERROR(VLOOKUP(P64, Tarieven!$A$2:$J$150, 10, FALSE), "0")</f>
        <v>0</v>
      </c>
      <c r="R64" s="431" t="str">
        <f>Oktober!R64</f>
        <v/>
      </c>
      <c r="S64" s="430" t="str">
        <f>Oktober!S64</f>
        <v/>
      </c>
      <c r="T64" s="325" t="str">
        <f>IFERROR(VLOOKUP(S64, Tarieven!$A$2:$J$150, 10, FALSE), "0")</f>
        <v>0</v>
      </c>
      <c r="U64" s="77" t="str">
        <f>Oktober!U65</f>
        <v/>
      </c>
      <c r="V64" s="327" t="str">
        <f>Oktober!V65</f>
        <v/>
      </c>
      <c r="W64" s="325" t="str">
        <f>IFERROR(VLOOKUP(V64, Tarieven!$A$2:$J$150, 10, FALSE), "0")</f>
        <v>0</v>
      </c>
      <c r="X64" s="138">
        <f>Oktober!X64</f>
        <v>0</v>
      </c>
      <c r="Y64" s="398">
        <v>0.0</v>
      </c>
      <c r="Z64" s="329">
        <f t="shared" si="3"/>
        <v>0</v>
      </c>
      <c r="AA64" s="32">
        <f t="shared" si="4"/>
        <v>0</v>
      </c>
      <c r="AB64" s="32">
        <f t="shared" si="5"/>
        <v>0</v>
      </c>
      <c r="AC64" s="32">
        <f t="shared" si="6"/>
        <v>0</v>
      </c>
    </row>
    <row r="65" ht="22.5" customHeight="1">
      <c r="A65" s="331" t="str">
        <f>Rooster!A67</f>
        <v/>
      </c>
      <c r="B65" s="396" t="str">
        <f>Rooster!B67</f>
        <v/>
      </c>
      <c r="C65" s="15" t="str">
        <f>Rooster!C67</f>
        <v/>
      </c>
      <c r="D65" s="11" t="str">
        <f>Rooster!D67</f>
        <v/>
      </c>
      <c r="E65" s="77"/>
      <c r="F65" s="327" t="str">
        <f>Rooster!E67</f>
        <v/>
      </c>
      <c r="G65" s="319" t="str">
        <f>IFERROR(VLOOKUP(F65, Docenten!$A$2:$G$30, 7, FALSE), "0")</f>
        <v>0</v>
      </c>
      <c r="H65" s="320">
        <f t="shared" si="7"/>
        <v>0</v>
      </c>
      <c r="I65" s="327" t="str">
        <f>Rooster!H67</f>
        <v/>
      </c>
      <c r="J65" s="321" t="str">
        <f>IFERROR(VLOOKUP(I65, Locaties!$A$2:$G$15, 7, FALSE), "0")</f>
        <v>0</v>
      </c>
      <c r="K65" s="42">
        <f t="shared" si="2"/>
        <v>0</v>
      </c>
      <c r="L65" s="427" t="str">
        <f>Oktober!L65</f>
        <v/>
      </c>
      <c r="M65" s="428" t="str">
        <f>Oktober!M65</f>
        <v/>
      </c>
      <c r="N65" s="321" t="str">
        <f>IFERROR(VLOOKUP(M65, Tarieven!$A$1:$J$150, 10, FALSE), "0")</f>
        <v>0</v>
      </c>
      <c r="O65" s="429" t="str">
        <f>Oktober!O65</f>
        <v/>
      </c>
      <c r="P65" s="430" t="str">
        <f>Oktober!P65</f>
        <v/>
      </c>
      <c r="Q65" s="325" t="str">
        <f>IFERROR(VLOOKUP(P65, Tarieven!$A$2:$J$150, 10, FALSE), "0")</f>
        <v>0</v>
      </c>
      <c r="R65" s="431" t="str">
        <f>Oktober!R65</f>
        <v/>
      </c>
      <c r="S65" s="430" t="str">
        <f>Oktober!S65</f>
        <v/>
      </c>
      <c r="T65" s="325" t="str">
        <f>IFERROR(VLOOKUP(S65, Tarieven!$A$2:$J$150, 10, FALSE), "0")</f>
        <v>0</v>
      </c>
      <c r="U65" s="77" t="str">
        <f>Oktober!U66</f>
        <v/>
      </c>
      <c r="V65" s="327" t="str">
        <f>Oktober!V66</f>
        <v/>
      </c>
      <c r="W65" s="325" t="str">
        <f>IFERROR(VLOOKUP(V65, Tarieven!$A$2:$J$150, 10, FALSE), "0")</f>
        <v>0</v>
      </c>
      <c r="X65" s="138">
        <f>Oktober!X65</f>
        <v>0</v>
      </c>
      <c r="Y65" s="398">
        <v>0.0</v>
      </c>
      <c r="Z65" s="329">
        <f t="shared" si="3"/>
        <v>0</v>
      </c>
      <c r="AA65" s="32">
        <f t="shared" si="4"/>
        <v>0</v>
      </c>
      <c r="AB65" s="32">
        <f t="shared" si="5"/>
        <v>0</v>
      </c>
      <c r="AC65" s="32">
        <f t="shared" si="6"/>
        <v>0</v>
      </c>
    </row>
    <row r="66" ht="22.5" customHeight="1">
      <c r="A66" s="331" t="str">
        <f>Rooster!A68</f>
        <v/>
      </c>
      <c r="B66" s="396" t="str">
        <f>Rooster!B68</f>
        <v/>
      </c>
      <c r="C66" s="15" t="str">
        <f>Rooster!C68</f>
        <v/>
      </c>
      <c r="D66" s="11" t="str">
        <f>Rooster!D68</f>
        <v/>
      </c>
      <c r="E66" s="77"/>
      <c r="F66" s="327" t="str">
        <f>Rooster!E68</f>
        <v/>
      </c>
      <c r="G66" s="319" t="str">
        <f>IFERROR(VLOOKUP(F66, Docenten!$A$2:$G$30, 7, FALSE), "0")</f>
        <v>0</v>
      </c>
      <c r="H66" s="320">
        <f t="shared" si="7"/>
        <v>0</v>
      </c>
      <c r="I66" s="327" t="str">
        <f>Rooster!H68</f>
        <v/>
      </c>
      <c r="J66" s="321" t="str">
        <f>IFERROR(VLOOKUP(I66, Locaties!$A$2:$G$15, 7, FALSE), "0")</f>
        <v>0</v>
      </c>
      <c r="K66" s="42">
        <f t="shared" si="2"/>
        <v>0</v>
      </c>
      <c r="L66" s="427" t="str">
        <f>Oktober!L66</f>
        <v/>
      </c>
      <c r="M66" s="428" t="str">
        <f>Oktober!M66</f>
        <v/>
      </c>
      <c r="N66" s="321" t="str">
        <f>IFERROR(VLOOKUP(M66, Tarieven!$A$1:$J$150, 10, FALSE), "0")</f>
        <v>0</v>
      </c>
      <c r="O66" s="429" t="str">
        <f>Oktober!O66</f>
        <v/>
      </c>
      <c r="P66" s="430" t="str">
        <f>Oktober!P66</f>
        <v/>
      </c>
      <c r="Q66" s="325" t="str">
        <f>IFERROR(VLOOKUP(P66, Tarieven!$A$2:$J$150, 10, FALSE), "0")</f>
        <v>0</v>
      </c>
      <c r="R66" s="431" t="str">
        <f>Oktober!R66</f>
        <v/>
      </c>
      <c r="S66" s="430" t="str">
        <f>Oktober!S66</f>
        <v/>
      </c>
      <c r="T66" s="325" t="str">
        <f>IFERROR(VLOOKUP(S66, Tarieven!$A$2:$J$150, 10, FALSE), "0")</f>
        <v>0</v>
      </c>
      <c r="U66" s="77" t="str">
        <f>Oktober!U67</f>
        <v/>
      </c>
      <c r="V66" s="327" t="str">
        <f>Oktober!V67</f>
        <v/>
      </c>
      <c r="W66" s="325" t="str">
        <f>IFERROR(VLOOKUP(V66, Tarieven!$A$2:$J$150, 10, FALSE), "0")</f>
        <v>0</v>
      </c>
      <c r="X66" s="138">
        <f>Oktober!X66</f>
        <v>0</v>
      </c>
      <c r="Y66" s="398">
        <v>0.0</v>
      </c>
      <c r="Z66" s="329">
        <f t="shared" si="3"/>
        <v>0</v>
      </c>
      <c r="AA66" s="32">
        <f t="shared" si="4"/>
        <v>0</v>
      </c>
      <c r="AB66" s="32">
        <f t="shared" si="5"/>
        <v>0</v>
      </c>
      <c r="AC66" s="32">
        <f t="shared" si="6"/>
        <v>0</v>
      </c>
    </row>
    <row r="67" ht="22.5" customHeight="1">
      <c r="A67" s="331" t="str">
        <f>Rooster!A69</f>
        <v/>
      </c>
      <c r="B67" s="396" t="str">
        <f>Rooster!B69</f>
        <v/>
      </c>
      <c r="C67" s="15" t="str">
        <f>Rooster!C69</f>
        <v/>
      </c>
      <c r="D67" s="11" t="str">
        <f>Rooster!D69</f>
        <v/>
      </c>
      <c r="E67" s="77"/>
      <c r="F67" s="327" t="str">
        <f>Rooster!E69</f>
        <v/>
      </c>
      <c r="G67" s="319" t="str">
        <f>IFERROR(VLOOKUP(F67, Docenten!$A$2:$G$30, 7, FALSE), "0")</f>
        <v>0</v>
      </c>
      <c r="H67" s="320">
        <f t="shared" si="7"/>
        <v>0</v>
      </c>
      <c r="I67" s="327" t="str">
        <f>Rooster!H69</f>
        <v/>
      </c>
      <c r="J67" s="321" t="str">
        <f>IFERROR(VLOOKUP(I67, Locaties!$A$2:$G$15, 7, FALSE), "0")</f>
        <v>0</v>
      </c>
      <c r="K67" s="42">
        <f t="shared" si="2"/>
        <v>0</v>
      </c>
      <c r="L67" s="427" t="str">
        <f>Oktober!L67</f>
        <v/>
      </c>
      <c r="M67" s="428" t="str">
        <f>Oktober!M67</f>
        <v/>
      </c>
      <c r="N67" s="321" t="str">
        <f>IFERROR(VLOOKUP(M67, Tarieven!$A$1:$J$150, 10, FALSE), "0")</f>
        <v>0</v>
      </c>
      <c r="O67" s="429" t="str">
        <f>Oktober!O67</f>
        <v/>
      </c>
      <c r="P67" s="430" t="str">
        <f>Oktober!P67</f>
        <v/>
      </c>
      <c r="Q67" s="325" t="str">
        <f>IFERROR(VLOOKUP(P67, Tarieven!$A$2:$J$150, 10, FALSE), "0")</f>
        <v>0</v>
      </c>
      <c r="R67" s="431" t="str">
        <f>Oktober!R67</f>
        <v/>
      </c>
      <c r="S67" s="430" t="str">
        <f>Oktober!S67</f>
        <v/>
      </c>
      <c r="T67" s="325" t="str">
        <f>IFERROR(VLOOKUP(S67, Tarieven!$A$2:$J$150, 10, FALSE), "0")</f>
        <v>0</v>
      </c>
      <c r="U67" s="77" t="str">
        <f>Oktober!U68</f>
        <v/>
      </c>
      <c r="V67" s="327" t="str">
        <f>Oktober!V68</f>
        <v/>
      </c>
      <c r="W67" s="325" t="str">
        <f>IFERROR(VLOOKUP(V67, Tarieven!$A$2:$J$150, 10, FALSE), "0")</f>
        <v>0</v>
      </c>
      <c r="X67" s="138">
        <f>Oktober!X67</f>
        <v>0</v>
      </c>
      <c r="Y67" s="398">
        <v>0.0</v>
      </c>
      <c r="Z67" s="329">
        <f t="shared" si="3"/>
        <v>0</v>
      </c>
      <c r="AA67" s="32">
        <f t="shared" si="4"/>
        <v>0</v>
      </c>
      <c r="AB67" s="32">
        <f t="shared" si="5"/>
        <v>0</v>
      </c>
      <c r="AC67" s="32">
        <f t="shared" si="6"/>
        <v>0</v>
      </c>
    </row>
    <row r="68" ht="22.5" customHeight="1">
      <c r="A68" s="331" t="str">
        <f>Rooster!A70</f>
        <v/>
      </c>
      <c r="B68" s="396" t="str">
        <f>Rooster!B70</f>
        <v/>
      </c>
      <c r="C68" s="15" t="str">
        <f>Rooster!C70</f>
        <v/>
      </c>
      <c r="D68" s="11" t="str">
        <f>Rooster!D70</f>
        <v/>
      </c>
      <c r="E68" s="77"/>
      <c r="F68" s="327" t="str">
        <f>Rooster!E70</f>
        <v/>
      </c>
      <c r="G68" s="319" t="str">
        <f>IFERROR(VLOOKUP(F68, Docenten!$A$2:$G$30, 7, FALSE), "0")</f>
        <v>0</v>
      </c>
      <c r="H68" s="320">
        <f t="shared" si="7"/>
        <v>0</v>
      </c>
      <c r="I68" s="327" t="str">
        <f>Rooster!H70</f>
        <v/>
      </c>
      <c r="J68" s="321" t="str">
        <f>IFERROR(VLOOKUP(I68, Locaties!$A$2:$G$15, 7, FALSE), "0")</f>
        <v>0</v>
      </c>
      <c r="K68" s="42">
        <f t="shared" si="2"/>
        <v>0</v>
      </c>
      <c r="L68" s="427" t="str">
        <f>Oktober!L68</f>
        <v/>
      </c>
      <c r="M68" s="428" t="str">
        <f>Oktober!M68</f>
        <v/>
      </c>
      <c r="N68" s="321" t="str">
        <f>IFERROR(VLOOKUP(M68, Tarieven!$A$1:$J$150, 10, FALSE), "0")</f>
        <v>0</v>
      </c>
      <c r="O68" s="429" t="str">
        <f>Oktober!O68</f>
        <v/>
      </c>
      <c r="P68" s="430" t="str">
        <f>Oktober!P68</f>
        <v/>
      </c>
      <c r="Q68" s="325" t="str">
        <f>IFERROR(VLOOKUP(P68, Tarieven!$A$2:$J$150, 10, FALSE), "0")</f>
        <v>0</v>
      </c>
      <c r="R68" s="431" t="str">
        <f>Oktober!R68</f>
        <v/>
      </c>
      <c r="S68" s="430" t="str">
        <f>Oktober!S68</f>
        <v/>
      </c>
      <c r="T68" s="325" t="str">
        <f>IFERROR(VLOOKUP(S68, Tarieven!$A$2:$J$150, 10, FALSE), "0")</f>
        <v>0</v>
      </c>
      <c r="U68" s="77" t="str">
        <f>Oktober!U69</f>
        <v/>
      </c>
      <c r="V68" s="327" t="str">
        <f>Oktober!V69</f>
        <v/>
      </c>
      <c r="W68" s="325" t="str">
        <f>IFERROR(VLOOKUP(V68, Tarieven!$A$2:$J$150, 10, FALSE), "0")</f>
        <v>0</v>
      </c>
      <c r="X68" s="138">
        <f>Oktober!X68</f>
        <v>0</v>
      </c>
      <c r="Y68" s="398">
        <v>0.0</v>
      </c>
      <c r="Z68" s="329">
        <f t="shared" si="3"/>
        <v>0</v>
      </c>
      <c r="AA68" s="32">
        <f t="shared" si="4"/>
        <v>0</v>
      </c>
      <c r="AB68" s="32">
        <f t="shared" si="5"/>
        <v>0</v>
      </c>
      <c r="AC68" s="32">
        <f t="shared" si="6"/>
        <v>0</v>
      </c>
    </row>
    <row r="69" ht="22.5" customHeight="1">
      <c r="A69" s="331" t="str">
        <f>Rooster!A71</f>
        <v/>
      </c>
      <c r="B69" s="396" t="str">
        <f>Rooster!B71</f>
        <v/>
      </c>
      <c r="C69" s="15" t="str">
        <f>Rooster!C71</f>
        <v/>
      </c>
      <c r="D69" s="11" t="str">
        <f>Rooster!D71</f>
        <v/>
      </c>
      <c r="E69" s="77"/>
      <c r="F69" s="327" t="str">
        <f>Rooster!E71</f>
        <v/>
      </c>
      <c r="G69" s="319" t="str">
        <f>IFERROR(VLOOKUP(F69, Docenten!$A$2:$G$30, 7, FALSE), "0")</f>
        <v>0</v>
      </c>
      <c r="H69" s="320">
        <f t="shared" si="7"/>
        <v>0</v>
      </c>
      <c r="I69" s="327" t="str">
        <f>Rooster!H71</f>
        <v/>
      </c>
      <c r="J69" s="321" t="str">
        <f>IFERROR(VLOOKUP(I69, Locaties!$A$2:$G$15, 7, FALSE), "0")</f>
        <v>0</v>
      </c>
      <c r="K69" s="42">
        <f t="shared" si="2"/>
        <v>0</v>
      </c>
      <c r="L69" s="427" t="str">
        <f>Oktober!L69</f>
        <v/>
      </c>
      <c r="M69" s="428" t="str">
        <f>Oktober!M69</f>
        <v/>
      </c>
      <c r="N69" s="321" t="str">
        <f>IFERROR(VLOOKUP(M69, Tarieven!$A$1:$J$150, 10, FALSE), "0")</f>
        <v>0</v>
      </c>
      <c r="O69" s="429" t="str">
        <f>Oktober!O69</f>
        <v/>
      </c>
      <c r="P69" s="430" t="str">
        <f>Oktober!P69</f>
        <v/>
      </c>
      <c r="Q69" s="325" t="str">
        <f>IFERROR(VLOOKUP(P69, Tarieven!$A$2:$J$150, 10, FALSE), "0")</f>
        <v>0</v>
      </c>
      <c r="R69" s="431" t="str">
        <f>Oktober!R69</f>
        <v/>
      </c>
      <c r="S69" s="430" t="str">
        <f>Oktober!S69</f>
        <v/>
      </c>
      <c r="T69" s="325" t="str">
        <f>IFERROR(VLOOKUP(S69, Tarieven!$A$2:$J$150, 10, FALSE), "0")</f>
        <v>0</v>
      </c>
      <c r="U69" s="77" t="str">
        <f>Oktober!U70</f>
        <v/>
      </c>
      <c r="V69" s="327" t="str">
        <f>Oktober!V70</f>
        <v/>
      </c>
      <c r="W69" s="325" t="str">
        <f>IFERROR(VLOOKUP(V69, Tarieven!$A$2:$J$150, 10, FALSE), "0")</f>
        <v>0</v>
      </c>
      <c r="X69" s="138">
        <f>Oktober!X69</f>
        <v>0</v>
      </c>
      <c r="Y69" s="398">
        <v>0.0</v>
      </c>
      <c r="Z69" s="329">
        <f t="shared" si="3"/>
        <v>0</v>
      </c>
      <c r="AA69" s="32">
        <f t="shared" si="4"/>
        <v>0</v>
      </c>
      <c r="AB69" s="32">
        <f t="shared" si="5"/>
        <v>0</v>
      </c>
      <c r="AC69" s="32">
        <f t="shared" si="6"/>
        <v>0</v>
      </c>
    </row>
    <row r="70" ht="22.5" customHeight="1">
      <c r="A70" s="331" t="str">
        <f>Rooster!A72</f>
        <v/>
      </c>
      <c r="B70" s="396" t="str">
        <f>Rooster!B72</f>
        <v/>
      </c>
      <c r="C70" s="15" t="str">
        <f>Rooster!C72</f>
        <v/>
      </c>
      <c r="D70" s="11" t="str">
        <f>Rooster!D72</f>
        <v/>
      </c>
      <c r="E70" s="77"/>
      <c r="F70" s="327" t="str">
        <f>Rooster!E72</f>
        <v/>
      </c>
      <c r="G70" s="319" t="str">
        <f>IFERROR(VLOOKUP(F70, Docenten!$A$2:$G$30, 7, FALSE), "0")</f>
        <v>0</v>
      </c>
      <c r="H70" s="320">
        <f t="shared" si="7"/>
        <v>0</v>
      </c>
      <c r="I70" s="327" t="str">
        <f>Rooster!H72</f>
        <v/>
      </c>
      <c r="J70" s="321" t="str">
        <f>IFERROR(VLOOKUP(I70, Locaties!$A$2:$G$15, 7, FALSE), "0")</f>
        <v>0</v>
      </c>
      <c r="K70" s="42">
        <f t="shared" si="2"/>
        <v>0</v>
      </c>
      <c r="L70" s="427" t="str">
        <f>Oktober!L70</f>
        <v/>
      </c>
      <c r="M70" s="428" t="str">
        <f>Oktober!M70</f>
        <v/>
      </c>
      <c r="N70" s="321" t="str">
        <f>IFERROR(VLOOKUP(M70, Tarieven!$A$1:$J$150, 10, FALSE), "0")</f>
        <v>0</v>
      </c>
      <c r="O70" s="429" t="str">
        <f>Oktober!O70</f>
        <v/>
      </c>
      <c r="P70" s="430" t="str">
        <f>Oktober!P70</f>
        <v/>
      </c>
      <c r="Q70" s="325" t="str">
        <f>IFERROR(VLOOKUP(P70, Tarieven!$A$2:$J$150, 10, FALSE), "0")</f>
        <v>0</v>
      </c>
      <c r="R70" s="431" t="str">
        <f>Oktober!R70</f>
        <v/>
      </c>
      <c r="S70" s="430" t="str">
        <f>Oktober!S70</f>
        <v/>
      </c>
      <c r="T70" s="325" t="str">
        <f>IFERROR(VLOOKUP(S70, Tarieven!$A$2:$J$150, 10, FALSE), "0")</f>
        <v>0</v>
      </c>
      <c r="U70" s="77" t="str">
        <f>Oktober!U71</f>
        <v/>
      </c>
      <c r="V70" s="327" t="str">
        <f>Oktober!V71</f>
        <v/>
      </c>
      <c r="W70" s="325" t="str">
        <f>IFERROR(VLOOKUP(V70, Tarieven!$A$2:$J$150, 10, FALSE), "0")</f>
        <v>0</v>
      </c>
      <c r="X70" s="138">
        <f>Oktober!X70</f>
        <v>0</v>
      </c>
      <c r="Y70" s="398">
        <v>0.0</v>
      </c>
      <c r="Z70" s="329">
        <f t="shared" si="3"/>
        <v>0</v>
      </c>
      <c r="AA70" s="32">
        <f t="shared" si="4"/>
        <v>0</v>
      </c>
      <c r="AB70" s="32">
        <f t="shared" si="5"/>
        <v>0</v>
      </c>
      <c r="AC70" s="32">
        <f t="shared" si="6"/>
        <v>0</v>
      </c>
    </row>
    <row r="71" ht="22.5" customHeight="1">
      <c r="A71" s="331" t="str">
        <f>Rooster!A73</f>
        <v/>
      </c>
      <c r="B71" s="396" t="str">
        <f>Rooster!B73</f>
        <v/>
      </c>
      <c r="C71" s="15" t="str">
        <f>Rooster!C73</f>
        <v/>
      </c>
      <c r="D71" s="11" t="str">
        <f>Rooster!D73</f>
        <v/>
      </c>
      <c r="E71" s="77"/>
      <c r="F71" s="327" t="str">
        <f>Rooster!E73</f>
        <v/>
      </c>
      <c r="G71" s="319" t="str">
        <f>IFERROR(VLOOKUP(F71, Docenten!$A$2:$G$30, 7, FALSE), "0")</f>
        <v>0</v>
      </c>
      <c r="H71" s="320">
        <f t="shared" si="7"/>
        <v>0</v>
      </c>
      <c r="I71" s="327" t="str">
        <f>Rooster!H73</f>
        <v/>
      </c>
      <c r="J71" s="321" t="str">
        <f>IFERROR(VLOOKUP(I71, Locaties!$A$2:$G$15, 7, FALSE), "0")</f>
        <v>0</v>
      </c>
      <c r="K71" s="42">
        <f t="shared" si="2"/>
        <v>0</v>
      </c>
      <c r="L71" s="427" t="str">
        <f>Oktober!L71</f>
        <v/>
      </c>
      <c r="M71" s="428" t="str">
        <f>Oktober!M71</f>
        <v/>
      </c>
      <c r="N71" s="321" t="str">
        <f>IFERROR(VLOOKUP(M71, Tarieven!$A$1:$J$150, 10, FALSE), "0")</f>
        <v>0</v>
      </c>
      <c r="O71" s="429" t="str">
        <f>Oktober!O71</f>
        <v/>
      </c>
      <c r="P71" s="430" t="str">
        <f>Oktober!P71</f>
        <v/>
      </c>
      <c r="Q71" s="325" t="str">
        <f>IFERROR(VLOOKUP(P71, Tarieven!$A$2:$J$150, 10, FALSE), "0")</f>
        <v>0</v>
      </c>
      <c r="R71" s="431" t="str">
        <f>Oktober!R71</f>
        <v/>
      </c>
      <c r="S71" s="430" t="str">
        <f>Oktober!S71</f>
        <v/>
      </c>
      <c r="T71" s="325" t="str">
        <f>IFERROR(VLOOKUP(S71, Tarieven!$A$2:$J$150, 10, FALSE), "0")</f>
        <v>0</v>
      </c>
      <c r="U71" s="77" t="str">
        <f>Oktober!U72</f>
        <v/>
      </c>
      <c r="V71" s="327" t="str">
        <f>Oktober!V72</f>
        <v/>
      </c>
      <c r="W71" s="325" t="str">
        <f>IFERROR(VLOOKUP(V71, Tarieven!$A$2:$J$150, 10, FALSE), "0")</f>
        <v>0</v>
      </c>
      <c r="X71" s="138">
        <f>Oktober!X71</f>
        <v>0</v>
      </c>
      <c r="Y71" s="398">
        <v>0.0</v>
      </c>
      <c r="Z71" s="329">
        <f t="shared" si="3"/>
        <v>0</v>
      </c>
      <c r="AA71" s="32">
        <f t="shared" si="4"/>
        <v>0</v>
      </c>
      <c r="AB71" s="32">
        <f t="shared" si="5"/>
        <v>0</v>
      </c>
      <c r="AC71" s="32">
        <f t="shared" si="6"/>
        <v>0</v>
      </c>
    </row>
    <row r="72" ht="22.5" customHeight="1">
      <c r="A72" s="331" t="str">
        <f>Rooster!A74</f>
        <v/>
      </c>
      <c r="B72" s="396" t="str">
        <f>Rooster!B74</f>
        <v/>
      </c>
      <c r="C72" s="15" t="str">
        <f>Rooster!C74</f>
        <v/>
      </c>
      <c r="D72" s="11" t="str">
        <f>Rooster!D74</f>
        <v/>
      </c>
      <c r="E72" s="77"/>
      <c r="F72" s="327" t="str">
        <f>Rooster!E74</f>
        <v/>
      </c>
      <c r="G72" s="319" t="str">
        <f>IFERROR(VLOOKUP(F72, Docenten!$A$2:$G$30, 7, FALSE), "0")</f>
        <v>0</v>
      </c>
      <c r="H72" s="320">
        <f t="shared" si="7"/>
        <v>0</v>
      </c>
      <c r="I72" s="327" t="str">
        <f>Rooster!H74</f>
        <v/>
      </c>
      <c r="J72" s="321" t="str">
        <f>IFERROR(VLOOKUP(I72, Locaties!$A$2:$G$15, 7, FALSE), "0")</f>
        <v>0</v>
      </c>
      <c r="K72" s="42">
        <f t="shared" si="2"/>
        <v>0</v>
      </c>
      <c r="L72" s="427" t="str">
        <f>Oktober!L72</f>
        <v/>
      </c>
      <c r="M72" s="428" t="str">
        <f>Oktober!M72</f>
        <v/>
      </c>
      <c r="N72" s="321" t="str">
        <f>IFERROR(VLOOKUP(M72, Tarieven!$A$1:$J$150, 10, FALSE), "0")</f>
        <v>0</v>
      </c>
      <c r="O72" s="429" t="str">
        <f>Oktober!O72</f>
        <v/>
      </c>
      <c r="P72" s="430" t="str">
        <f>Oktober!P72</f>
        <v/>
      </c>
      <c r="Q72" s="325" t="str">
        <f>IFERROR(VLOOKUP(P72, Tarieven!$A$2:$J$150, 10, FALSE), "0")</f>
        <v>0</v>
      </c>
      <c r="R72" s="431" t="str">
        <f>Oktober!R72</f>
        <v/>
      </c>
      <c r="S72" s="430" t="str">
        <f>Oktober!S72</f>
        <v/>
      </c>
      <c r="T72" s="325" t="str">
        <f>IFERROR(VLOOKUP(S72, Tarieven!$A$2:$J$150, 10, FALSE), "0")</f>
        <v>0</v>
      </c>
      <c r="U72" s="77" t="str">
        <f>Oktober!U73</f>
        <v/>
      </c>
      <c r="V72" s="327" t="str">
        <f>Oktober!V73</f>
        <v/>
      </c>
      <c r="W72" s="325" t="str">
        <f>IFERROR(VLOOKUP(V72, Tarieven!$A$2:$J$150, 10, FALSE), "0")</f>
        <v>0</v>
      </c>
      <c r="X72" s="138">
        <f>Oktober!X72</f>
        <v>0</v>
      </c>
      <c r="Y72" s="398">
        <v>0.0</v>
      </c>
      <c r="Z72" s="329">
        <f t="shared" si="3"/>
        <v>0</v>
      </c>
      <c r="AA72" s="32">
        <f t="shared" si="4"/>
        <v>0</v>
      </c>
      <c r="AB72" s="32">
        <f t="shared" si="5"/>
        <v>0</v>
      </c>
      <c r="AC72" s="32">
        <f t="shared" si="6"/>
        <v>0</v>
      </c>
    </row>
    <row r="73" ht="22.5" customHeight="1">
      <c r="A73" s="331" t="str">
        <f>Rooster!A75</f>
        <v/>
      </c>
      <c r="B73" s="396" t="str">
        <f>Rooster!B75</f>
        <v/>
      </c>
      <c r="C73" s="15" t="str">
        <f>Rooster!C75</f>
        <v/>
      </c>
      <c r="D73" s="11" t="str">
        <f>Rooster!D75</f>
        <v/>
      </c>
      <c r="E73" s="77"/>
      <c r="F73" s="327" t="str">
        <f>Rooster!E75</f>
        <v/>
      </c>
      <c r="G73" s="319" t="str">
        <f>IFERROR(VLOOKUP(F73, Docenten!$A$2:$G$30, 7, FALSE), "0")</f>
        <v>0</v>
      </c>
      <c r="H73" s="320">
        <f t="shared" si="7"/>
        <v>0</v>
      </c>
      <c r="I73" s="327" t="str">
        <f>Rooster!H75</f>
        <v/>
      </c>
      <c r="J73" s="321" t="str">
        <f>IFERROR(VLOOKUP(I73, Locaties!$A$2:$G$15, 7, FALSE), "0")</f>
        <v>0</v>
      </c>
      <c r="K73" s="42">
        <f t="shared" si="2"/>
        <v>0</v>
      </c>
      <c r="L73" s="427" t="str">
        <f>Oktober!L73</f>
        <v/>
      </c>
      <c r="M73" s="428" t="str">
        <f>Oktober!M73</f>
        <v/>
      </c>
      <c r="N73" s="321" t="str">
        <f>IFERROR(VLOOKUP(M73, Tarieven!$A$1:$J$150, 10, FALSE), "0")</f>
        <v>0</v>
      </c>
      <c r="O73" s="429" t="str">
        <f>Oktober!O73</f>
        <v/>
      </c>
      <c r="P73" s="430" t="str">
        <f>Oktober!P73</f>
        <v/>
      </c>
      <c r="Q73" s="325" t="str">
        <f>IFERROR(VLOOKUP(P73, Tarieven!$A$2:$J$150, 10, FALSE), "0")</f>
        <v>0</v>
      </c>
      <c r="R73" s="431" t="str">
        <f>Oktober!R73</f>
        <v/>
      </c>
      <c r="S73" s="430" t="str">
        <f>Oktober!S73</f>
        <v/>
      </c>
      <c r="T73" s="325" t="str">
        <f>IFERROR(VLOOKUP(S73, Tarieven!$A$2:$J$150, 10, FALSE), "0")</f>
        <v>0</v>
      </c>
      <c r="U73" s="77" t="str">
        <f>Oktober!U74</f>
        <v/>
      </c>
      <c r="V73" s="327" t="str">
        <f>Oktober!V74</f>
        <v/>
      </c>
      <c r="W73" s="325" t="str">
        <f>IFERROR(VLOOKUP(V73, Tarieven!$A$2:$J$150, 10, FALSE), "0")</f>
        <v>0</v>
      </c>
      <c r="X73" s="138">
        <f>Oktober!X73</f>
        <v>0</v>
      </c>
      <c r="Y73" s="398">
        <v>0.0</v>
      </c>
      <c r="Z73" s="329">
        <f t="shared" si="3"/>
        <v>0</v>
      </c>
      <c r="AA73" s="32">
        <f t="shared" si="4"/>
        <v>0</v>
      </c>
      <c r="AB73" s="32">
        <f t="shared" si="5"/>
        <v>0</v>
      </c>
      <c r="AC73" s="32">
        <f t="shared" si="6"/>
        <v>0</v>
      </c>
    </row>
    <row r="74" ht="22.5" customHeight="1">
      <c r="A74" s="331" t="str">
        <f>Rooster!A76</f>
        <v/>
      </c>
      <c r="B74" s="396" t="str">
        <f>Rooster!B76</f>
        <v/>
      </c>
      <c r="C74" s="15" t="str">
        <f>Rooster!C76</f>
        <v/>
      </c>
      <c r="D74" s="11" t="str">
        <f>Rooster!D76</f>
        <v/>
      </c>
      <c r="E74" s="77"/>
      <c r="F74" s="327" t="str">
        <f>Rooster!E76</f>
        <v/>
      </c>
      <c r="G74" s="319" t="str">
        <f>IFERROR(VLOOKUP(F74, Docenten!$A$2:$G$30, 7, FALSE), "0")</f>
        <v>0</v>
      </c>
      <c r="H74" s="320">
        <f t="shared" si="7"/>
        <v>0</v>
      </c>
      <c r="I74" s="327" t="str">
        <f>Rooster!H76</f>
        <v/>
      </c>
      <c r="J74" s="321" t="str">
        <f>IFERROR(VLOOKUP(I74, Locaties!$A$2:$G$15, 7, FALSE), "0")</f>
        <v>0</v>
      </c>
      <c r="K74" s="42">
        <f t="shared" si="2"/>
        <v>0</v>
      </c>
      <c r="L74" s="427" t="str">
        <f>Oktober!L74</f>
        <v/>
      </c>
      <c r="M74" s="428" t="str">
        <f>Oktober!M74</f>
        <v/>
      </c>
      <c r="N74" s="321" t="str">
        <f>IFERROR(VLOOKUP(M74, Tarieven!$A$1:$J$150, 10, FALSE), "0")</f>
        <v>0</v>
      </c>
      <c r="O74" s="429" t="str">
        <f>Oktober!O74</f>
        <v/>
      </c>
      <c r="P74" s="430" t="str">
        <f>Oktober!P74</f>
        <v/>
      </c>
      <c r="Q74" s="325" t="str">
        <f>IFERROR(VLOOKUP(P74, Tarieven!$A$2:$J$150, 10, FALSE), "0")</f>
        <v>0</v>
      </c>
      <c r="R74" s="431" t="str">
        <f>Oktober!R74</f>
        <v/>
      </c>
      <c r="S74" s="430" t="str">
        <f>Oktober!S74</f>
        <v/>
      </c>
      <c r="T74" s="325" t="str">
        <f>IFERROR(VLOOKUP(S74, Tarieven!$A$2:$J$150, 10, FALSE), "0")</f>
        <v>0</v>
      </c>
      <c r="U74" s="77" t="str">
        <f>Oktober!U75</f>
        <v/>
      </c>
      <c r="V74" s="327" t="str">
        <f>Oktober!V75</f>
        <v/>
      </c>
      <c r="W74" s="325" t="str">
        <f>IFERROR(VLOOKUP(V74, Tarieven!$A$2:$J$150, 10, FALSE), "0")</f>
        <v>0</v>
      </c>
      <c r="X74" s="138">
        <f>Oktober!X74</f>
        <v>0</v>
      </c>
      <c r="Y74" s="398">
        <v>0.0</v>
      </c>
      <c r="Z74" s="329">
        <f t="shared" si="3"/>
        <v>0</v>
      </c>
      <c r="AA74" s="32">
        <f t="shared" si="4"/>
        <v>0</v>
      </c>
      <c r="AB74" s="32">
        <f t="shared" si="5"/>
        <v>0</v>
      </c>
      <c r="AC74" s="32">
        <f t="shared" si="6"/>
        <v>0</v>
      </c>
    </row>
    <row r="75" ht="22.5" customHeight="1">
      <c r="A75" s="331" t="str">
        <f>Rooster!A77</f>
        <v/>
      </c>
      <c r="B75" s="396" t="str">
        <f>Rooster!B77</f>
        <v/>
      </c>
      <c r="C75" s="15" t="str">
        <f>Rooster!C77</f>
        <v/>
      </c>
      <c r="D75" s="11" t="str">
        <f>Rooster!D77</f>
        <v/>
      </c>
      <c r="E75" s="77"/>
      <c r="F75" s="327" t="str">
        <f>Rooster!E77</f>
        <v/>
      </c>
      <c r="G75" s="319" t="str">
        <f>IFERROR(VLOOKUP(F75, Docenten!$A$2:$G$30, 7, FALSE), "0")</f>
        <v>0</v>
      </c>
      <c r="H75" s="320">
        <f t="shared" si="7"/>
        <v>0</v>
      </c>
      <c r="I75" s="327" t="str">
        <f>Rooster!H77</f>
        <v/>
      </c>
      <c r="J75" s="321" t="str">
        <f>IFERROR(VLOOKUP(I75, Locaties!$A$2:$G$15, 7, FALSE), "0")</f>
        <v>0</v>
      </c>
      <c r="K75" s="42">
        <f t="shared" si="2"/>
        <v>0</v>
      </c>
      <c r="L75" s="427" t="str">
        <f>Oktober!L75</f>
        <v/>
      </c>
      <c r="M75" s="428" t="str">
        <f>Oktober!M75</f>
        <v/>
      </c>
      <c r="N75" s="321" t="str">
        <f>IFERROR(VLOOKUP(M75, Tarieven!$A$1:$J$150, 10, FALSE), "0")</f>
        <v>0</v>
      </c>
      <c r="O75" s="429" t="str">
        <f>Oktober!O75</f>
        <v/>
      </c>
      <c r="P75" s="430" t="str">
        <f>Oktober!P75</f>
        <v/>
      </c>
      <c r="Q75" s="325" t="str">
        <f>IFERROR(VLOOKUP(P75, Tarieven!$A$2:$J$150, 10, FALSE), "0")</f>
        <v>0</v>
      </c>
      <c r="R75" s="431" t="str">
        <f>Oktober!R75</f>
        <v/>
      </c>
      <c r="S75" s="430" t="str">
        <f>Oktober!S75</f>
        <v/>
      </c>
      <c r="T75" s="325" t="str">
        <f>IFERROR(VLOOKUP(S75, Tarieven!$A$2:$J$150, 10, FALSE), "0")</f>
        <v>0</v>
      </c>
      <c r="U75" s="77" t="str">
        <f>Oktober!U76</f>
        <v/>
      </c>
      <c r="V75" s="327" t="str">
        <f>Oktober!V76</f>
        <v/>
      </c>
      <c r="W75" s="325" t="str">
        <f>IFERROR(VLOOKUP(V75, Tarieven!$A$2:$J$150, 10, FALSE), "0")</f>
        <v>0</v>
      </c>
      <c r="X75" s="138">
        <f>Oktober!X75</f>
        <v>0</v>
      </c>
      <c r="Y75" s="398">
        <v>0.0</v>
      </c>
      <c r="Z75" s="329">
        <f t="shared" si="3"/>
        <v>0</v>
      </c>
      <c r="AA75" s="32">
        <f t="shared" si="4"/>
        <v>0</v>
      </c>
      <c r="AB75" s="32">
        <f t="shared" si="5"/>
        <v>0</v>
      </c>
      <c r="AC75" s="32">
        <f t="shared" si="6"/>
        <v>0</v>
      </c>
    </row>
    <row r="76" ht="22.5" customHeight="1">
      <c r="A76" s="331" t="str">
        <f>Rooster!A78</f>
        <v/>
      </c>
      <c r="B76" s="396" t="str">
        <f>Rooster!B78</f>
        <v/>
      </c>
      <c r="C76" s="15" t="str">
        <f>Rooster!C78</f>
        <v/>
      </c>
      <c r="D76" s="11" t="str">
        <f>Rooster!D78</f>
        <v/>
      </c>
      <c r="E76" s="77"/>
      <c r="F76" s="327" t="str">
        <f>Rooster!E78</f>
        <v/>
      </c>
      <c r="G76" s="319" t="str">
        <f>IFERROR(VLOOKUP(F76, Docenten!$A$2:$G$30, 7, FALSE), "0")</f>
        <v>0</v>
      </c>
      <c r="H76" s="320">
        <f t="shared" si="7"/>
        <v>0</v>
      </c>
      <c r="I76" s="327" t="str">
        <f>Rooster!H78</f>
        <v/>
      </c>
      <c r="J76" s="321" t="str">
        <f>IFERROR(VLOOKUP(I76, Locaties!$A$2:$G$15, 7, FALSE), "0")</f>
        <v>0</v>
      </c>
      <c r="K76" s="42">
        <f t="shared" si="2"/>
        <v>0</v>
      </c>
      <c r="L76" s="427" t="str">
        <f>Oktober!L76</f>
        <v/>
      </c>
      <c r="M76" s="428" t="str">
        <f>Oktober!M76</f>
        <v/>
      </c>
      <c r="N76" s="321" t="str">
        <f>IFERROR(VLOOKUP(M76, Tarieven!$A$1:$J$150, 10, FALSE), "0")</f>
        <v>0</v>
      </c>
      <c r="O76" s="429" t="str">
        <f>Oktober!O76</f>
        <v/>
      </c>
      <c r="P76" s="430" t="str">
        <f>Oktober!P76</f>
        <v/>
      </c>
      <c r="Q76" s="325" t="str">
        <f>IFERROR(VLOOKUP(P76, Tarieven!$A$2:$J$150, 10, FALSE), "0")</f>
        <v>0</v>
      </c>
      <c r="R76" s="431" t="str">
        <f>Oktober!R76</f>
        <v/>
      </c>
      <c r="S76" s="430" t="str">
        <f>Oktober!S76</f>
        <v/>
      </c>
      <c r="T76" s="325" t="str">
        <f>IFERROR(VLOOKUP(S76, Tarieven!$A$2:$J$150, 10, FALSE), "0")</f>
        <v>0</v>
      </c>
      <c r="U76" s="77" t="str">
        <f>Oktober!U77</f>
        <v/>
      </c>
      <c r="V76" s="327" t="str">
        <f>Oktober!V77</f>
        <v/>
      </c>
      <c r="W76" s="325" t="str">
        <f>IFERROR(VLOOKUP(V76, Tarieven!$A$2:$J$150, 10, FALSE), "0")</f>
        <v>0</v>
      </c>
      <c r="X76" s="138">
        <f>Oktober!X76</f>
        <v>0</v>
      </c>
      <c r="Y76" s="398">
        <v>0.0</v>
      </c>
      <c r="Z76" s="329">
        <f t="shared" si="3"/>
        <v>0</v>
      </c>
      <c r="AA76" s="32">
        <f t="shared" si="4"/>
        <v>0</v>
      </c>
      <c r="AB76" s="32">
        <f t="shared" si="5"/>
        <v>0</v>
      </c>
      <c r="AC76" s="32">
        <f t="shared" si="6"/>
        <v>0</v>
      </c>
    </row>
    <row r="77" ht="22.5" customHeight="1">
      <c r="A77" s="331" t="str">
        <f>Rooster!A79</f>
        <v/>
      </c>
      <c r="B77" s="396" t="str">
        <f>Rooster!B79</f>
        <v/>
      </c>
      <c r="C77" s="15" t="str">
        <f>Rooster!C79</f>
        <v/>
      </c>
      <c r="D77" s="11" t="str">
        <f>Rooster!D79</f>
        <v/>
      </c>
      <c r="E77" s="77"/>
      <c r="F77" s="327" t="str">
        <f>Rooster!E79</f>
        <v/>
      </c>
      <c r="G77" s="319" t="str">
        <f>IFERROR(VLOOKUP(F77, Docenten!$A$2:$G$30, 7, FALSE), "0")</f>
        <v>0</v>
      </c>
      <c r="H77" s="320">
        <f t="shared" si="7"/>
        <v>0</v>
      </c>
      <c r="I77" s="327" t="str">
        <f>Rooster!H79</f>
        <v/>
      </c>
      <c r="J77" s="321" t="str">
        <f>IFERROR(VLOOKUP(I77, Locaties!$A$2:$G$15, 7, FALSE), "0")</f>
        <v>0</v>
      </c>
      <c r="K77" s="42">
        <f t="shared" si="2"/>
        <v>0</v>
      </c>
      <c r="L77" s="427" t="str">
        <f>Oktober!L77</f>
        <v/>
      </c>
      <c r="M77" s="428" t="str">
        <f>Oktober!M77</f>
        <v/>
      </c>
      <c r="N77" s="321" t="str">
        <f>IFERROR(VLOOKUP(M77, Tarieven!$A$1:$J$150, 10, FALSE), "0")</f>
        <v>0</v>
      </c>
      <c r="O77" s="429" t="str">
        <f>Oktober!O77</f>
        <v/>
      </c>
      <c r="P77" s="430" t="str">
        <f>Oktober!P77</f>
        <v/>
      </c>
      <c r="Q77" s="325" t="str">
        <f>IFERROR(VLOOKUP(P77, Tarieven!$A$2:$J$150, 10, FALSE), "0")</f>
        <v>0</v>
      </c>
      <c r="R77" s="431" t="str">
        <f>Oktober!R77</f>
        <v/>
      </c>
      <c r="S77" s="430" t="str">
        <f>Oktober!S77</f>
        <v/>
      </c>
      <c r="T77" s="325" t="str">
        <f>IFERROR(VLOOKUP(S77, Tarieven!$A$2:$J$150, 10, FALSE), "0")</f>
        <v>0</v>
      </c>
      <c r="U77" s="77" t="str">
        <f>Oktober!U78</f>
        <v/>
      </c>
      <c r="V77" s="327" t="str">
        <f>Oktober!V78</f>
        <v/>
      </c>
      <c r="W77" s="325" t="str">
        <f>IFERROR(VLOOKUP(V77, Tarieven!$A$2:$J$150, 10, FALSE), "0")</f>
        <v>0</v>
      </c>
      <c r="X77" s="138">
        <f>Oktober!X77</f>
        <v>0</v>
      </c>
      <c r="Y77" s="398">
        <v>0.0</v>
      </c>
      <c r="Z77" s="329">
        <f t="shared" si="3"/>
        <v>0</v>
      </c>
      <c r="AA77" s="32">
        <f t="shared" si="4"/>
        <v>0</v>
      </c>
      <c r="AB77" s="32">
        <f t="shared" si="5"/>
        <v>0</v>
      </c>
      <c r="AC77" s="32">
        <f t="shared" si="6"/>
        <v>0</v>
      </c>
    </row>
    <row r="78" ht="22.5" customHeight="1">
      <c r="A78" s="331" t="str">
        <f>Rooster!A80</f>
        <v/>
      </c>
      <c r="B78" s="396" t="str">
        <f>Rooster!B80</f>
        <v/>
      </c>
      <c r="C78" s="15" t="str">
        <f>Rooster!C80</f>
        <v/>
      </c>
      <c r="D78" s="11" t="str">
        <f>Rooster!D80</f>
        <v/>
      </c>
      <c r="E78" s="77"/>
      <c r="F78" s="327" t="str">
        <f>Rooster!E80</f>
        <v/>
      </c>
      <c r="G78" s="319" t="str">
        <f>IFERROR(VLOOKUP(F78, Docenten!$A$2:$G$30, 7, FALSE), "0")</f>
        <v>0</v>
      </c>
      <c r="H78" s="320">
        <f t="shared" si="7"/>
        <v>0</v>
      </c>
      <c r="I78" s="327" t="str">
        <f>Rooster!H80</f>
        <v/>
      </c>
      <c r="J78" s="321" t="str">
        <f>IFERROR(VLOOKUP(I78, Locaties!$A$2:$G$15, 7, FALSE), "0")</f>
        <v>0</v>
      </c>
      <c r="K78" s="42">
        <f t="shared" si="2"/>
        <v>0</v>
      </c>
      <c r="L78" s="427" t="str">
        <f>Oktober!L78</f>
        <v/>
      </c>
      <c r="M78" s="428" t="str">
        <f>Oktober!M78</f>
        <v/>
      </c>
      <c r="N78" s="321" t="str">
        <f>IFERROR(VLOOKUP(M78, Tarieven!$A$1:$J$150, 10, FALSE), "0")</f>
        <v>0</v>
      </c>
      <c r="O78" s="429" t="str">
        <f>Oktober!O78</f>
        <v/>
      </c>
      <c r="P78" s="430" t="str">
        <f>Oktober!P78</f>
        <v/>
      </c>
      <c r="Q78" s="325" t="str">
        <f>IFERROR(VLOOKUP(P78, Tarieven!$A$2:$J$150, 10, FALSE), "0")</f>
        <v>0</v>
      </c>
      <c r="R78" s="431" t="str">
        <f>Oktober!R78</f>
        <v/>
      </c>
      <c r="S78" s="430" t="str">
        <f>Oktober!S78</f>
        <v/>
      </c>
      <c r="T78" s="325" t="str">
        <f>IFERROR(VLOOKUP(S78, Tarieven!$A$2:$J$150, 10, FALSE), "0")</f>
        <v>0</v>
      </c>
      <c r="U78" s="77" t="str">
        <f>Oktober!U79</f>
        <v/>
      </c>
      <c r="V78" s="327" t="str">
        <f>Oktober!V79</f>
        <v/>
      </c>
      <c r="W78" s="325" t="str">
        <f>IFERROR(VLOOKUP(V78, Tarieven!$A$2:$J$150, 10, FALSE), "0")</f>
        <v>0</v>
      </c>
      <c r="X78" s="138">
        <f>Oktober!X78</f>
        <v>0</v>
      </c>
      <c r="Y78" s="398">
        <v>0.0</v>
      </c>
      <c r="Z78" s="329">
        <f t="shared" si="3"/>
        <v>0</v>
      </c>
      <c r="AA78" s="32">
        <f t="shared" si="4"/>
        <v>0</v>
      </c>
      <c r="AB78" s="32">
        <f t="shared" si="5"/>
        <v>0</v>
      </c>
      <c r="AC78" s="32">
        <f t="shared" si="6"/>
        <v>0</v>
      </c>
    </row>
    <row r="79" ht="22.5" customHeight="1">
      <c r="A79" s="331" t="str">
        <f>Rooster!A81</f>
        <v/>
      </c>
      <c r="B79" s="396" t="str">
        <f>Rooster!B81</f>
        <v/>
      </c>
      <c r="C79" s="15" t="str">
        <f>Rooster!C81</f>
        <v/>
      </c>
      <c r="D79" s="11" t="str">
        <f>Rooster!D81</f>
        <v/>
      </c>
      <c r="E79" s="77"/>
      <c r="F79" s="327" t="str">
        <f>Rooster!E81</f>
        <v/>
      </c>
      <c r="G79" s="319" t="str">
        <f>IFERROR(VLOOKUP(F79, Docenten!$A$2:$G$30, 7, FALSE), "0")</f>
        <v>0</v>
      </c>
      <c r="H79" s="320">
        <f t="shared" si="7"/>
        <v>0</v>
      </c>
      <c r="I79" s="327" t="str">
        <f>Rooster!H81</f>
        <v/>
      </c>
      <c r="J79" s="321" t="str">
        <f>IFERROR(VLOOKUP(I79, Locaties!$A$2:$G$15, 7, FALSE), "0")</f>
        <v>0</v>
      </c>
      <c r="K79" s="42">
        <f t="shared" si="2"/>
        <v>0</v>
      </c>
      <c r="L79" s="427" t="str">
        <f>Oktober!L79</f>
        <v/>
      </c>
      <c r="M79" s="428" t="str">
        <f>Oktober!M79</f>
        <v/>
      </c>
      <c r="N79" s="321" t="str">
        <f>IFERROR(VLOOKUP(M79, Tarieven!$A$1:$J$150, 10, FALSE), "0")</f>
        <v>0</v>
      </c>
      <c r="O79" s="429" t="str">
        <f>Oktober!O79</f>
        <v/>
      </c>
      <c r="P79" s="430" t="str">
        <f>Oktober!P79</f>
        <v/>
      </c>
      <c r="Q79" s="325" t="str">
        <f>IFERROR(VLOOKUP(P79, Tarieven!$A$2:$J$150, 10, FALSE), "0")</f>
        <v>0</v>
      </c>
      <c r="R79" s="431" t="str">
        <f>Oktober!R79</f>
        <v/>
      </c>
      <c r="S79" s="430" t="str">
        <f>Oktober!S79</f>
        <v/>
      </c>
      <c r="T79" s="325" t="str">
        <f>IFERROR(VLOOKUP(S79, Tarieven!$A$2:$J$150, 10, FALSE), "0")</f>
        <v>0</v>
      </c>
      <c r="U79" s="77" t="str">
        <f>Oktober!U80</f>
        <v/>
      </c>
      <c r="V79" s="327" t="str">
        <f>Oktober!V80</f>
        <v/>
      </c>
      <c r="W79" s="325" t="str">
        <f>IFERROR(VLOOKUP(V79, Tarieven!$A$2:$J$150, 10, FALSE), "0")</f>
        <v>0</v>
      </c>
      <c r="X79" s="138">
        <f>Oktober!X79</f>
        <v>0</v>
      </c>
      <c r="Y79" s="398">
        <v>0.0</v>
      </c>
      <c r="Z79" s="329">
        <f t="shared" si="3"/>
        <v>0</v>
      </c>
      <c r="AA79" s="32">
        <f t="shared" si="4"/>
        <v>0</v>
      </c>
      <c r="AB79" s="32">
        <f t="shared" si="5"/>
        <v>0</v>
      </c>
      <c r="AC79" s="32">
        <f t="shared" si="6"/>
        <v>0</v>
      </c>
    </row>
    <row r="80" ht="22.5" customHeight="1">
      <c r="A80" s="331" t="str">
        <f>Rooster!A82</f>
        <v/>
      </c>
      <c r="B80" s="396" t="str">
        <f>Rooster!B82</f>
        <v/>
      </c>
      <c r="C80" s="15" t="str">
        <f>Rooster!C82</f>
        <v/>
      </c>
      <c r="D80" s="11" t="str">
        <f>Rooster!D82</f>
        <v/>
      </c>
      <c r="E80" s="77"/>
      <c r="F80" s="327" t="str">
        <f>Rooster!E82</f>
        <v/>
      </c>
      <c r="G80" s="319" t="str">
        <f>IFERROR(VLOOKUP(F80, Docenten!$A$2:$G$30, 7, FALSE), "0")</f>
        <v>0</v>
      </c>
      <c r="H80" s="320">
        <f t="shared" si="7"/>
        <v>0</v>
      </c>
      <c r="I80" s="327" t="str">
        <f>Rooster!H82</f>
        <v/>
      </c>
      <c r="J80" s="321" t="str">
        <f>IFERROR(VLOOKUP(I80, Locaties!$A$2:$G$15, 7, FALSE), "0")</f>
        <v>0</v>
      </c>
      <c r="K80" s="42">
        <f t="shared" si="2"/>
        <v>0</v>
      </c>
      <c r="L80" s="427" t="str">
        <f>Oktober!L80</f>
        <v/>
      </c>
      <c r="M80" s="428" t="str">
        <f>Oktober!M80</f>
        <v/>
      </c>
      <c r="N80" s="321" t="str">
        <f>IFERROR(VLOOKUP(M80, Tarieven!$A$1:$J$150, 10, FALSE), "0")</f>
        <v>0</v>
      </c>
      <c r="O80" s="429" t="str">
        <f>Oktober!O80</f>
        <v/>
      </c>
      <c r="P80" s="430" t="str">
        <f>Oktober!P80</f>
        <v/>
      </c>
      <c r="Q80" s="325" t="str">
        <f>IFERROR(VLOOKUP(P80, Tarieven!$A$2:$J$150, 10, FALSE), "0")</f>
        <v>0</v>
      </c>
      <c r="R80" s="431" t="str">
        <f>Oktober!R80</f>
        <v/>
      </c>
      <c r="S80" s="430" t="str">
        <f>Oktober!S80</f>
        <v/>
      </c>
      <c r="T80" s="325" t="str">
        <f>IFERROR(VLOOKUP(S80, Tarieven!$A$2:$J$150, 10, FALSE), "0")</f>
        <v>0</v>
      </c>
      <c r="U80" s="77" t="str">
        <f>Oktober!U81</f>
        <v/>
      </c>
      <c r="V80" s="327" t="str">
        <f>Oktober!V81</f>
        <v/>
      </c>
      <c r="W80" s="325" t="str">
        <f>IFERROR(VLOOKUP(V80, Tarieven!$A$2:$J$150, 10, FALSE), "0")</f>
        <v>0</v>
      </c>
      <c r="X80" s="138">
        <f>Oktober!X80</f>
        <v>0</v>
      </c>
      <c r="Y80" s="398">
        <v>0.0</v>
      </c>
      <c r="Z80" s="329">
        <f t="shared" si="3"/>
        <v>0</v>
      </c>
      <c r="AA80" s="32">
        <f t="shared" si="4"/>
        <v>0</v>
      </c>
      <c r="AB80" s="32">
        <f t="shared" si="5"/>
        <v>0</v>
      </c>
      <c r="AC80" s="32">
        <f t="shared" si="6"/>
        <v>0</v>
      </c>
    </row>
    <row r="81" ht="22.5" customHeight="1">
      <c r="A81" s="331" t="str">
        <f>Rooster!A83</f>
        <v/>
      </c>
      <c r="B81" s="396" t="str">
        <f>Rooster!B83</f>
        <v/>
      </c>
      <c r="C81" s="15" t="str">
        <f>Rooster!C83</f>
        <v/>
      </c>
      <c r="D81" s="11" t="str">
        <f>Rooster!D83</f>
        <v/>
      </c>
      <c r="E81" s="77"/>
      <c r="F81" s="327" t="str">
        <f>Rooster!E83</f>
        <v/>
      </c>
      <c r="G81" s="319" t="str">
        <f>IFERROR(VLOOKUP(F81, Docenten!$A$2:$G$30, 7, FALSE), "0")</f>
        <v>0</v>
      </c>
      <c r="H81" s="320">
        <f t="shared" si="7"/>
        <v>0</v>
      </c>
      <c r="I81" s="327" t="str">
        <f>Rooster!H83</f>
        <v/>
      </c>
      <c r="J81" s="321" t="str">
        <f>IFERROR(VLOOKUP(I81, Locaties!$A$2:$G$15, 7, FALSE), "0")</f>
        <v>0</v>
      </c>
      <c r="K81" s="42">
        <f t="shared" si="2"/>
        <v>0</v>
      </c>
      <c r="L81" s="427" t="str">
        <f>Oktober!L81</f>
        <v/>
      </c>
      <c r="M81" s="428" t="str">
        <f>Oktober!M81</f>
        <v/>
      </c>
      <c r="N81" s="321" t="str">
        <f>IFERROR(VLOOKUP(M81, Tarieven!$A$1:$J$150, 10, FALSE), "0")</f>
        <v>0</v>
      </c>
      <c r="O81" s="429" t="str">
        <f>Oktober!O81</f>
        <v/>
      </c>
      <c r="P81" s="430" t="str">
        <f>Oktober!P81</f>
        <v/>
      </c>
      <c r="Q81" s="325" t="str">
        <f>IFERROR(VLOOKUP(P81, Tarieven!$A$2:$J$150, 10, FALSE), "0")</f>
        <v>0</v>
      </c>
      <c r="R81" s="431" t="str">
        <f>Oktober!R81</f>
        <v/>
      </c>
      <c r="S81" s="430" t="str">
        <f>Oktober!S81</f>
        <v/>
      </c>
      <c r="T81" s="325" t="str">
        <f>IFERROR(VLOOKUP(S81, Tarieven!$A$2:$J$150, 10, FALSE), "0")</f>
        <v>0</v>
      </c>
      <c r="U81" s="77" t="str">
        <f>Oktober!U82</f>
        <v/>
      </c>
      <c r="V81" s="327" t="str">
        <f>Oktober!V82</f>
        <v/>
      </c>
      <c r="W81" s="325" t="str">
        <f>IFERROR(VLOOKUP(V81, Tarieven!$A$2:$J$150, 10, FALSE), "0")</f>
        <v>0</v>
      </c>
      <c r="X81" s="138">
        <f>Oktober!X81</f>
        <v>0</v>
      </c>
      <c r="Y81" s="398">
        <v>0.0</v>
      </c>
      <c r="Z81" s="329">
        <f t="shared" si="3"/>
        <v>0</v>
      </c>
      <c r="AA81" s="32">
        <f t="shared" si="4"/>
        <v>0</v>
      </c>
      <c r="AB81" s="32">
        <f t="shared" si="5"/>
        <v>0</v>
      </c>
      <c r="AC81" s="32">
        <f t="shared" si="6"/>
        <v>0</v>
      </c>
    </row>
    <row r="82" ht="22.5" customHeight="1">
      <c r="A82" s="331" t="str">
        <f>Rooster!A84</f>
        <v/>
      </c>
      <c r="B82" s="396" t="str">
        <f>Rooster!B84</f>
        <v/>
      </c>
      <c r="C82" s="15" t="str">
        <f>Rooster!C84</f>
        <v/>
      </c>
      <c r="D82" s="11" t="str">
        <f>Rooster!D84</f>
        <v/>
      </c>
      <c r="E82" s="77"/>
      <c r="F82" s="327" t="str">
        <f>Rooster!E84</f>
        <v/>
      </c>
      <c r="G82" s="319" t="str">
        <f>IFERROR(VLOOKUP(F82, Docenten!$A$2:$G$30, 7, FALSE), "0")</f>
        <v>0</v>
      </c>
      <c r="H82" s="320">
        <f t="shared" si="7"/>
        <v>0</v>
      </c>
      <c r="I82" s="327" t="str">
        <f>Rooster!H84</f>
        <v/>
      </c>
      <c r="J82" s="321" t="str">
        <f>IFERROR(VLOOKUP(I82, Locaties!$A$2:$G$15, 7, FALSE), "0")</f>
        <v>0</v>
      </c>
      <c r="K82" s="42">
        <f t="shared" si="2"/>
        <v>0</v>
      </c>
      <c r="L82" s="427" t="str">
        <f>Oktober!L82</f>
        <v/>
      </c>
      <c r="M82" s="428" t="str">
        <f>Oktober!M82</f>
        <v/>
      </c>
      <c r="N82" s="321" t="str">
        <f>IFERROR(VLOOKUP(M82, Tarieven!$A$1:$J$150, 10, FALSE), "0")</f>
        <v>0</v>
      </c>
      <c r="O82" s="429" t="str">
        <f>Oktober!O82</f>
        <v/>
      </c>
      <c r="P82" s="430" t="str">
        <f>Oktober!P82</f>
        <v/>
      </c>
      <c r="Q82" s="325" t="str">
        <f>IFERROR(VLOOKUP(P82, Tarieven!$A$2:$J$150, 10, FALSE), "0")</f>
        <v>0</v>
      </c>
      <c r="R82" s="431" t="str">
        <f>Oktober!R82</f>
        <v/>
      </c>
      <c r="S82" s="430" t="str">
        <f>Oktober!S82</f>
        <v/>
      </c>
      <c r="T82" s="325" t="str">
        <f>IFERROR(VLOOKUP(S82, Tarieven!$A$2:$J$150, 10, FALSE), "0")</f>
        <v>0</v>
      </c>
      <c r="U82" s="77" t="str">
        <f>Oktober!U83</f>
        <v/>
      </c>
      <c r="V82" s="327" t="str">
        <f>Oktober!V83</f>
        <v/>
      </c>
      <c r="W82" s="325" t="str">
        <f>IFERROR(VLOOKUP(V82, Tarieven!$A$2:$J$150, 10, FALSE), "0")</f>
        <v>0</v>
      </c>
      <c r="X82" s="138">
        <f>Oktober!X82</f>
        <v>0</v>
      </c>
      <c r="Y82" s="398">
        <v>0.0</v>
      </c>
      <c r="Z82" s="329">
        <f t="shared" si="3"/>
        <v>0</v>
      </c>
      <c r="AA82" s="32">
        <f t="shared" si="4"/>
        <v>0</v>
      </c>
      <c r="AB82" s="32">
        <f t="shared" si="5"/>
        <v>0</v>
      </c>
      <c r="AC82" s="32">
        <f t="shared" si="6"/>
        <v>0</v>
      </c>
    </row>
    <row r="83" ht="22.5" customHeight="1">
      <c r="A83" s="331" t="str">
        <f>Rooster!A85</f>
        <v/>
      </c>
      <c r="B83" s="396" t="str">
        <f>Rooster!B85</f>
        <v/>
      </c>
      <c r="C83" s="15" t="str">
        <f>Rooster!C85</f>
        <v/>
      </c>
      <c r="D83" s="11" t="str">
        <f>Rooster!D85</f>
        <v/>
      </c>
      <c r="E83" s="77"/>
      <c r="F83" s="327" t="str">
        <f>Rooster!E85</f>
        <v/>
      </c>
      <c r="G83" s="319" t="str">
        <f>IFERROR(VLOOKUP(F83, Docenten!$A$2:$G$30, 7, FALSE), "0")</f>
        <v>0</v>
      </c>
      <c r="H83" s="320">
        <f t="shared" si="7"/>
        <v>0</v>
      </c>
      <c r="I83" s="327" t="str">
        <f>Rooster!H85</f>
        <v/>
      </c>
      <c r="J83" s="321" t="str">
        <f>IFERROR(VLOOKUP(I83, Locaties!$A$2:$G$15, 7, FALSE), "0")</f>
        <v>0</v>
      </c>
      <c r="K83" s="42">
        <f t="shared" si="2"/>
        <v>0</v>
      </c>
      <c r="L83" s="427" t="str">
        <f>Oktober!L83</f>
        <v/>
      </c>
      <c r="M83" s="428" t="str">
        <f>Oktober!M83</f>
        <v/>
      </c>
      <c r="N83" s="321" t="str">
        <f>IFERROR(VLOOKUP(M83, Tarieven!$A$1:$J$150, 10, FALSE), "0")</f>
        <v>0</v>
      </c>
      <c r="O83" s="429" t="str">
        <f>Oktober!O83</f>
        <v/>
      </c>
      <c r="P83" s="430" t="str">
        <f>Oktober!P83</f>
        <v/>
      </c>
      <c r="Q83" s="325" t="str">
        <f>IFERROR(VLOOKUP(P83, Tarieven!$A$2:$J$150, 10, FALSE), "0")</f>
        <v>0</v>
      </c>
      <c r="R83" s="431" t="str">
        <f>Oktober!R83</f>
        <v/>
      </c>
      <c r="S83" s="430" t="str">
        <f>Oktober!S83</f>
        <v/>
      </c>
      <c r="T83" s="325" t="str">
        <f>IFERROR(VLOOKUP(S83, Tarieven!$A$2:$J$150, 10, FALSE), "0")</f>
        <v>0</v>
      </c>
      <c r="U83" s="77" t="str">
        <f>Oktober!U84</f>
        <v/>
      </c>
      <c r="V83" s="327" t="str">
        <f>Oktober!V84</f>
        <v/>
      </c>
      <c r="W83" s="325" t="str">
        <f>IFERROR(VLOOKUP(V83, Tarieven!$A$2:$J$150, 10, FALSE), "0")</f>
        <v>0</v>
      </c>
      <c r="X83" s="138">
        <f>Oktober!X83</f>
        <v>0</v>
      </c>
      <c r="Y83" s="398">
        <v>0.0</v>
      </c>
      <c r="Z83" s="329">
        <f t="shared" si="3"/>
        <v>0</v>
      </c>
      <c r="AA83" s="32">
        <f t="shared" si="4"/>
        <v>0</v>
      </c>
      <c r="AB83" s="32">
        <f t="shared" si="5"/>
        <v>0</v>
      </c>
      <c r="AC83" s="32">
        <f t="shared" si="6"/>
        <v>0</v>
      </c>
    </row>
    <row r="84" ht="22.5" customHeight="1">
      <c r="A84" s="331" t="str">
        <f>Rooster!A86</f>
        <v/>
      </c>
      <c r="B84" s="396" t="str">
        <f>Rooster!B86</f>
        <v/>
      </c>
      <c r="C84" s="15" t="str">
        <f>Rooster!C86</f>
        <v/>
      </c>
      <c r="D84" s="11" t="str">
        <f>Rooster!D86</f>
        <v/>
      </c>
      <c r="E84" s="77"/>
      <c r="F84" s="327" t="str">
        <f>Rooster!E86</f>
        <v/>
      </c>
      <c r="G84" s="319" t="str">
        <f>IFERROR(VLOOKUP(F84, Docenten!$A$2:$G$30, 7, FALSE), "0")</f>
        <v>0</v>
      </c>
      <c r="H84" s="320">
        <f t="shared" si="7"/>
        <v>0</v>
      </c>
      <c r="I84" s="327" t="str">
        <f>Rooster!H86</f>
        <v/>
      </c>
      <c r="J84" s="321" t="str">
        <f>IFERROR(VLOOKUP(I84, Locaties!$A$2:$G$15, 7, FALSE), "0")</f>
        <v>0</v>
      </c>
      <c r="K84" s="42">
        <f t="shared" si="2"/>
        <v>0</v>
      </c>
      <c r="L84" s="427" t="str">
        <f>Oktober!L84</f>
        <v/>
      </c>
      <c r="M84" s="428" t="str">
        <f>Oktober!M84</f>
        <v/>
      </c>
      <c r="N84" s="321" t="str">
        <f>IFERROR(VLOOKUP(M84, Tarieven!$A$1:$J$150, 10, FALSE), "0")</f>
        <v>0</v>
      </c>
      <c r="O84" s="429" t="str">
        <f>Oktober!O84</f>
        <v/>
      </c>
      <c r="P84" s="430" t="str">
        <f>Oktober!P84</f>
        <v/>
      </c>
      <c r="Q84" s="325" t="str">
        <f>IFERROR(VLOOKUP(P84, Tarieven!$A$2:$J$150, 10, FALSE), "0")</f>
        <v>0</v>
      </c>
      <c r="R84" s="431" t="str">
        <f>Oktober!R84</f>
        <v/>
      </c>
      <c r="S84" s="430" t="str">
        <f>Oktober!S84</f>
        <v/>
      </c>
      <c r="T84" s="325" t="str">
        <f>IFERROR(VLOOKUP(S84, Tarieven!$A$2:$J$150, 10, FALSE), "0")</f>
        <v>0</v>
      </c>
      <c r="U84" s="77" t="str">
        <f>Oktober!U85</f>
        <v/>
      </c>
      <c r="V84" s="327" t="str">
        <f>Oktober!V85</f>
        <v/>
      </c>
      <c r="W84" s="325" t="str">
        <f>IFERROR(VLOOKUP(V84, Tarieven!$A$2:$J$150, 10, FALSE), "0")</f>
        <v>0</v>
      </c>
      <c r="X84" s="138">
        <f>Oktober!X84</f>
        <v>0</v>
      </c>
      <c r="Y84" s="398">
        <v>0.0</v>
      </c>
      <c r="Z84" s="329">
        <f t="shared" si="3"/>
        <v>0</v>
      </c>
      <c r="AA84" s="32">
        <f t="shared" si="4"/>
        <v>0</v>
      </c>
      <c r="AB84" s="32">
        <f t="shared" si="5"/>
        <v>0</v>
      </c>
      <c r="AC84" s="32">
        <f t="shared" si="6"/>
        <v>0</v>
      </c>
    </row>
    <row r="85" ht="22.5" customHeight="1">
      <c r="A85" s="331" t="str">
        <f>Rooster!A87</f>
        <v/>
      </c>
      <c r="B85" s="396" t="str">
        <f>Rooster!B87</f>
        <v/>
      </c>
      <c r="C85" s="15" t="str">
        <f>Rooster!C87</f>
        <v/>
      </c>
      <c r="D85" s="11" t="str">
        <f>Rooster!D87</f>
        <v/>
      </c>
      <c r="E85" s="77"/>
      <c r="F85" s="327" t="str">
        <f>Rooster!E87</f>
        <v/>
      </c>
      <c r="G85" s="319" t="str">
        <f>IFERROR(VLOOKUP(F85, Docenten!$A$2:$G$30, 7, FALSE), "0")</f>
        <v>0</v>
      </c>
      <c r="H85" s="320">
        <f t="shared" si="7"/>
        <v>0</v>
      </c>
      <c r="I85" s="327" t="str">
        <f>Rooster!H87</f>
        <v/>
      </c>
      <c r="J85" s="321" t="str">
        <f>IFERROR(VLOOKUP(I85, Locaties!$A$2:$G$15, 7, FALSE), "0")</f>
        <v>0</v>
      </c>
      <c r="K85" s="42">
        <f t="shared" si="2"/>
        <v>0</v>
      </c>
      <c r="L85" s="427" t="str">
        <f>Oktober!L85</f>
        <v/>
      </c>
      <c r="M85" s="428" t="str">
        <f>Oktober!M85</f>
        <v/>
      </c>
      <c r="N85" s="321" t="str">
        <f>IFERROR(VLOOKUP(M85, Tarieven!$A$1:$J$150, 10, FALSE), "0")</f>
        <v>0</v>
      </c>
      <c r="O85" s="429" t="str">
        <f>Oktober!O85</f>
        <v/>
      </c>
      <c r="P85" s="430" t="str">
        <f>Oktober!P85</f>
        <v/>
      </c>
      <c r="Q85" s="325" t="str">
        <f>IFERROR(VLOOKUP(P85, Tarieven!$A$2:$J$150, 10, FALSE), "0")</f>
        <v>0</v>
      </c>
      <c r="R85" s="431" t="str">
        <f>Oktober!R85</f>
        <v/>
      </c>
      <c r="S85" s="430" t="str">
        <f>Oktober!S85</f>
        <v/>
      </c>
      <c r="T85" s="325" t="str">
        <f>IFERROR(VLOOKUP(S85, Tarieven!$A$2:$J$150, 10, FALSE), "0")</f>
        <v>0</v>
      </c>
      <c r="U85" s="77" t="str">
        <f>Oktober!U86</f>
        <v/>
      </c>
      <c r="V85" s="327" t="str">
        <f>Oktober!V86</f>
        <v/>
      </c>
      <c r="W85" s="325" t="str">
        <f>IFERROR(VLOOKUP(V85, Tarieven!$A$2:$J$150, 10, FALSE), "0")</f>
        <v>0</v>
      </c>
      <c r="X85" s="138">
        <f>Oktober!X85</f>
        <v>0</v>
      </c>
      <c r="Y85" s="398">
        <v>0.0</v>
      </c>
      <c r="Z85" s="329">
        <f t="shared" si="3"/>
        <v>0</v>
      </c>
      <c r="AA85" s="32">
        <f t="shared" si="4"/>
        <v>0</v>
      </c>
      <c r="AB85" s="32">
        <f t="shared" si="5"/>
        <v>0</v>
      </c>
      <c r="AC85" s="32">
        <f t="shared" si="6"/>
        <v>0</v>
      </c>
    </row>
    <row r="86" ht="22.5" customHeight="1">
      <c r="A86" s="331" t="str">
        <f>Rooster!A88</f>
        <v/>
      </c>
      <c r="B86" s="396" t="str">
        <f>Rooster!B88</f>
        <v/>
      </c>
      <c r="C86" s="15" t="str">
        <f>Rooster!C88</f>
        <v/>
      </c>
      <c r="D86" s="11" t="str">
        <f>Rooster!D88</f>
        <v/>
      </c>
      <c r="E86" s="77"/>
      <c r="F86" s="327" t="str">
        <f>Rooster!E88</f>
        <v/>
      </c>
      <c r="G86" s="319" t="str">
        <f>IFERROR(VLOOKUP(F86, Docenten!$A$2:$G$30, 7, FALSE), "0")</f>
        <v>0</v>
      </c>
      <c r="H86" s="320">
        <f t="shared" si="7"/>
        <v>0</v>
      </c>
      <c r="I86" s="327" t="str">
        <f>Rooster!H88</f>
        <v/>
      </c>
      <c r="J86" s="321" t="str">
        <f>IFERROR(VLOOKUP(I86, Locaties!$A$2:$G$15, 7, FALSE), "0")</f>
        <v>0</v>
      </c>
      <c r="K86" s="42">
        <f t="shared" si="2"/>
        <v>0</v>
      </c>
      <c r="L86" s="427" t="str">
        <f>Oktober!L86</f>
        <v/>
      </c>
      <c r="M86" s="428" t="str">
        <f>Oktober!M86</f>
        <v/>
      </c>
      <c r="N86" s="321" t="str">
        <f>IFERROR(VLOOKUP(M86, Tarieven!$A$1:$J$150, 10, FALSE), "0")</f>
        <v>0</v>
      </c>
      <c r="O86" s="429" t="str">
        <f>Oktober!O86</f>
        <v/>
      </c>
      <c r="P86" s="430" t="str">
        <f>Oktober!P86</f>
        <v/>
      </c>
      <c r="Q86" s="325" t="str">
        <f>IFERROR(VLOOKUP(P86, Tarieven!$A$2:$J$150, 10, FALSE), "0")</f>
        <v>0</v>
      </c>
      <c r="R86" s="431" t="str">
        <f>Oktober!R86</f>
        <v/>
      </c>
      <c r="S86" s="430" t="str">
        <f>Oktober!S86</f>
        <v/>
      </c>
      <c r="T86" s="325" t="str">
        <f>IFERROR(VLOOKUP(S86, Tarieven!$A$2:$J$150, 10, FALSE), "0")</f>
        <v>0</v>
      </c>
      <c r="U86" s="77" t="str">
        <f>Oktober!U87</f>
        <v/>
      </c>
      <c r="V86" s="327" t="str">
        <f>Oktober!V87</f>
        <v/>
      </c>
      <c r="W86" s="325" t="str">
        <f>IFERROR(VLOOKUP(V86, Tarieven!$A$2:$J$150, 10, FALSE), "0")</f>
        <v>0</v>
      </c>
      <c r="X86" s="138">
        <f>Oktober!X86</f>
        <v>0</v>
      </c>
      <c r="Y86" s="398">
        <v>0.0</v>
      </c>
      <c r="Z86" s="329">
        <f t="shared" si="3"/>
        <v>0</v>
      </c>
      <c r="AA86" s="32">
        <f t="shared" si="4"/>
        <v>0</v>
      </c>
      <c r="AB86" s="32">
        <f t="shared" si="5"/>
        <v>0</v>
      </c>
      <c r="AC86" s="32">
        <f t="shared" si="6"/>
        <v>0</v>
      </c>
    </row>
    <row r="87" ht="22.5" customHeight="1">
      <c r="A87" s="331" t="str">
        <f>Rooster!A89</f>
        <v/>
      </c>
      <c r="B87" s="396" t="str">
        <f>Rooster!B89</f>
        <v/>
      </c>
      <c r="C87" s="15" t="str">
        <f>Rooster!C89</f>
        <v/>
      </c>
      <c r="D87" s="11" t="str">
        <f>Rooster!D89</f>
        <v/>
      </c>
      <c r="E87" s="77"/>
      <c r="F87" s="327" t="str">
        <f>Rooster!E89</f>
        <v/>
      </c>
      <c r="G87" s="319" t="str">
        <f>IFERROR(VLOOKUP(F87, Docenten!$A$2:$G$30, 7, FALSE), "0")</f>
        <v>0</v>
      </c>
      <c r="H87" s="320">
        <f t="shared" si="7"/>
        <v>0</v>
      </c>
      <c r="I87" s="327" t="str">
        <f>Rooster!H89</f>
        <v/>
      </c>
      <c r="J87" s="321" t="str">
        <f>IFERROR(VLOOKUP(I87, Locaties!$A$2:$G$15, 7, FALSE), "0")</f>
        <v>0</v>
      </c>
      <c r="K87" s="42">
        <f t="shared" si="2"/>
        <v>0</v>
      </c>
      <c r="L87" s="427" t="str">
        <f>Oktober!L87</f>
        <v/>
      </c>
      <c r="M87" s="428" t="str">
        <f>Oktober!M87</f>
        <v/>
      </c>
      <c r="N87" s="321" t="str">
        <f>IFERROR(VLOOKUP(M87, Tarieven!$A$1:$J$150, 10, FALSE), "0")</f>
        <v>0</v>
      </c>
      <c r="O87" s="429" t="str">
        <f>Oktober!O87</f>
        <v/>
      </c>
      <c r="P87" s="430" t="str">
        <f>Oktober!P87</f>
        <v/>
      </c>
      <c r="Q87" s="325" t="str">
        <f>IFERROR(VLOOKUP(P87, Tarieven!$A$2:$J$150, 10, FALSE), "0")</f>
        <v>0</v>
      </c>
      <c r="R87" s="431" t="str">
        <f>Oktober!R87</f>
        <v/>
      </c>
      <c r="S87" s="430" t="str">
        <f>Oktober!S87</f>
        <v/>
      </c>
      <c r="T87" s="325" t="str">
        <f>IFERROR(VLOOKUP(S87, Tarieven!$A$2:$J$150, 10, FALSE), "0")</f>
        <v>0</v>
      </c>
      <c r="U87" s="77" t="str">
        <f>Oktober!U88</f>
        <v/>
      </c>
      <c r="V87" s="327" t="str">
        <f>Oktober!V88</f>
        <v/>
      </c>
      <c r="W87" s="325" t="str">
        <f>IFERROR(VLOOKUP(V87, Tarieven!$A$2:$J$150, 10, FALSE), "0")</f>
        <v>0</v>
      </c>
      <c r="X87" s="138">
        <f>Oktober!X87</f>
        <v>0</v>
      </c>
      <c r="Y87" s="398">
        <v>0.0</v>
      </c>
      <c r="Z87" s="329">
        <f t="shared" si="3"/>
        <v>0</v>
      </c>
      <c r="AA87" s="32">
        <f t="shared" si="4"/>
        <v>0</v>
      </c>
      <c r="AB87" s="32">
        <f t="shared" si="5"/>
        <v>0</v>
      </c>
      <c r="AC87" s="32">
        <f t="shared" si="6"/>
        <v>0</v>
      </c>
    </row>
    <row r="88" ht="22.5" customHeight="1">
      <c r="A88" s="331" t="str">
        <f>Rooster!A90</f>
        <v/>
      </c>
      <c r="B88" s="396" t="str">
        <f>Rooster!B90</f>
        <v/>
      </c>
      <c r="C88" s="15" t="str">
        <f>Rooster!C90</f>
        <v/>
      </c>
      <c r="D88" s="11" t="str">
        <f>Rooster!D90</f>
        <v/>
      </c>
      <c r="E88" s="77"/>
      <c r="F88" s="327" t="str">
        <f>Rooster!E90</f>
        <v/>
      </c>
      <c r="G88" s="319" t="str">
        <f>IFERROR(VLOOKUP(F88, Docenten!$A$2:$G$30, 7, FALSE), "0")</f>
        <v>0</v>
      </c>
      <c r="H88" s="320">
        <f t="shared" si="7"/>
        <v>0</v>
      </c>
      <c r="I88" s="327" t="str">
        <f>Rooster!H90</f>
        <v/>
      </c>
      <c r="J88" s="321" t="str">
        <f>IFERROR(VLOOKUP(I88, Locaties!$A$2:$G$15, 7, FALSE), "0")</f>
        <v>0</v>
      </c>
      <c r="K88" s="42">
        <f t="shared" si="2"/>
        <v>0</v>
      </c>
      <c r="L88" s="427" t="str">
        <f>Oktober!L88</f>
        <v/>
      </c>
      <c r="M88" s="428" t="str">
        <f>Oktober!M88</f>
        <v/>
      </c>
      <c r="N88" s="321" t="str">
        <f>IFERROR(VLOOKUP(M88, Tarieven!$A$1:$J$150, 10, FALSE), "0")</f>
        <v>0</v>
      </c>
      <c r="O88" s="429" t="str">
        <f>Oktober!O88</f>
        <v/>
      </c>
      <c r="P88" s="430" t="str">
        <f>Oktober!P88</f>
        <v/>
      </c>
      <c r="Q88" s="325" t="str">
        <f>IFERROR(VLOOKUP(P88, Tarieven!$A$2:$J$150, 10, FALSE), "0")</f>
        <v>0</v>
      </c>
      <c r="R88" s="431" t="str">
        <f>Oktober!R88</f>
        <v/>
      </c>
      <c r="S88" s="430" t="str">
        <f>Oktober!S88</f>
        <v/>
      </c>
      <c r="T88" s="325" t="str">
        <f>IFERROR(VLOOKUP(S88, Tarieven!$A$2:$J$150, 10, FALSE), "0")</f>
        <v>0</v>
      </c>
      <c r="U88" s="77" t="str">
        <f>Oktober!U89</f>
        <v/>
      </c>
      <c r="V88" s="327" t="str">
        <f>Oktober!V89</f>
        <v/>
      </c>
      <c r="W88" s="325" t="str">
        <f>IFERROR(VLOOKUP(V88, Tarieven!$A$2:$J$150, 10, FALSE), "0")</f>
        <v>0</v>
      </c>
      <c r="X88" s="138">
        <f>Oktober!X88</f>
        <v>0</v>
      </c>
      <c r="Y88" s="398">
        <v>0.0</v>
      </c>
      <c r="Z88" s="329">
        <f t="shared" si="3"/>
        <v>0</v>
      </c>
      <c r="AA88" s="32">
        <f t="shared" si="4"/>
        <v>0</v>
      </c>
      <c r="AB88" s="32">
        <f t="shared" si="5"/>
        <v>0</v>
      </c>
      <c r="AC88" s="32">
        <f t="shared" si="6"/>
        <v>0</v>
      </c>
    </row>
    <row r="89" ht="22.5" customHeight="1">
      <c r="A89" s="331" t="str">
        <f>Rooster!A91</f>
        <v/>
      </c>
      <c r="B89" s="396" t="str">
        <f>Rooster!B91</f>
        <v/>
      </c>
      <c r="C89" s="15" t="str">
        <f>Rooster!C91</f>
        <v/>
      </c>
      <c r="D89" s="11" t="str">
        <f>Rooster!D91</f>
        <v/>
      </c>
      <c r="E89" s="77"/>
      <c r="F89" s="327" t="str">
        <f>Rooster!E91</f>
        <v/>
      </c>
      <c r="G89" s="319" t="str">
        <f>IFERROR(VLOOKUP(F89, Docenten!$A$2:$G$30, 7, FALSE), "0")</f>
        <v>0</v>
      </c>
      <c r="H89" s="320">
        <f t="shared" si="7"/>
        <v>0</v>
      </c>
      <c r="I89" s="327" t="str">
        <f>Rooster!H91</f>
        <v/>
      </c>
      <c r="J89" s="321" t="str">
        <f>IFERROR(VLOOKUP(I89, Locaties!$A$2:$G$15, 7, FALSE), "0")</f>
        <v>0</v>
      </c>
      <c r="K89" s="42">
        <f t="shared" si="2"/>
        <v>0</v>
      </c>
      <c r="L89" s="427" t="str">
        <f>Oktober!L89</f>
        <v/>
      </c>
      <c r="M89" s="428" t="str">
        <f>Oktober!M89</f>
        <v/>
      </c>
      <c r="N89" s="321" t="str">
        <f>IFERROR(VLOOKUP(M89, Tarieven!$A$1:$J$150, 10, FALSE), "0")</f>
        <v>0</v>
      </c>
      <c r="O89" s="429" t="str">
        <f>Oktober!O89</f>
        <v/>
      </c>
      <c r="P89" s="430" t="str">
        <f>Oktober!P89</f>
        <v/>
      </c>
      <c r="Q89" s="325" t="str">
        <f>IFERROR(VLOOKUP(P89, Tarieven!$A$2:$J$150, 10, FALSE), "0")</f>
        <v>0</v>
      </c>
      <c r="R89" s="431" t="str">
        <f>Oktober!R89</f>
        <v/>
      </c>
      <c r="S89" s="430" t="str">
        <f>Oktober!S89</f>
        <v/>
      </c>
      <c r="T89" s="325" t="str">
        <f>IFERROR(VLOOKUP(S89, Tarieven!$A$2:$J$150, 10, FALSE), "0")</f>
        <v>0</v>
      </c>
      <c r="U89" s="77" t="str">
        <f>Oktober!U90</f>
        <v/>
      </c>
      <c r="V89" s="327" t="str">
        <f>Oktober!V90</f>
        <v/>
      </c>
      <c r="W89" s="325" t="str">
        <f>IFERROR(VLOOKUP(V89, Tarieven!$A$2:$J$150, 10, FALSE), "0")</f>
        <v>0</v>
      </c>
      <c r="X89" s="138">
        <f>Oktober!X89</f>
        <v>0</v>
      </c>
      <c r="Y89" s="398">
        <v>0.0</v>
      </c>
      <c r="Z89" s="329">
        <f t="shared" si="3"/>
        <v>0</v>
      </c>
      <c r="AA89" s="32">
        <f t="shared" si="4"/>
        <v>0</v>
      </c>
      <c r="AB89" s="32">
        <f t="shared" si="5"/>
        <v>0</v>
      </c>
      <c r="AC89" s="32">
        <f t="shared" si="6"/>
        <v>0</v>
      </c>
    </row>
    <row r="90" ht="22.5" customHeight="1">
      <c r="A90" s="331" t="str">
        <f>Rooster!A92</f>
        <v/>
      </c>
      <c r="B90" s="396" t="str">
        <f>Rooster!B92</f>
        <v/>
      </c>
      <c r="C90" s="15" t="str">
        <f>Rooster!C92</f>
        <v/>
      </c>
      <c r="D90" s="11" t="str">
        <f>Rooster!D92</f>
        <v/>
      </c>
      <c r="E90" s="77"/>
      <c r="F90" s="327" t="str">
        <f>Rooster!E92</f>
        <v/>
      </c>
      <c r="G90" s="319" t="str">
        <f>IFERROR(VLOOKUP(F90, Docenten!$A$2:$G$30, 7, FALSE), "0")</f>
        <v>0</v>
      </c>
      <c r="H90" s="320">
        <f t="shared" si="7"/>
        <v>0</v>
      </c>
      <c r="I90" s="327" t="str">
        <f>Rooster!H92</f>
        <v/>
      </c>
      <c r="J90" s="321" t="str">
        <f>IFERROR(VLOOKUP(I90, Locaties!$A$2:$G$15, 7, FALSE), "0")</f>
        <v>0</v>
      </c>
      <c r="K90" s="42">
        <f t="shared" si="2"/>
        <v>0</v>
      </c>
      <c r="L90" s="427" t="str">
        <f>Oktober!L90</f>
        <v/>
      </c>
      <c r="M90" s="428" t="str">
        <f>Oktober!M90</f>
        <v/>
      </c>
      <c r="N90" s="321" t="str">
        <f>IFERROR(VLOOKUP(M90, Tarieven!$A$1:$J$150, 10, FALSE), "0")</f>
        <v>0</v>
      </c>
      <c r="O90" s="429" t="str">
        <f>Oktober!O90</f>
        <v/>
      </c>
      <c r="P90" s="430" t="str">
        <f>Oktober!P90</f>
        <v/>
      </c>
      <c r="Q90" s="325" t="str">
        <f>IFERROR(VLOOKUP(P90, Tarieven!$A$2:$J$150, 10, FALSE), "0")</f>
        <v>0</v>
      </c>
      <c r="R90" s="431" t="str">
        <f>Oktober!R90</f>
        <v/>
      </c>
      <c r="S90" s="430" t="str">
        <f>Oktober!S90</f>
        <v/>
      </c>
      <c r="T90" s="325" t="str">
        <f>IFERROR(VLOOKUP(S90, Tarieven!$A$2:$J$150, 10, FALSE), "0")</f>
        <v>0</v>
      </c>
      <c r="U90" s="77" t="str">
        <f>Oktober!U91</f>
        <v/>
      </c>
      <c r="V90" s="327" t="str">
        <f>Oktober!V91</f>
        <v/>
      </c>
      <c r="W90" s="325" t="str">
        <f>IFERROR(VLOOKUP(V90, Tarieven!$A$2:$J$150, 10, FALSE), "0")</f>
        <v>0</v>
      </c>
      <c r="X90" s="138">
        <f>Oktober!X90</f>
        <v>0</v>
      </c>
      <c r="Y90" s="398">
        <v>0.0</v>
      </c>
      <c r="Z90" s="329">
        <f t="shared" si="3"/>
        <v>0</v>
      </c>
      <c r="AA90" s="32">
        <f t="shared" si="4"/>
        <v>0</v>
      </c>
      <c r="AB90" s="32">
        <f t="shared" si="5"/>
        <v>0</v>
      </c>
      <c r="AC90" s="32">
        <f t="shared" si="6"/>
        <v>0</v>
      </c>
    </row>
    <row r="91" ht="22.5" customHeight="1">
      <c r="A91" s="331" t="str">
        <f>Rooster!A93</f>
        <v/>
      </c>
      <c r="B91" s="396" t="str">
        <f>Rooster!B93</f>
        <v/>
      </c>
      <c r="C91" s="15" t="str">
        <f>Rooster!C93</f>
        <v/>
      </c>
      <c r="D91" s="11" t="str">
        <f>Rooster!D93</f>
        <v/>
      </c>
      <c r="E91" s="77"/>
      <c r="F91" s="327" t="str">
        <f>Rooster!E93</f>
        <v/>
      </c>
      <c r="G91" s="319" t="str">
        <f>IFERROR(VLOOKUP(F91, Docenten!$A$2:$G$30, 7, FALSE), "0")</f>
        <v>0</v>
      </c>
      <c r="H91" s="320">
        <f t="shared" si="7"/>
        <v>0</v>
      </c>
      <c r="I91" s="327" t="str">
        <f>Rooster!H93</f>
        <v/>
      </c>
      <c r="J91" s="321" t="str">
        <f>IFERROR(VLOOKUP(I91, Locaties!$A$2:$G$15, 7, FALSE), "0")</f>
        <v>0</v>
      </c>
      <c r="K91" s="42">
        <f t="shared" si="2"/>
        <v>0</v>
      </c>
      <c r="L91" s="427" t="str">
        <f>Oktober!L91</f>
        <v/>
      </c>
      <c r="M91" s="428" t="str">
        <f>Oktober!M91</f>
        <v/>
      </c>
      <c r="N91" s="321" t="str">
        <f>IFERROR(VLOOKUP(M91, Tarieven!$A$1:$J$150, 10, FALSE), "0")</f>
        <v>0</v>
      </c>
      <c r="O91" s="429" t="str">
        <f>Oktober!O91</f>
        <v/>
      </c>
      <c r="P91" s="430" t="str">
        <f>Oktober!P91</f>
        <v/>
      </c>
      <c r="Q91" s="325" t="str">
        <f>IFERROR(VLOOKUP(P91, Tarieven!$A$2:$J$150, 10, FALSE), "0")</f>
        <v>0</v>
      </c>
      <c r="R91" s="431" t="str">
        <f>Oktober!R91</f>
        <v/>
      </c>
      <c r="S91" s="430" t="str">
        <f>Oktober!S91</f>
        <v/>
      </c>
      <c r="T91" s="325" t="str">
        <f>IFERROR(VLOOKUP(S91, Tarieven!$A$2:$J$150, 10, FALSE), "0")</f>
        <v>0</v>
      </c>
      <c r="U91" s="77" t="str">
        <f>Oktober!U92</f>
        <v/>
      </c>
      <c r="V91" s="327" t="str">
        <f>Oktober!V92</f>
        <v/>
      </c>
      <c r="W91" s="325" t="str">
        <f>IFERROR(VLOOKUP(V91, Tarieven!$A$2:$J$150, 10, FALSE), "0")</f>
        <v>0</v>
      </c>
      <c r="X91" s="138">
        <f>Oktober!X91</f>
        <v>0</v>
      </c>
      <c r="Y91" s="398">
        <v>0.0</v>
      </c>
      <c r="Z91" s="329">
        <f t="shared" si="3"/>
        <v>0</v>
      </c>
      <c r="AA91" s="32">
        <f t="shared" si="4"/>
        <v>0</v>
      </c>
      <c r="AB91" s="32">
        <f t="shared" si="5"/>
        <v>0</v>
      </c>
      <c r="AC91" s="32">
        <f t="shared" si="6"/>
        <v>0</v>
      </c>
    </row>
    <row r="92" ht="22.5" customHeight="1">
      <c r="A92" s="331" t="str">
        <f>Rooster!A94</f>
        <v/>
      </c>
      <c r="B92" s="396" t="str">
        <f>Rooster!B94</f>
        <v/>
      </c>
      <c r="C92" s="15" t="str">
        <f>Rooster!C94</f>
        <v/>
      </c>
      <c r="D92" s="11" t="str">
        <f>Rooster!D94</f>
        <v/>
      </c>
      <c r="E92" s="77"/>
      <c r="F92" s="327" t="str">
        <f>Rooster!E94</f>
        <v/>
      </c>
      <c r="G92" s="319" t="str">
        <f>IFERROR(VLOOKUP(F92, Docenten!$A$2:$G$30, 7, FALSE), "0")</f>
        <v>0</v>
      </c>
      <c r="H92" s="320">
        <f t="shared" si="7"/>
        <v>0</v>
      </c>
      <c r="I92" s="327" t="str">
        <f>Rooster!H94</f>
        <v/>
      </c>
      <c r="J92" s="321" t="str">
        <f>IFERROR(VLOOKUP(I92, Locaties!$A$2:$G$15, 7, FALSE), "0")</f>
        <v>0</v>
      </c>
      <c r="K92" s="42">
        <f t="shared" si="2"/>
        <v>0</v>
      </c>
      <c r="L92" s="427" t="str">
        <f>Oktober!L92</f>
        <v/>
      </c>
      <c r="M92" s="428" t="str">
        <f>Oktober!M92</f>
        <v/>
      </c>
      <c r="N92" s="321" t="str">
        <f>IFERROR(VLOOKUP(M92, Tarieven!$A$1:$J$150, 10, FALSE), "0")</f>
        <v>0</v>
      </c>
      <c r="O92" s="429" t="str">
        <f>Oktober!O92</f>
        <v/>
      </c>
      <c r="P92" s="430" t="str">
        <f>Oktober!P92</f>
        <v/>
      </c>
      <c r="Q92" s="325" t="str">
        <f>IFERROR(VLOOKUP(P92, Tarieven!$A$2:$J$150, 10, FALSE), "0")</f>
        <v>0</v>
      </c>
      <c r="R92" s="431" t="str">
        <f>Oktober!R92</f>
        <v/>
      </c>
      <c r="S92" s="430" t="str">
        <f>Oktober!S92</f>
        <v/>
      </c>
      <c r="T92" s="325" t="str">
        <f>IFERROR(VLOOKUP(S92, Tarieven!$A$2:$J$150, 10, FALSE), "0")</f>
        <v>0</v>
      </c>
      <c r="U92" s="77" t="str">
        <f>Oktober!U93</f>
        <v/>
      </c>
      <c r="V92" s="327" t="str">
        <f>Oktober!V93</f>
        <v/>
      </c>
      <c r="W92" s="325" t="str">
        <f>IFERROR(VLOOKUP(V92, Tarieven!$A$2:$J$150, 10, FALSE), "0")</f>
        <v>0</v>
      </c>
      <c r="X92" s="138">
        <f>Oktober!X92</f>
        <v>0</v>
      </c>
      <c r="Y92" s="398">
        <v>0.0</v>
      </c>
      <c r="Z92" s="329">
        <f t="shared" si="3"/>
        <v>0</v>
      </c>
      <c r="AA92" s="32">
        <f t="shared" si="4"/>
        <v>0</v>
      </c>
      <c r="AB92" s="32">
        <f t="shared" si="5"/>
        <v>0</v>
      </c>
      <c r="AC92" s="32">
        <f t="shared" si="6"/>
        <v>0</v>
      </c>
    </row>
    <row r="93" ht="22.5" customHeight="1">
      <c r="A93" s="331" t="str">
        <f>Rooster!A95</f>
        <v/>
      </c>
      <c r="B93" s="396" t="str">
        <f>Rooster!B95</f>
        <v/>
      </c>
      <c r="C93" s="15" t="str">
        <f>Rooster!C95</f>
        <v/>
      </c>
      <c r="D93" s="11" t="str">
        <f>Rooster!D95</f>
        <v/>
      </c>
      <c r="E93" s="77"/>
      <c r="F93" s="327" t="str">
        <f>Rooster!E95</f>
        <v/>
      </c>
      <c r="G93" s="319" t="str">
        <f>IFERROR(VLOOKUP(F93, Docenten!$A$2:$G$30, 7, FALSE), "0")</f>
        <v>0</v>
      </c>
      <c r="H93" s="320">
        <f t="shared" si="7"/>
        <v>0</v>
      </c>
      <c r="I93" s="327" t="str">
        <f>Rooster!H95</f>
        <v/>
      </c>
      <c r="J93" s="321" t="str">
        <f>IFERROR(VLOOKUP(I93, Locaties!$A$2:$G$15, 7, FALSE), "0")</f>
        <v>0</v>
      </c>
      <c r="K93" s="42">
        <f t="shared" si="2"/>
        <v>0</v>
      </c>
      <c r="L93" s="427" t="str">
        <f>Oktober!L93</f>
        <v/>
      </c>
      <c r="M93" s="428" t="str">
        <f>Oktober!M93</f>
        <v/>
      </c>
      <c r="N93" s="321" t="str">
        <f>IFERROR(VLOOKUP(M93, Tarieven!$A$1:$J$150, 10, FALSE), "0")</f>
        <v>0</v>
      </c>
      <c r="O93" s="429" t="str">
        <f>Oktober!O93</f>
        <v/>
      </c>
      <c r="P93" s="430" t="str">
        <f>Oktober!P93</f>
        <v/>
      </c>
      <c r="Q93" s="325" t="str">
        <f>IFERROR(VLOOKUP(P93, Tarieven!$A$2:$J$150, 10, FALSE), "0")</f>
        <v>0</v>
      </c>
      <c r="R93" s="431" t="str">
        <f>Oktober!R93</f>
        <v/>
      </c>
      <c r="S93" s="430" t="str">
        <f>Oktober!S93</f>
        <v/>
      </c>
      <c r="T93" s="325" t="str">
        <f>IFERROR(VLOOKUP(S93, Tarieven!$A$2:$J$150, 10, FALSE), "0")</f>
        <v>0</v>
      </c>
      <c r="U93" s="77" t="str">
        <f>Oktober!U94</f>
        <v/>
      </c>
      <c r="V93" s="327" t="str">
        <f>Oktober!V94</f>
        <v/>
      </c>
      <c r="W93" s="325" t="str">
        <f>IFERROR(VLOOKUP(V93, Tarieven!$A$2:$J$150, 10, FALSE), "0")</f>
        <v>0</v>
      </c>
      <c r="X93" s="138">
        <f>Oktober!X93</f>
        <v>0</v>
      </c>
      <c r="Y93" s="398">
        <v>0.0</v>
      </c>
      <c r="Z93" s="329">
        <f t="shared" si="3"/>
        <v>0</v>
      </c>
      <c r="AA93" s="32">
        <f t="shared" si="4"/>
        <v>0</v>
      </c>
      <c r="AB93" s="32">
        <f t="shared" si="5"/>
        <v>0</v>
      </c>
      <c r="AC93" s="32">
        <f t="shared" si="6"/>
        <v>0</v>
      </c>
    </row>
    <row r="94" ht="22.5" customHeight="1">
      <c r="A94" s="331" t="str">
        <f>Rooster!A96</f>
        <v/>
      </c>
      <c r="B94" s="396" t="str">
        <f>Rooster!B96</f>
        <v/>
      </c>
      <c r="C94" s="15" t="str">
        <f>Rooster!C96</f>
        <v/>
      </c>
      <c r="D94" s="11" t="str">
        <f>Rooster!D96</f>
        <v/>
      </c>
      <c r="E94" s="77"/>
      <c r="F94" s="327" t="str">
        <f>Rooster!E96</f>
        <v/>
      </c>
      <c r="G94" s="319" t="str">
        <f>IFERROR(VLOOKUP(F94, Docenten!$A$2:$G$30, 7, FALSE), "0")</f>
        <v>0</v>
      </c>
      <c r="H94" s="320">
        <f t="shared" si="7"/>
        <v>0</v>
      </c>
      <c r="I94" s="327" t="str">
        <f>Rooster!H96</f>
        <v/>
      </c>
      <c r="J94" s="321" t="str">
        <f>IFERROR(VLOOKUP(I94, Locaties!$A$2:$G$15, 7, FALSE), "0")</f>
        <v>0</v>
      </c>
      <c r="K94" s="42">
        <f t="shared" si="2"/>
        <v>0</v>
      </c>
      <c r="L94" s="427" t="str">
        <f>Oktober!L94</f>
        <v/>
      </c>
      <c r="M94" s="428" t="str">
        <f>Oktober!M94</f>
        <v/>
      </c>
      <c r="N94" s="321" t="str">
        <f>IFERROR(VLOOKUP(M94, Tarieven!$A$1:$J$150, 10, FALSE), "0")</f>
        <v>0</v>
      </c>
      <c r="O94" s="429" t="str">
        <f>Oktober!O94</f>
        <v/>
      </c>
      <c r="P94" s="430" t="str">
        <f>Oktober!P94</f>
        <v/>
      </c>
      <c r="Q94" s="325" t="str">
        <f>IFERROR(VLOOKUP(P94, Tarieven!$A$2:$J$150, 10, FALSE), "0")</f>
        <v>0</v>
      </c>
      <c r="R94" s="431" t="str">
        <f>Oktober!R94</f>
        <v/>
      </c>
      <c r="S94" s="430" t="str">
        <f>Oktober!S94</f>
        <v/>
      </c>
      <c r="T94" s="325" t="str">
        <f>IFERROR(VLOOKUP(S94, Tarieven!$A$2:$J$150, 10, FALSE), "0")</f>
        <v>0</v>
      </c>
      <c r="U94" s="77" t="str">
        <f>Oktober!U95</f>
        <v/>
      </c>
      <c r="V94" s="327" t="str">
        <f>Oktober!V95</f>
        <v/>
      </c>
      <c r="W94" s="325" t="str">
        <f>IFERROR(VLOOKUP(V94, Tarieven!$A$2:$J$150, 10, FALSE), "0")</f>
        <v>0</v>
      </c>
      <c r="X94" s="138">
        <f>Oktober!X94</f>
        <v>0</v>
      </c>
      <c r="Y94" s="398">
        <v>0.0</v>
      </c>
      <c r="Z94" s="329">
        <f t="shared" si="3"/>
        <v>0</v>
      </c>
      <c r="AA94" s="32">
        <f t="shared" si="4"/>
        <v>0</v>
      </c>
      <c r="AB94" s="32">
        <f t="shared" si="5"/>
        <v>0</v>
      </c>
      <c r="AC94" s="32">
        <f t="shared" si="6"/>
        <v>0</v>
      </c>
    </row>
    <row r="95" ht="22.5" customHeight="1">
      <c r="A95" s="331" t="str">
        <f>Rooster!A97</f>
        <v/>
      </c>
      <c r="B95" s="396" t="str">
        <f>Rooster!B97</f>
        <v/>
      </c>
      <c r="C95" s="15" t="str">
        <f>Rooster!C97</f>
        <v/>
      </c>
      <c r="D95" s="11" t="str">
        <f>Rooster!D97</f>
        <v/>
      </c>
      <c r="E95" s="77"/>
      <c r="F95" s="327" t="str">
        <f>Rooster!E97</f>
        <v/>
      </c>
      <c r="G95" s="319" t="str">
        <f>IFERROR(VLOOKUP(F95, Docenten!$A$2:$G$30, 7, FALSE), "0")</f>
        <v>0</v>
      </c>
      <c r="H95" s="320">
        <f t="shared" si="7"/>
        <v>0</v>
      </c>
      <c r="I95" s="327" t="str">
        <f>Rooster!H97</f>
        <v/>
      </c>
      <c r="J95" s="321" t="str">
        <f>IFERROR(VLOOKUP(I95, Locaties!$A$2:$G$15, 7, FALSE), "0")</f>
        <v>0</v>
      </c>
      <c r="K95" s="42">
        <f t="shared" si="2"/>
        <v>0</v>
      </c>
      <c r="L95" s="427" t="str">
        <f>Oktober!L95</f>
        <v/>
      </c>
      <c r="M95" s="428" t="str">
        <f>Oktober!M95</f>
        <v/>
      </c>
      <c r="N95" s="321" t="str">
        <f>IFERROR(VLOOKUP(M95, Tarieven!$A$1:$J$150, 10, FALSE), "0")</f>
        <v>0</v>
      </c>
      <c r="O95" s="429" t="str">
        <f>Oktober!O95</f>
        <v/>
      </c>
      <c r="P95" s="430" t="str">
        <f>Oktober!P95</f>
        <v/>
      </c>
      <c r="Q95" s="325" t="str">
        <f>IFERROR(VLOOKUP(P95, Tarieven!$A$2:$J$150, 10, FALSE), "0")</f>
        <v>0</v>
      </c>
      <c r="R95" s="431" t="str">
        <f>Oktober!R95</f>
        <v/>
      </c>
      <c r="S95" s="430" t="str">
        <f>Oktober!S95</f>
        <v/>
      </c>
      <c r="T95" s="325" t="str">
        <f>IFERROR(VLOOKUP(S95, Tarieven!$A$2:$J$150, 10, FALSE), "0")</f>
        <v>0</v>
      </c>
      <c r="U95" s="77" t="str">
        <f>Oktober!U96</f>
        <v/>
      </c>
      <c r="V95" s="327" t="str">
        <f>Oktober!V96</f>
        <v/>
      </c>
      <c r="W95" s="325" t="str">
        <f>IFERROR(VLOOKUP(V95, Tarieven!$A$2:$J$150, 10, FALSE), "0")</f>
        <v>0</v>
      </c>
      <c r="X95" s="138">
        <f>Oktober!X95</f>
        <v>0</v>
      </c>
      <c r="Y95" s="398">
        <v>0.0</v>
      </c>
      <c r="Z95" s="329">
        <f t="shared" si="3"/>
        <v>0</v>
      </c>
      <c r="AA95" s="32">
        <f t="shared" si="4"/>
        <v>0</v>
      </c>
      <c r="AB95" s="32">
        <f t="shared" si="5"/>
        <v>0</v>
      </c>
      <c r="AC95" s="32">
        <f t="shared" si="6"/>
        <v>0</v>
      </c>
    </row>
    <row r="96" ht="22.5" customHeight="1">
      <c r="A96" s="331" t="str">
        <f>Rooster!A98</f>
        <v/>
      </c>
      <c r="B96" s="396" t="str">
        <f>Rooster!B98</f>
        <v/>
      </c>
      <c r="C96" s="15" t="str">
        <f>Rooster!C98</f>
        <v/>
      </c>
      <c r="D96" s="11" t="str">
        <f>Rooster!D98</f>
        <v/>
      </c>
      <c r="E96" s="77"/>
      <c r="F96" s="327" t="str">
        <f>Rooster!E98</f>
        <v/>
      </c>
      <c r="G96" s="319" t="str">
        <f>IFERROR(VLOOKUP(F96, Docenten!$A$2:$G$30, 7, FALSE), "0")</f>
        <v>0</v>
      </c>
      <c r="H96" s="320">
        <f t="shared" si="7"/>
        <v>0</v>
      </c>
      <c r="I96" s="327" t="str">
        <f>Rooster!H98</f>
        <v/>
      </c>
      <c r="J96" s="321" t="str">
        <f>IFERROR(VLOOKUP(I96, Locaties!$A$2:$G$15, 7, FALSE), "0")</f>
        <v>0</v>
      </c>
      <c r="K96" s="42">
        <f t="shared" si="2"/>
        <v>0</v>
      </c>
      <c r="L96" s="427" t="str">
        <f>Oktober!L96</f>
        <v/>
      </c>
      <c r="M96" s="428" t="str">
        <f>Oktober!M96</f>
        <v/>
      </c>
      <c r="N96" s="321" t="str">
        <f>IFERROR(VLOOKUP(M96, Tarieven!$A$1:$J$150, 10, FALSE), "0")</f>
        <v>0</v>
      </c>
      <c r="O96" s="429" t="str">
        <f>Oktober!O96</f>
        <v/>
      </c>
      <c r="P96" s="430" t="str">
        <f>Oktober!P96</f>
        <v/>
      </c>
      <c r="Q96" s="325" t="str">
        <f>IFERROR(VLOOKUP(P96, Tarieven!$A$2:$J$150, 10, FALSE), "0")</f>
        <v>0</v>
      </c>
      <c r="R96" s="431" t="str">
        <f>Oktober!R96</f>
        <v/>
      </c>
      <c r="S96" s="430" t="str">
        <f>Oktober!S96</f>
        <v/>
      </c>
      <c r="T96" s="325" t="str">
        <f>IFERROR(VLOOKUP(S96, Tarieven!$A$2:$J$150, 10, FALSE), "0")</f>
        <v>0</v>
      </c>
      <c r="U96" s="77" t="str">
        <f>Oktober!U97</f>
        <v/>
      </c>
      <c r="V96" s="327" t="str">
        <f>Oktober!V97</f>
        <v/>
      </c>
      <c r="W96" s="325" t="str">
        <f>IFERROR(VLOOKUP(V96, Tarieven!$A$2:$J$150, 10, FALSE), "0")</f>
        <v>0</v>
      </c>
      <c r="X96" s="138">
        <f>Oktober!X96</f>
        <v>0</v>
      </c>
      <c r="Y96" s="398">
        <v>0.0</v>
      </c>
      <c r="Z96" s="329">
        <f t="shared" si="3"/>
        <v>0</v>
      </c>
      <c r="AA96" s="32">
        <f t="shared" si="4"/>
        <v>0</v>
      </c>
      <c r="AB96" s="32">
        <f t="shared" si="5"/>
        <v>0</v>
      </c>
      <c r="AC96" s="32">
        <f t="shared" si="6"/>
        <v>0</v>
      </c>
    </row>
    <row r="97" ht="22.5" customHeight="1">
      <c r="A97" s="331" t="str">
        <f>Rooster!A99</f>
        <v/>
      </c>
      <c r="B97" s="396" t="str">
        <f>Rooster!B99</f>
        <v/>
      </c>
      <c r="C97" s="15" t="str">
        <f>Rooster!C99</f>
        <v/>
      </c>
      <c r="D97" s="11" t="str">
        <f>Rooster!D99</f>
        <v/>
      </c>
      <c r="E97" s="77"/>
      <c r="F97" s="327" t="str">
        <f>Rooster!E99</f>
        <v/>
      </c>
      <c r="G97" s="319" t="str">
        <f>IFERROR(VLOOKUP(F97, Docenten!$A$2:$G$30, 7, FALSE), "0")</f>
        <v>0</v>
      </c>
      <c r="H97" s="320">
        <f t="shared" si="7"/>
        <v>0</v>
      </c>
      <c r="I97" s="327" t="str">
        <f>Rooster!H99</f>
        <v/>
      </c>
      <c r="J97" s="321" t="str">
        <f>IFERROR(VLOOKUP(I97, Locaties!$A$2:$G$15, 7, FALSE), "0")</f>
        <v>0</v>
      </c>
      <c r="K97" s="42">
        <f t="shared" si="2"/>
        <v>0</v>
      </c>
      <c r="L97" s="427" t="str">
        <f>Oktober!L97</f>
        <v/>
      </c>
      <c r="M97" s="428" t="str">
        <f>Oktober!M97</f>
        <v/>
      </c>
      <c r="N97" s="321" t="str">
        <f>IFERROR(VLOOKUP(M97, Tarieven!$A$1:$J$150, 10, FALSE), "0")</f>
        <v>0</v>
      </c>
      <c r="O97" s="429" t="str">
        <f>Oktober!O97</f>
        <v/>
      </c>
      <c r="P97" s="430" t="str">
        <f>Oktober!P97</f>
        <v/>
      </c>
      <c r="Q97" s="325" t="str">
        <f>IFERROR(VLOOKUP(P97, Tarieven!$A$2:$J$150, 10, FALSE), "0")</f>
        <v>0</v>
      </c>
      <c r="R97" s="431" t="str">
        <f>Oktober!R97</f>
        <v/>
      </c>
      <c r="S97" s="430" t="str">
        <f>Oktober!S97</f>
        <v/>
      </c>
      <c r="T97" s="325" t="str">
        <f>IFERROR(VLOOKUP(S97, Tarieven!$A$2:$J$150, 10, FALSE), "0")</f>
        <v>0</v>
      </c>
      <c r="U97" s="77" t="str">
        <f>Oktober!U98</f>
        <v/>
      </c>
      <c r="V97" s="327" t="str">
        <f>Oktober!V98</f>
        <v/>
      </c>
      <c r="W97" s="325" t="str">
        <f>IFERROR(VLOOKUP(V97, Tarieven!$A$2:$J$150, 10, FALSE), "0")</f>
        <v>0</v>
      </c>
      <c r="X97" s="138">
        <f>Oktober!X97</f>
        <v>0</v>
      </c>
      <c r="Y97" s="398">
        <v>0.0</v>
      </c>
      <c r="Z97" s="329">
        <f t="shared" si="3"/>
        <v>0</v>
      </c>
      <c r="AA97" s="32">
        <f t="shared" si="4"/>
        <v>0</v>
      </c>
      <c r="AB97" s="32">
        <f t="shared" si="5"/>
        <v>0</v>
      </c>
      <c r="AC97" s="32">
        <f t="shared" si="6"/>
        <v>0</v>
      </c>
    </row>
    <row r="98" ht="22.5" customHeight="1">
      <c r="A98" s="331" t="str">
        <f>Rooster!A100</f>
        <v/>
      </c>
      <c r="B98" s="396" t="str">
        <f>Rooster!B100</f>
        <v/>
      </c>
      <c r="C98" s="15" t="str">
        <f>Rooster!C100</f>
        <v/>
      </c>
      <c r="D98" s="11" t="str">
        <f>Rooster!D100</f>
        <v/>
      </c>
      <c r="E98" s="77"/>
      <c r="F98" s="327" t="str">
        <f>Rooster!E100</f>
        <v/>
      </c>
      <c r="G98" s="319" t="str">
        <f>IFERROR(VLOOKUP(F98, Docenten!$A$2:$G$30, 7, FALSE), "0")</f>
        <v>0</v>
      </c>
      <c r="H98" s="320">
        <f t="shared" si="7"/>
        <v>0</v>
      </c>
      <c r="I98" s="327" t="str">
        <f>Rooster!H100</f>
        <v/>
      </c>
      <c r="J98" s="321" t="str">
        <f>IFERROR(VLOOKUP(I98, Locaties!$A$2:$G$15, 7, FALSE), "0")</f>
        <v>0</v>
      </c>
      <c r="K98" s="42">
        <f t="shared" si="2"/>
        <v>0</v>
      </c>
      <c r="L98" s="427" t="str">
        <f>Oktober!L98</f>
        <v/>
      </c>
      <c r="M98" s="428" t="str">
        <f>Oktober!M98</f>
        <v/>
      </c>
      <c r="N98" s="321" t="str">
        <f>IFERROR(VLOOKUP(M98, Tarieven!$A$1:$J$150, 10, FALSE), "0")</f>
        <v>0</v>
      </c>
      <c r="O98" s="429" t="str">
        <f>Oktober!O98</f>
        <v/>
      </c>
      <c r="P98" s="430" t="str">
        <f>Oktober!P98</f>
        <v/>
      </c>
      <c r="Q98" s="325" t="str">
        <f>IFERROR(VLOOKUP(P98, Tarieven!$A$2:$J$150, 10, FALSE), "0")</f>
        <v>0</v>
      </c>
      <c r="R98" s="431" t="str">
        <f>Oktober!R98</f>
        <v/>
      </c>
      <c r="S98" s="430" t="str">
        <f>Oktober!S98</f>
        <v/>
      </c>
      <c r="T98" s="325" t="str">
        <f>IFERROR(VLOOKUP(S98, Tarieven!$A$2:$J$150, 10, FALSE), "0")</f>
        <v>0</v>
      </c>
      <c r="U98" s="77" t="str">
        <f>Oktober!U99</f>
        <v/>
      </c>
      <c r="V98" s="327" t="str">
        <f>Oktober!V100</f>
        <v/>
      </c>
      <c r="W98" s="325" t="str">
        <f>IFERROR(VLOOKUP(V98, Tarieven!$A$2:$J$150, 10, FALSE), "0")</f>
        <v>0</v>
      </c>
      <c r="X98" s="138">
        <f>Oktober!X98</f>
        <v>0</v>
      </c>
      <c r="Y98" s="398">
        <v>0.0</v>
      </c>
      <c r="Z98" s="329">
        <f t="shared" si="3"/>
        <v>0</v>
      </c>
      <c r="AA98" s="32">
        <f t="shared" si="4"/>
        <v>0</v>
      </c>
      <c r="AB98" s="32">
        <f t="shared" si="5"/>
        <v>0</v>
      </c>
      <c r="AC98" s="32">
        <f t="shared" si="6"/>
        <v>0</v>
      </c>
    </row>
    <row r="99" ht="22.5" customHeight="1">
      <c r="A99" s="331" t="str">
        <f>Rooster!A101</f>
        <v/>
      </c>
      <c r="B99" s="396" t="str">
        <f>Rooster!B101</f>
        <v/>
      </c>
      <c r="C99" s="15" t="str">
        <f>Rooster!C101</f>
        <v/>
      </c>
      <c r="D99" s="11" t="str">
        <f>Rooster!D101</f>
        <v/>
      </c>
      <c r="E99" s="77"/>
      <c r="F99" s="327" t="str">
        <f>Rooster!E101</f>
        <v/>
      </c>
      <c r="G99" s="319" t="str">
        <f>IFERROR(VLOOKUP(F99, Docenten!$A$2:$G$30, 7, FALSE), "0")</f>
        <v>0</v>
      </c>
      <c r="H99" s="320">
        <f t="shared" si="7"/>
        <v>0</v>
      </c>
      <c r="I99" s="327" t="str">
        <f>Rooster!H101</f>
        <v/>
      </c>
      <c r="J99" s="321" t="str">
        <f>IFERROR(VLOOKUP(I99, Locaties!$A$2:$G$15, 7, FALSE), "0")</f>
        <v>0</v>
      </c>
      <c r="K99" s="42">
        <f t="shared" si="2"/>
        <v>0</v>
      </c>
      <c r="L99" s="427" t="str">
        <f>Oktober!L100</f>
        <v/>
      </c>
      <c r="M99" s="428" t="str">
        <f>Oktober!M100</f>
        <v/>
      </c>
      <c r="N99" s="321" t="str">
        <f>IFERROR(VLOOKUP(M99, Tarieven!$A$1:$J$150, 10, FALSE), "0")</f>
        <v>0</v>
      </c>
      <c r="O99" s="429" t="str">
        <f>Oktober!O100</f>
        <v/>
      </c>
      <c r="P99" s="430" t="str">
        <f>Oktober!P100</f>
        <v/>
      </c>
      <c r="Q99" s="325" t="str">
        <f>IFERROR(VLOOKUP(P99, Tarieven!$A$2:$J$150, 10, FALSE), "0")</f>
        <v>0</v>
      </c>
      <c r="R99" s="431" t="str">
        <f>Oktober!R100</f>
        <v/>
      </c>
      <c r="S99" s="430" t="str">
        <f>Oktober!S100</f>
        <v/>
      </c>
      <c r="T99" s="325" t="str">
        <f>IFERROR(VLOOKUP(S99, Tarieven!$A$2:$J$150, 10, FALSE), "0")</f>
        <v>0</v>
      </c>
      <c r="U99" s="77" t="str">
        <f>Oktober!U100</f>
        <v/>
      </c>
      <c r="V99" s="327" t="str">
        <f>Oktober!V101</f>
        <v/>
      </c>
      <c r="W99" s="325" t="str">
        <f>IFERROR(VLOOKUP(V99, Tarieven!$A$2:$J$150, 10, FALSE), "0")</f>
        <v>0</v>
      </c>
      <c r="X99" s="138">
        <f>Oktober!X100</f>
        <v>0</v>
      </c>
      <c r="Y99" s="398">
        <v>0.0</v>
      </c>
      <c r="Z99" s="329">
        <f t="shared" si="3"/>
        <v>0</v>
      </c>
      <c r="AA99" s="32">
        <f t="shared" si="4"/>
        <v>0</v>
      </c>
      <c r="AB99" s="32">
        <f t="shared" si="5"/>
        <v>0</v>
      </c>
      <c r="AC99" s="32">
        <f t="shared" si="6"/>
        <v>0</v>
      </c>
    </row>
    <row r="100" ht="22.5" customHeight="1">
      <c r="A100" s="331" t="str">
        <f>Rooster!A102</f>
        <v/>
      </c>
      <c r="B100" s="396" t="str">
        <f>Rooster!B102</f>
        <v/>
      </c>
      <c r="C100" s="15" t="str">
        <f>Rooster!C102</f>
        <v/>
      </c>
      <c r="D100" s="11" t="str">
        <f>Rooster!D102</f>
        <v/>
      </c>
      <c r="E100" s="426"/>
      <c r="F100" s="331" t="str">
        <f>Rooster!E102</f>
        <v/>
      </c>
      <c r="G100" s="319" t="str">
        <f>IFERROR(VLOOKUP(F100, Docenten!$A$2:$G$30, 7, FALSE), "0")</f>
        <v>0</v>
      </c>
      <c r="H100" s="320">
        <f t="shared" si="7"/>
        <v>0</v>
      </c>
      <c r="I100" s="331" t="str">
        <f>Rooster!H102</f>
        <v/>
      </c>
      <c r="J100" s="321" t="str">
        <f>IFERROR(VLOOKUP(I100, Locaties!$A$2:$G$15, 7, FALSE), "0")</f>
        <v>0</v>
      </c>
      <c r="K100" s="42">
        <f t="shared" si="2"/>
        <v>0</v>
      </c>
      <c r="L100" s="450">
        <f>SUM(L2:L99)</f>
        <v>117</v>
      </c>
      <c r="M100" s="451"/>
      <c r="N100" s="321" t="str">
        <f>IFERROR(VLOOKUP(M100, Tarieven!$A$1:$J$150, 10, FALSE), "0")</f>
        <v>0</v>
      </c>
      <c r="O100" s="450">
        <f>SUM(O2:O99)</f>
        <v>59</v>
      </c>
      <c r="P100" s="451"/>
      <c r="Q100" s="325" t="str">
        <f>IFERROR(VLOOKUP(P100, Tarieven!$A$2:$J$150, 10, FALSE), "0")</f>
        <v>0</v>
      </c>
      <c r="R100" s="452">
        <f>SUM(R2:R99)</f>
        <v>19</v>
      </c>
      <c r="S100" s="451"/>
      <c r="T100" s="325" t="str">
        <f>IFERROR(VLOOKUP(S100, Tarieven!$A$2:$J$150, 10, FALSE), "0")</f>
        <v>0</v>
      </c>
      <c r="U100" s="448">
        <f>SUM(U2:U99)</f>
        <v>8</v>
      </c>
      <c r="V100" s="85"/>
      <c r="W100" s="325" t="str">
        <f>IFERROR(VLOOKUP(V100, Tarieven!$A$2:$J$150, 10, FALSE), "0")</f>
        <v>0</v>
      </c>
      <c r="X100" s="413">
        <f>SUM(X2:X99)</f>
        <v>220</v>
      </c>
      <c r="Y100" s="398">
        <v>0.0</v>
      </c>
      <c r="Z100" s="329">
        <f>SUM(Z2:Z99)</f>
        <v>423</v>
      </c>
      <c r="AA100" s="32">
        <f t="shared" si="4"/>
        <v>0</v>
      </c>
      <c r="AB100" s="32">
        <f t="shared" si="5"/>
        <v>0</v>
      </c>
      <c r="AC100" s="32">
        <f t="shared" si="6"/>
        <v>0</v>
      </c>
    </row>
  </sheetData>
  <conditionalFormatting sqref="AG7">
    <cfRule type="cellIs" dxfId="7" priority="1" operator="lessThan">
      <formula>0</formula>
    </cfRule>
  </conditionalFormatting>
  <conditionalFormatting sqref="AC2:AC100">
    <cfRule type="cellIs" dxfId="7" priority="2" operator="lessThan">
      <formula>0</formula>
    </cfRule>
  </conditionalFormatting>
  <dataValidations>
    <dataValidation type="list" allowBlank="1" sqref="A2:A100">
      <formula1>"Maandag,Dinsdag,Woensdag,Donderdag,Vrijdag,Zaterdag,Zondag"</formula1>
    </dataValidation>
    <dataValidation type="custom" allowBlank="1" showDropDown="1" sqref="B2:B100">
      <formula1>OR(TIMEVALUE(TEXT(B2, "hh:mm:ss"))=B2, AND(ISNUMBER(B2), LEFT(CELL("format", B2))="D"))</formula1>
    </dataValidation>
    <dataValidation type="custom" allowBlank="1" showDropDown="1" sqref="L2:L100 N2:N100 AA2:AB100">
      <formula1>AND(ISNUMBER(L2),(NOT(OR(NOT(ISERROR(DATEVALUE(L2))), AND(ISNUMBER(L2), LEFT(CELL("format", L2))="D")))))</formula1>
    </dataValidation>
    <dataValidation type="list" allowBlank="1" sqref="F2:F100 I2:I100 M2:M100 P2:P100 S2:S100 V2:V100">
      <formula1>#REF!</formula1>
    </dataValidation>
    <dataValidation allowBlank="1" showDropDown="1" sqref="D2:D100"/>
    <dataValidation type="custom" allowBlank="1" showDropDown="1" sqref="C2:C100 E2:E100 G2:H100 J2:K100 O2:O100 Q2:R100 T2:U100 W2:Z100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5.33"/>
    <col customWidth="1" min="2" max="2" width="13.67"/>
    <col customWidth="1" min="3" max="3" width="14.22"/>
    <col customWidth="1" min="4" max="4" width="22.0"/>
    <col customWidth="1" min="5" max="5" width="18.44"/>
    <col customWidth="1" min="6" max="6" width="15.11"/>
    <col customWidth="1" hidden="1" min="7" max="7" width="15.11"/>
    <col customWidth="1" min="8" max="9" width="15.11"/>
    <col customWidth="1" hidden="1" min="10" max="10" width="15.44"/>
    <col customWidth="1" min="11" max="11" width="15.44"/>
    <col customWidth="1" min="12" max="12" width="17.56"/>
    <col customWidth="1" min="13" max="13" width="20.0"/>
    <col customWidth="1" min="14" max="14" width="16.78"/>
    <col customWidth="1" min="15" max="15" width="17.56"/>
    <col customWidth="1" min="16" max="16" width="20.0"/>
    <col customWidth="1" min="17" max="17" width="14.78"/>
    <col customWidth="1" min="18" max="18" width="17.56"/>
    <col customWidth="1" min="19" max="19" width="20.0"/>
    <col customWidth="1" min="20" max="20" width="13.78"/>
    <col customWidth="1" min="21" max="21" width="16.67"/>
    <col customWidth="1" min="22" max="22" width="18.56"/>
    <col customWidth="1" min="23" max="23" width="13.78"/>
    <col customWidth="1" min="24" max="24" width="23.11"/>
    <col customWidth="1" min="25" max="25" width="20.56"/>
    <col customWidth="1" min="26" max="26" width="18.0"/>
    <col customWidth="1" min="27" max="27" width="16.33"/>
    <col customWidth="1" min="28" max="28" width="19.22"/>
    <col customWidth="1" min="29" max="30" width="16.89"/>
    <col customWidth="1" min="31" max="31" width="16.78"/>
    <col customWidth="1" min="32" max="32" width="16.89"/>
    <col customWidth="1" min="33" max="34" width="17.0"/>
  </cols>
  <sheetData>
    <row r="1" ht="22.5" customHeight="1">
      <c r="A1" s="1" t="s">
        <v>94</v>
      </c>
      <c r="B1" s="1" t="s">
        <v>95</v>
      </c>
      <c r="C1" s="1" t="s">
        <v>273</v>
      </c>
      <c r="D1" s="1" t="s">
        <v>98</v>
      </c>
      <c r="E1" s="302" t="s">
        <v>274</v>
      </c>
      <c r="F1" s="302" t="s">
        <v>99</v>
      </c>
      <c r="G1" s="303" t="s">
        <v>100</v>
      </c>
      <c r="H1" s="303" t="s">
        <v>275</v>
      </c>
      <c r="I1" s="304" t="s">
        <v>102</v>
      </c>
      <c r="J1" s="304" t="s">
        <v>103</v>
      </c>
      <c r="K1" s="304" t="s">
        <v>104</v>
      </c>
      <c r="L1" s="422" t="s">
        <v>276</v>
      </c>
      <c r="M1" s="422" t="s">
        <v>298</v>
      </c>
      <c r="N1" s="306" t="s">
        <v>278</v>
      </c>
      <c r="O1" s="423" t="s">
        <v>279</v>
      </c>
      <c r="P1" s="392" t="s">
        <v>300</v>
      </c>
      <c r="Q1" s="308" t="s">
        <v>281</v>
      </c>
      <c r="R1" s="424" t="s">
        <v>282</v>
      </c>
      <c r="S1" s="424" t="s">
        <v>302</v>
      </c>
      <c r="T1" s="310" t="s">
        <v>284</v>
      </c>
      <c r="U1" s="393" t="s">
        <v>285</v>
      </c>
      <c r="V1" s="393" t="s">
        <v>304</v>
      </c>
      <c r="W1" s="311" t="s">
        <v>305</v>
      </c>
      <c r="X1" s="394" t="s">
        <v>306</v>
      </c>
      <c r="Y1" s="395" t="s">
        <v>307</v>
      </c>
      <c r="Z1" s="314" t="s">
        <v>294</v>
      </c>
      <c r="AA1" s="314" t="s">
        <v>295</v>
      </c>
      <c r="AB1" s="1" t="s">
        <v>308</v>
      </c>
      <c r="AC1" s="1" t="s">
        <v>297</v>
      </c>
    </row>
    <row r="2" ht="22.5" customHeight="1">
      <c r="A2" s="331" t="str">
        <f>Rooster!A3</f>
        <v/>
      </c>
      <c r="B2" s="396" t="str">
        <f>Rooster!B3</f>
        <v/>
      </c>
      <c r="C2" s="15" t="str">
        <f>Rooster!C3</f>
        <v/>
      </c>
      <c r="D2" s="11" t="str">
        <f>Rooster!D3</f>
        <v/>
      </c>
      <c r="E2" s="77"/>
      <c r="F2" s="327" t="str">
        <f>Rooster!E3</f>
        <v/>
      </c>
      <c r="G2" s="319" t="str">
        <f>IFERROR(VLOOKUP(F2, Docenten!$A$2:$G$30, 7, FALSE), "0")</f>
        <v>0</v>
      </c>
      <c r="H2" s="320">
        <f t="shared" ref="H2:H42" si="1">SUM(G2/60)*C2</f>
        <v>0</v>
      </c>
      <c r="I2" s="327" t="str">
        <f>Rooster!H3</f>
        <v/>
      </c>
      <c r="J2" s="321" t="str">
        <f>IFERROR(VLOOKUP(I2, Locaties!$A$2:$G$15, 7, FALSE), "0")</f>
        <v>0</v>
      </c>
      <c r="K2" s="42">
        <f t="shared" ref="K2:K101" si="2">SUM(J2/60)*C2</f>
        <v>0</v>
      </c>
      <c r="L2" s="427" t="str">
        <f>November!L2</f>
        <v/>
      </c>
      <c r="M2" s="428" t="str">
        <f>November!M2</f>
        <v/>
      </c>
      <c r="N2" s="321" t="str">
        <f>IFERROR(VLOOKUP(M2, Tarieven!$A$1:$J$150, 10, FALSE), "0")</f>
        <v>0</v>
      </c>
      <c r="O2" s="429" t="str">
        <f>November!O2</f>
        <v/>
      </c>
      <c r="P2" s="430" t="str">
        <f>November!P2</f>
        <v/>
      </c>
      <c r="Q2" s="325" t="str">
        <f>IFERROR(VLOOKUP(P2, Tarieven!$A$2:$J$150, 10, FALSE), "0")</f>
        <v>0</v>
      </c>
      <c r="R2" s="444" t="str">
        <f>November!R2</f>
        <v/>
      </c>
      <c r="S2" s="428" t="str">
        <f>November!S2</f>
        <v/>
      </c>
      <c r="T2" s="325" t="str">
        <f>IFERROR(VLOOKUP(S2, Tarieven!$A$2:$J$150, 10, FALSE), "0")</f>
        <v>0</v>
      </c>
      <c r="U2" s="77" t="str">
        <f>November!U2</f>
        <v/>
      </c>
      <c r="V2" s="327" t="str">
        <f>November!V2</f>
        <v/>
      </c>
      <c r="W2" s="325" t="str">
        <f>IFERROR(VLOOKUP(V2, Tarieven!$A$2:$J$150, 10, FALSE), "0")</f>
        <v>0</v>
      </c>
      <c r="X2" s="138">
        <f>November!X2</f>
        <v>0</v>
      </c>
      <c r="Y2" s="398">
        <v>0.0</v>
      </c>
      <c r="Z2" s="329">
        <f t="shared" ref="Z2:Z100" si="3">SUM(L2+O2+R2+U2+X2)</f>
        <v>0</v>
      </c>
      <c r="AA2" s="32">
        <f t="shared" ref="AA2:AA101" si="4">SUM(H2+K2)*E2</f>
        <v>0</v>
      </c>
      <c r="AB2" s="32">
        <f t="shared" ref="AB2:AB101" si="5">SUM((L2*N2)+(O2*Q2)+(R2*T2)+(U2*W2)+Y2)</f>
        <v>0</v>
      </c>
      <c r="AC2" s="32">
        <f t="shared" ref="AC2:AC101" si="6">SUM(AB2-AA2)</f>
        <v>0</v>
      </c>
      <c r="AE2" s="154" t="s">
        <v>309</v>
      </c>
      <c r="AF2" s="154" t="s">
        <v>310</v>
      </c>
      <c r="AG2" s="109" t="s">
        <v>311</v>
      </c>
    </row>
    <row r="3" ht="22.5" customHeight="1">
      <c r="A3" s="331" t="str">
        <f>Rooster!A4</f>
        <v/>
      </c>
      <c r="B3" s="396" t="str">
        <f>Rooster!B4</f>
        <v/>
      </c>
      <c r="C3" s="15" t="str">
        <f>Rooster!C4</f>
        <v/>
      </c>
      <c r="D3" s="11" t="str">
        <f>Rooster!D4</f>
        <v/>
      </c>
      <c r="E3" s="77"/>
      <c r="F3" s="327" t="str">
        <f>Rooster!E4</f>
        <v/>
      </c>
      <c r="G3" s="319" t="str">
        <f>IFERROR(VLOOKUP(F3, Docenten!$A$2:$G$30, 7, FALSE), "0")</f>
        <v>0</v>
      </c>
      <c r="H3" s="320">
        <f t="shared" si="1"/>
        <v>0</v>
      </c>
      <c r="I3" s="327" t="str">
        <f>Rooster!H4</f>
        <v/>
      </c>
      <c r="J3" s="321" t="str">
        <f>IFERROR(VLOOKUP(I3, Locaties!$A$2:$G$15, 7, FALSE), "0")</f>
        <v>0</v>
      </c>
      <c r="K3" s="42">
        <f t="shared" si="2"/>
        <v>0</v>
      </c>
      <c r="L3" s="427" t="str">
        <f>November!L3</f>
        <v/>
      </c>
      <c r="M3" s="428" t="str">
        <f>November!M3</f>
        <v/>
      </c>
      <c r="N3" s="321" t="str">
        <f>IFERROR(VLOOKUP(M3, Tarieven!$A$1:$J$150, 10, FALSE), "0")</f>
        <v>0</v>
      </c>
      <c r="O3" s="429" t="str">
        <f>November!O3</f>
        <v/>
      </c>
      <c r="P3" s="430" t="str">
        <f>November!P3</f>
        <v/>
      </c>
      <c r="Q3" s="325" t="str">
        <f>IFERROR(VLOOKUP(P3, Tarieven!$A$2:$J$150, 10, FALSE), "0")</f>
        <v>0</v>
      </c>
      <c r="R3" s="444" t="str">
        <f>November!R3</f>
        <v/>
      </c>
      <c r="S3" s="428" t="str">
        <f>November!S3</f>
        <v/>
      </c>
      <c r="T3" s="325" t="str">
        <f>IFERROR(VLOOKUP(S3, Tarieven!$A$2:$J$150, 10, FALSE), "0")</f>
        <v>0</v>
      </c>
      <c r="U3" s="77" t="str">
        <f>November!U3</f>
        <v/>
      </c>
      <c r="V3" s="327" t="str">
        <f>November!V3</f>
        <v/>
      </c>
      <c r="W3" s="325" t="str">
        <f>IFERROR(VLOOKUP(V3, Tarieven!$A$2:$J$150, 10, FALSE), "0")</f>
        <v>0</v>
      </c>
      <c r="X3" s="138">
        <f>November!X3</f>
        <v>0</v>
      </c>
      <c r="Y3" s="398">
        <v>0.0</v>
      </c>
      <c r="Z3" s="329">
        <f t="shared" si="3"/>
        <v>0</v>
      </c>
      <c r="AA3" s="32">
        <f t="shared" si="4"/>
        <v>0</v>
      </c>
      <c r="AB3" s="32">
        <f t="shared" si="5"/>
        <v>0</v>
      </c>
      <c r="AC3" s="32">
        <f t="shared" si="6"/>
        <v>0</v>
      </c>
      <c r="AD3" s="130"/>
      <c r="AE3" s="159" t="s">
        <v>312</v>
      </c>
      <c r="AF3" s="32">
        <f>SUM(AB2:AB101)</f>
        <v>6555.103667</v>
      </c>
      <c r="AG3" s="160"/>
    </row>
    <row r="4" ht="22.5" customHeight="1">
      <c r="A4" s="331" t="str">
        <f>Rooster!A5</f>
        <v>Maandag</v>
      </c>
      <c r="B4" s="425">
        <f>Rooster!B5</f>
        <v>0.625</v>
      </c>
      <c r="C4" s="426">
        <f>Rooster!C5</f>
        <v>60</v>
      </c>
      <c r="D4" s="11" t="str">
        <f>Rooster!D5</f>
        <v>Kleuterdans</v>
      </c>
      <c r="E4" s="77"/>
      <c r="F4" s="327"/>
      <c r="G4" s="319" t="str">
        <f>IFERROR(VLOOKUP(F4, Docenten!$A$2:$G$30, 7, FALSE), "0")</f>
        <v>0</v>
      </c>
      <c r="H4" s="320">
        <f t="shared" si="1"/>
        <v>0</v>
      </c>
      <c r="I4" s="327"/>
      <c r="J4" s="321" t="str">
        <f>IFERROR(VLOOKUP(I4, Locaties!$A$2:$G$15, 7, FALSE), "0")</f>
        <v>0</v>
      </c>
      <c r="K4" s="42">
        <f t="shared" si="2"/>
        <v>0</v>
      </c>
      <c r="L4" s="427" t="str">
        <f>November!L4</f>
        <v/>
      </c>
      <c r="M4" s="428" t="str">
        <f>November!M4</f>
        <v/>
      </c>
      <c r="N4" s="321" t="str">
        <f>IFERROR(VLOOKUP(M4, Tarieven!$A$1:$J$150, 10, FALSE), "0")</f>
        <v>0</v>
      </c>
      <c r="O4" s="429" t="str">
        <f>November!O4</f>
        <v/>
      </c>
      <c r="P4" s="430" t="str">
        <f>November!P4</f>
        <v/>
      </c>
      <c r="Q4" s="325" t="str">
        <f>IFERROR(VLOOKUP(P4, Tarieven!$A$2:$J$150, 10, FALSE), "0")</f>
        <v>0</v>
      </c>
      <c r="R4" s="444" t="str">
        <f>November!R4</f>
        <v/>
      </c>
      <c r="S4" s="428" t="str">
        <f>November!S4</f>
        <v/>
      </c>
      <c r="T4" s="325" t="str">
        <f>IFERROR(VLOOKUP(S4, Tarieven!$A$2:$J$150, 10, FALSE), "0")</f>
        <v>0</v>
      </c>
      <c r="U4" s="77" t="str">
        <f>November!U4</f>
        <v/>
      </c>
      <c r="V4" s="327" t="str">
        <f>November!V4</f>
        <v/>
      </c>
      <c r="W4" s="325" t="str">
        <f>IFERROR(VLOOKUP(V4, Tarieven!$A$2:$J$150, 10, FALSE), "0")</f>
        <v>0</v>
      </c>
      <c r="X4" s="138">
        <f>November!X4</f>
        <v>0</v>
      </c>
      <c r="Y4" s="398">
        <v>0.0</v>
      </c>
      <c r="Z4" s="329">
        <f t="shared" si="3"/>
        <v>0</v>
      </c>
      <c r="AA4" s="32">
        <f t="shared" si="4"/>
        <v>0</v>
      </c>
      <c r="AB4" s="32">
        <f t="shared" si="5"/>
        <v>0</v>
      </c>
      <c r="AC4" s="32">
        <f t="shared" si="6"/>
        <v>0</v>
      </c>
      <c r="AD4" s="130"/>
      <c r="AE4" s="159" t="s">
        <v>313</v>
      </c>
      <c r="AF4" s="32">
        <f>'Extra activiteiten'!K6</f>
        <v>9975</v>
      </c>
      <c r="AG4" s="159"/>
    </row>
    <row r="5" ht="22.5" customHeight="1">
      <c r="A5" s="331" t="str">
        <f>Rooster!A6</f>
        <v>Maandag</v>
      </c>
      <c r="B5" s="425">
        <f>Rooster!B6</f>
        <v>0.625</v>
      </c>
      <c r="C5" s="426">
        <f>Rooster!C6</f>
        <v>60</v>
      </c>
      <c r="D5" s="11" t="str">
        <f>Rooster!D6</f>
        <v>Streetdance 6+</v>
      </c>
      <c r="E5" s="77"/>
      <c r="F5" s="327" t="str">
        <f>Rooster!E6</f>
        <v>Lotte</v>
      </c>
      <c r="G5" s="319">
        <f>IFERROR(VLOOKUP(F5, Docenten!$A$2:$G$30, 7, FALSE), "0")</f>
        <v>22.5</v>
      </c>
      <c r="H5" s="320">
        <f t="shared" si="1"/>
        <v>22.5</v>
      </c>
      <c r="I5" s="327" t="str">
        <f>Rooster!H6</f>
        <v>Santpoort Zuid</v>
      </c>
      <c r="J5" s="321"/>
      <c r="K5" s="42">
        <f t="shared" si="2"/>
        <v>0</v>
      </c>
      <c r="L5" s="427" t="str">
        <f>November!L5</f>
        <v/>
      </c>
      <c r="M5" s="428" t="str">
        <f>November!M5</f>
        <v/>
      </c>
      <c r="N5" s="321" t="str">
        <f>IFERROR(VLOOKUP(M5, Tarieven!$A$1:$J$150, 10, FALSE), "0")</f>
        <v>0</v>
      </c>
      <c r="O5" s="429" t="str">
        <f>November!O5</f>
        <v/>
      </c>
      <c r="P5" s="430" t="str">
        <f>November!P5</f>
        <v/>
      </c>
      <c r="Q5" s="325" t="str">
        <f>IFERROR(VLOOKUP(P5, Tarieven!$A$2:$J$150, 10, FALSE), "0")</f>
        <v>0</v>
      </c>
      <c r="R5" s="444" t="str">
        <f>November!R5</f>
        <v/>
      </c>
      <c r="S5" s="428" t="str">
        <f>November!S5</f>
        <v/>
      </c>
      <c r="T5" s="325" t="str">
        <f>IFERROR(VLOOKUP(S5, Tarieven!$A$2:$J$150, 10, FALSE), "0")</f>
        <v>0</v>
      </c>
      <c r="U5" s="77" t="str">
        <f>November!U5</f>
        <v/>
      </c>
      <c r="V5" s="327" t="str">
        <f>November!V5</f>
        <v/>
      </c>
      <c r="W5" s="325" t="str">
        <f>IFERROR(VLOOKUP(V5, Tarieven!$A$2:$J$150, 10, FALSE), "0")</f>
        <v>0</v>
      </c>
      <c r="X5" s="138">
        <f>November!X5</f>
        <v>0</v>
      </c>
      <c r="Y5" s="398">
        <v>0.0</v>
      </c>
      <c r="Z5" s="329">
        <f t="shared" si="3"/>
        <v>0</v>
      </c>
      <c r="AA5" s="32">
        <f t="shared" si="4"/>
        <v>0</v>
      </c>
      <c r="AB5" s="32">
        <f t="shared" si="5"/>
        <v>0</v>
      </c>
      <c r="AC5" s="32">
        <f t="shared" si="6"/>
        <v>0</v>
      </c>
      <c r="AE5" s="159" t="s">
        <v>314</v>
      </c>
      <c r="AF5" s="32">
        <f>SUM(December[Kosten per maand])</f>
        <v>2672.55</v>
      </c>
      <c r="AG5" s="159"/>
    </row>
    <row r="6" ht="22.5" customHeight="1">
      <c r="A6" s="331" t="str">
        <f>Rooster!A7</f>
        <v>Maandag</v>
      </c>
      <c r="B6" s="396">
        <f>Rooster!B7</f>
        <v>0.6666666667</v>
      </c>
      <c r="C6" s="15">
        <f>Rooster!C7</f>
        <v>60</v>
      </c>
      <c r="D6" s="11" t="str">
        <f>Rooster!D7</f>
        <v>Urban-Pop-Show 10+</v>
      </c>
      <c r="E6" s="77">
        <v>3.0</v>
      </c>
      <c r="F6" s="327" t="str">
        <f>Rooster!E7</f>
        <v>Lotte</v>
      </c>
      <c r="G6" s="319">
        <f>IFERROR(VLOOKUP(F6, Docenten!$A$2:$G$30, 7, FALSE), "0")</f>
        <v>22.5</v>
      </c>
      <c r="H6" s="320">
        <f t="shared" si="1"/>
        <v>22.5</v>
      </c>
      <c r="I6" s="327" t="str">
        <f>Rooster!H7</f>
        <v>Santpoort Zuid</v>
      </c>
      <c r="J6" s="321">
        <f>IFERROR(VLOOKUP(I6, Locaties!$A$2:$G$15, 7, FALSE), "0")</f>
        <v>18.9</v>
      </c>
      <c r="K6" s="42">
        <f t="shared" si="2"/>
        <v>18.9</v>
      </c>
      <c r="L6" s="427">
        <f>November!L6</f>
        <v>2</v>
      </c>
      <c r="M6" s="428" t="str">
        <f>November!M6</f>
        <v>1x per week abbo</v>
      </c>
      <c r="N6" s="321">
        <f>IFERROR(VLOOKUP(M6, Tarieven!$A$1:$J$150, 10, FALSE), "0")</f>
        <v>31</v>
      </c>
      <c r="O6" s="429">
        <f>November!O6</f>
        <v>1</v>
      </c>
      <c r="P6" s="430" t="str">
        <f>November!P6</f>
        <v>Cheer regulier +1 abbo</v>
      </c>
      <c r="Q6" s="325">
        <f>IFERROR(VLOOKUP(P6, Tarieven!$A$2:$J$150, 10, FALSE), "0")</f>
        <v>32.25</v>
      </c>
      <c r="R6" s="444">
        <f>November!R6</f>
        <v>1</v>
      </c>
      <c r="S6" s="428" t="str">
        <f>November!S6</f>
        <v>2x per week abbo</v>
      </c>
      <c r="T6" s="325">
        <f>IFERROR(VLOOKUP(S6, Tarieven!$A$2:$J$150, 10, FALSE), "0")</f>
        <v>28.55</v>
      </c>
      <c r="U6" s="77" t="str">
        <f>November!U6</f>
        <v/>
      </c>
      <c r="V6" s="327" t="str">
        <f>November!V6</f>
        <v/>
      </c>
      <c r="W6" s="325" t="str">
        <f>IFERROR(VLOOKUP(V6, Tarieven!$A$2:$J$150, 10, FALSE), "0")</f>
        <v>0</v>
      </c>
      <c r="X6" s="138">
        <f>November!X6</f>
        <v>4</v>
      </c>
      <c r="Y6" s="398">
        <v>0.0</v>
      </c>
      <c r="Z6" s="329">
        <f t="shared" si="3"/>
        <v>8</v>
      </c>
      <c r="AA6" s="32">
        <f t="shared" si="4"/>
        <v>124.2</v>
      </c>
      <c r="AB6" s="32">
        <f t="shared" si="5"/>
        <v>122.8</v>
      </c>
      <c r="AC6" s="32">
        <f t="shared" si="6"/>
        <v>-1.4</v>
      </c>
      <c r="AD6" s="130"/>
      <c r="AE6" s="159" t="s">
        <v>315</v>
      </c>
      <c r="AF6" s="408">
        <f>Kosten!F69</f>
        <v>5081.99</v>
      </c>
      <c r="AG6" s="159" t="s">
        <v>316</v>
      </c>
    </row>
    <row r="7" ht="22.5" customHeight="1">
      <c r="A7" s="331" t="str">
        <f>Rooster!A8</f>
        <v>Maandag</v>
      </c>
      <c r="B7" s="396">
        <f>Rooster!B8</f>
        <v>0.7083333333</v>
      </c>
      <c r="C7" s="15">
        <f>Rooster!C8</f>
        <v>60</v>
      </c>
      <c r="D7" s="11" t="str">
        <f>Rooster!D8</f>
        <v>Urban-Pop-Show 12+</v>
      </c>
      <c r="E7" s="77">
        <v>3.0</v>
      </c>
      <c r="F7" s="327" t="str">
        <f>Rooster!E8</f>
        <v>Nova</v>
      </c>
      <c r="G7" s="319">
        <f>IFERROR(VLOOKUP(F7, Docenten!$A$2:$G$30, 7, FALSE), "0")</f>
        <v>22.5</v>
      </c>
      <c r="H7" s="320">
        <f t="shared" si="1"/>
        <v>22.5</v>
      </c>
      <c r="I7" s="327" t="str">
        <f>Rooster!H8</f>
        <v>Santpoort Zuid</v>
      </c>
      <c r="J7" s="321">
        <f>IFERROR(VLOOKUP(I7, Locaties!$A$2:$G$15, 7, FALSE), "0")</f>
        <v>18.9</v>
      </c>
      <c r="K7" s="42">
        <f t="shared" si="2"/>
        <v>18.9</v>
      </c>
      <c r="L7" s="427">
        <f>November!L7</f>
        <v>3</v>
      </c>
      <c r="M7" s="428" t="str">
        <f>November!M7</f>
        <v>2x per week abbo</v>
      </c>
      <c r="N7" s="321">
        <f>IFERROR(VLOOKUP(M7, Tarieven!$A$1:$J$150, 10, FALSE), "0")</f>
        <v>28.55</v>
      </c>
      <c r="O7" s="429" t="str">
        <f>November!O7</f>
        <v/>
      </c>
      <c r="P7" s="430" t="str">
        <f>November!P7</f>
        <v/>
      </c>
      <c r="Q7" s="325" t="str">
        <f>IFERROR(VLOOKUP(P7, Tarieven!$A$2:$J$150, 10, FALSE), "0")</f>
        <v>0</v>
      </c>
      <c r="R7" s="444">
        <f>November!R7</f>
        <v>1</v>
      </c>
      <c r="S7" s="428" t="str">
        <f>November!S7</f>
        <v>Cheer regulier +1 abbo</v>
      </c>
      <c r="T7" s="325">
        <f>IFERROR(VLOOKUP(S7, Tarieven!$A$2:$J$150, 10, FALSE), "0")</f>
        <v>32.25</v>
      </c>
      <c r="U7" s="77" t="str">
        <f>November!U7</f>
        <v/>
      </c>
      <c r="V7" s="327" t="str">
        <f>November!V7</f>
        <v/>
      </c>
      <c r="W7" s="325" t="str">
        <f>IFERROR(VLOOKUP(V7, Tarieven!$A$2:$J$150, 10, FALSE), "0")</f>
        <v>0</v>
      </c>
      <c r="X7" s="138">
        <f>November!X7</f>
        <v>11</v>
      </c>
      <c r="Y7" s="398">
        <v>0.0</v>
      </c>
      <c r="Z7" s="329">
        <f t="shared" si="3"/>
        <v>15</v>
      </c>
      <c r="AA7" s="32">
        <f t="shared" si="4"/>
        <v>124.2</v>
      </c>
      <c r="AB7" s="32">
        <f t="shared" si="5"/>
        <v>117.9</v>
      </c>
      <c r="AC7" s="32">
        <f t="shared" si="6"/>
        <v>-6.3</v>
      </c>
      <c r="AD7" s="409"/>
      <c r="AE7" s="410" t="s">
        <v>317</v>
      </c>
      <c r="AF7" s="411">
        <f>SUM(AF3+AF4)-AF5-AF6</f>
        <v>8775.563667</v>
      </c>
      <c r="AG7" s="412">
        <f>'Doel vs Werkelijkheid'!B2</f>
        <v>3000</v>
      </c>
    </row>
    <row r="8" ht="22.5" customHeight="1">
      <c r="A8" s="331" t="str">
        <f>Rooster!A9</f>
        <v>Maandag</v>
      </c>
      <c r="B8" s="396">
        <f>Rooster!B9</f>
        <v>0.75</v>
      </c>
      <c r="C8" s="15">
        <f>Rooster!C9</f>
        <v>60</v>
      </c>
      <c r="D8" s="11" t="str">
        <f>Rooster!D9</f>
        <v>Selectie Show</v>
      </c>
      <c r="E8" s="77">
        <v>3.0</v>
      </c>
      <c r="F8" s="327" t="str">
        <f>Rooster!E9</f>
        <v>Nova</v>
      </c>
      <c r="G8" s="319">
        <f>IFERROR(VLOOKUP(F8, Docenten!$A$2:$G$30, 7, FALSE), "0")</f>
        <v>22.5</v>
      </c>
      <c r="H8" s="320">
        <f t="shared" si="1"/>
        <v>22.5</v>
      </c>
      <c r="I8" s="327" t="str">
        <f>Rooster!H9</f>
        <v>Santpoort Zuid</v>
      </c>
      <c r="J8" s="321">
        <f>IFERROR(VLOOKUP(I8, Locaties!$A$2:$G$15, 7, FALSE), "0")</f>
        <v>18.9</v>
      </c>
      <c r="K8" s="42">
        <f t="shared" si="2"/>
        <v>18.9</v>
      </c>
      <c r="L8" s="427" t="str">
        <f>November!L8</f>
        <v/>
      </c>
      <c r="M8" s="428" t="str">
        <f>November!M8</f>
        <v/>
      </c>
      <c r="N8" s="321" t="str">
        <f>IFERROR(VLOOKUP(M8, Tarieven!$A$1:$J$150, 10, FALSE), "0")</f>
        <v>0</v>
      </c>
      <c r="O8" s="429">
        <f>November!O8</f>
        <v>3</v>
      </c>
      <c r="P8" s="430" t="str">
        <f>November!P8</f>
        <v>2x per week abbo</v>
      </c>
      <c r="Q8" s="325">
        <f>IFERROR(VLOOKUP(P8, Tarieven!$A$2:$J$150, 10, FALSE), "0")</f>
        <v>28.55</v>
      </c>
      <c r="R8" s="444">
        <f>November!R8</f>
        <v>2</v>
      </c>
      <c r="S8" s="428" t="str">
        <f>November!S8</f>
        <v>3x per week abbo</v>
      </c>
      <c r="T8" s="325">
        <f>IFERROR(VLOOKUP(S8, Tarieven!$A$2:$J$150, 10, FALSE), "0")</f>
        <v>28.93333333</v>
      </c>
      <c r="U8" s="77">
        <f>November!U8</f>
        <v>3</v>
      </c>
      <c r="V8" s="327" t="str">
        <f>November!V8</f>
        <v>Onbeperkt abbo</v>
      </c>
      <c r="W8" s="325">
        <f>IFERROR(VLOOKUP(V8, Tarieven!$A$2:$J$150, 10, FALSE), "0")</f>
        <v>27</v>
      </c>
      <c r="X8" s="138">
        <f>November!X8</f>
        <v>4</v>
      </c>
      <c r="Y8" s="398">
        <v>0.0</v>
      </c>
      <c r="Z8" s="329">
        <f t="shared" si="3"/>
        <v>12</v>
      </c>
      <c r="AA8" s="32">
        <f t="shared" si="4"/>
        <v>124.2</v>
      </c>
      <c r="AB8" s="32">
        <f t="shared" si="5"/>
        <v>224.5166667</v>
      </c>
      <c r="AC8" s="32">
        <f t="shared" si="6"/>
        <v>100.3166667</v>
      </c>
      <c r="AE8" s="160"/>
      <c r="AF8" s="160"/>
      <c r="AG8" s="160"/>
    </row>
    <row r="9" ht="22.5" customHeight="1">
      <c r="A9" s="331" t="str">
        <f>Rooster!A10</f>
        <v>Maandag</v>
      </c>
      <c r="B9" s="396">
        <f>Rooster!B10</f>
        <v>0.7916666667</v>
      </c>
      <c r="C9" s="15">
        <f>Rooster!C10</f>
        <v>60</v>
      </c>
      <c r="D9" s="11" t="str">
        <f>Rooster!D10</f>
        <v>Commercial 16+</v>
      </c>
      <c r="E9" s="77">
        <v>3.0</v>
      </c>
      <c r="F9" s="327" t="str">
        <f>Rooster!E10</f>
        <v>Nova</v>
      </c>
      <c r="G9" s="319">
        <f>IFERROR(VLOOKUP(F9, Docenten!$A$2:$G$30, 7, FALSE), "0")</f>
        <v>22.5</v>
      </c>
      <c r="H9" s="320">
        <f t="shared" si="1"/>
        <v>22.5</v>
      </c>
      <c r="I9" s="327" t="str">
        <f>Rooster!H10</f>
        <v>Santpoort Zuid</v>
      </c>
      <c r="J9" s="321">
        <f>IFERROR(VLOOKUP(I9, Locaties!$A$2:$G$15, 7, FALSE), "0")</f>
        <v>18.9</v>
      </c>
      <c r="K9" s="42">
        <f t="shared" si="2"/>
        <v>18.9</v>
      </c>
      <c r="L9" s="427">
        <f>November!L9</f>
        <v>2</v>
      </c>
      <c r="M9" s="428" t="str">
        <f>November!M9</f>
        <v>3x per week abbo</v>
      </c>
      <c r="N9" s="321">
        <f>IFERROR(VLOOKUP(M9, Tarieven!$A$1:$J$150, 10, FALSE), "0")</f>
        <v>28.93333333</v>
      </c>
      <c r="O9" s="429">
        <f>November!O9</f>
        <v>3</v>
      </c>
      <c r="P9" s="430" t="str">
        <f>November!P9</f>
        <v>2x per week abbo</v>
      </c>
      <c r="Q9" s="325">
        <f>IFERROR(VLOOKUP(P9, Tarieven!$A$2:$J$150, 10, FALSE), "0")</f>
        <v>28.55</v>
      </c>
      <c r="R9" s="444">
        <f>November!R9</f>
        <v>2</v>
      </c>
      <c r="S9" s="428" t="str">
        <f>November!S9</f>
        <v>Onbeperkt abbo</v>
      </c>
      <c r="T9" s="325">
        <f>IFERROR(VLOOKUP(S9, Tarieven!$A$2:$J$150, 10, FALSE), "0")</f>
        <v>27</v>
      </c>
      <c r="U9" s="77">
        <f>November!U9</f>
        <v>1</v>
      </c>
      <c r="V9" s="327" t="str">
        <f>November!V9</f>
        <v>1x per week abbo</v>
      </c>
      <c r="W9" s="325">
        <f>IFERROR(VLOOKUP(V9, Tarieven!$A$2:$J$150, 10, FALSE), "0")</f>
        <v>31</v>
      </c>
      <c r="X9" s="138">
        <f>November!X9</f>
        <v>5</v>
      </c>
      <c r="Y9" s="398">
        <v>0.0</v>
      </c>
      <c r="Z9" s="329">
        <f t="shared" si="3"/>
        <v>13</v>
      </c>
      <c r="AA9" s="32">
        <f t="shared" si="4"/>
        <v>124.2</v>
      </c>
      <c r="AB9" s="32">
        <f t="shared" si="5"/>
        <v>228.5166667</v>
      </c>
      <c r="AC9" s="32">
        <f t="shared" si="6"/>
        <v>104.3166667</v>
      </c>
      <c r="AE9" s="159" t="s">
        <v>19</v>
      </c>
      <c r="AF9" s="413">
        <f>Z101</f>
        <v>411</v>
      </c>
      <c r="AG9" s="160"/>
    </row>
    <row r="10" ht="22.5" customHeight="1">
      <c r="A10" s="331" t="str">
        <f>Rooster!A11</f>
        <v>Maandag</v>
      </c>
      <c r="B10" s="396">
        <f>Rooster!B11</f>
        <v>0.8333333333</v>
      </c>
      <c r="C10" s="15">
        <f>Rooster!C11</f>
        <v>60</v>
      </c>
      <c r="D10" s="11" t="str">
        <f>Rooster!D11</f>
        <v>Commercial 20+</v>
      </c>
      <c r="E10" s="77">
        <v>3.0</v>
      </c>
      <c r="F10" s="327" t="str">
        <f>Rooster!E11</f>
        <v>Nova</v>
      </c>
      <c r="G10" s="319">
        <f>IFERROR(VLOOKUP(F10, Docenten!$A$2:$G$30, 7, FALSE), "0")</f>
        <v>22.5</v>
      </c>
      <c r="H10" s="320">
        <f t="shared" si="1"/>
        <v>22.5</v>
      </c>
      <c r="I10" s="327" t="str">
        <f>Rooster!H11</f>
        <v>Santpoort Zuid</v>
      </c>
      <c r="J10" s="321">
        <f>IFERROR(VLOOKUP(I10, Locaties!$A$2:$G$15, 7, FALSE), "0")</f>
        <v>18.9</v>
      </c>
      <c r="K10" s="42">
        <f t="shared" si="2"/>
        <v>18.9</v>
      </c>
      <c r="L10" s="427">
        <f>November!L10</f>
        <v>5</v>
      </c>
      <c r="M10" s="428" t="str">
        <f>November!M10</f>
        <v>Volwassenen 2x abbo</v>
      </c>
      <c r="N10" s="321">
        <f>IFERROR(VLOOKUP(M10, Tarieven!$A$1:$J$150, 10, FALSE), "0")</f>
        <v>27.255</v>
      </c>
      <c r="O10" s="429">
        <f>November!O10</f>
        <v>2</v>
      </c>
      <c r="P10" s="430" t="str">
        <f>November!P10</f>
        <v>Volwassenen 1x abbo</v>
      </c>
      <c r="Q10" s="325">
        <f>IFERROR(VLOOKUP(P10, Tarieven!$A$2:$J$150, 10, FALSE), "0")</f>
        <v>25.596</v>
      </c>
      <c r="R10" s="444" t="str">
        <f>November!R10</f>
        <v/>
      </c>
      <c r="S10" s="428" t="str">
        <f>November!S10</f>
        <v/>
      </c>
      <c r="T10" s="325" t="str">
        <f>IFERROR(VLOOKUP(S10, Tarieven!$A$2:$J$150, 10, FALSE), "0")</f>
        <v>0</v>
      </c>
      <c r="U10" s="77" t="str">
        <f>November!U10</f>
        <v/>
      </c>
      <c r="V10" s="327" t="str">
        <f>November!V10</f>
        <v/>
      </c>
      <c r="W10" s="325" t="str">
        <f>IFERROR(VLOOKUP(V10, Tarieven!$A$2:$J$150, 10, FALSE), "0")</f>
        <v>0</v>
      </c>
      <c r="X10" s="138">
        <f>November!X10</f>
        <v>8</v>
      </c>
      <c r="Y10" s="398">
        <v>0.0</v>
      </c>
      <c r="Z10" s="329">
        <f t="shared" si="3"/>
        <v>15</v>
      </c>
      <c r="AA10" s="32">
        <f t="shared" si="4"/>
        <v>124.2</v>
      </c>
      <c r="AB10" s="32">
        <f t="shared" si="5"/>
        <v>187.467</v>
      </c>
      <c r="AC10" s="32">
        <f t="shared" si="6"/>
        <v>63.267</v>
      </c>
      <c r="AE10" s="330"/>
      <c r="AF10" s="330"/>
    </row>
    <row r="11" ht="22.5" customHeight="1">
      <c r="A11" s="331" t="str">
        <f>Rooster!A12</f>
        <v>Maandag</v>
      </c>
      <c r="B11" s="396">
        <f>Rooster!B12</f>
        <v>0.875</v>
      </c>
      <c r="C11" s="15">
        <f>Rooster!C12</f>
        <v>60</v>
      </c>
      <c r="D11" s="11" t="str">
        <f>Rooster!D12</f>
        <v>Jazz 20+</v>
      </c>
      <c r="E11" s="77">
        <v>3.0</v>
      </c>
      <c r="F11" s="327" t="str">
        <f>Rooster!E12</f>
        <v>Nova</v>
      </c>
      <c r="G11" s="319">
        <f>IFERROR(VLOOKUP(F11, Docenten!$A$2:$G$30, 7, FALSE), "0")</f>
        <v>22.5</v>
      </c>
      <c r="H11" s="320">
        <f t="shared" si="1"/>
        <v>22.5</v>
      </c>
      <c r="I11" s="327" t="str">
        <f>Rooster!H12</f>
        <v>Santpoort Zuid</v>
      </c>
      <c r="J11" s="321">
        <f>IFERROR(VLOOKUP(I11, Locaties!$A$2:$G$15, 7, FALSE), "0")</f>
        <v>18.9</v>
      </c>
      <c r="K11" s="42">
        <f t="shared" si="2"/>
        <v>18.9</v>
      </c>
      <c r="L11" s="427">
        <f>November!L11</f>
        <v>4</v>
      </c>
      <c r="M11" s="428" t="str">
        <f>November!M11</f>
        <v>Volwassenen 2x abbo</v>
      </c>
      <c r="N11" s="321">
        <f>IFERROR(VLOOKUP(M11, Tarieven!$A$1:$J$150, 10, FALSE), "0")</f>
        <v>27.255</v>
      </c>
      <c r="O11" s="429" t="str">
        <f>November!O11</f>
        <v/>
      </c>
      <c r="P11" s="430" t="str">
        <f>November!P11</f>
        <v/>
      </c>
      <c r="Q11" s="325" t="str">
        <f>IFERROR(VLOOKUP(P11, Tarieven!$A$2:$J$150, 10, FALSE), "0")</f>
        <v>0</v>
      </c>
      <c r="R11" s="444" t="str">
        <f>November!R11</f>
        <v/>
      </c>
      <c r="S11" s="428" t="str">
        <f>November!S11</f>
        <v/>
      </c>
      <c r="T11" s="325" t="str">
        <f>IFERROR(VLOOKUP(S11, Tarieven!$A$2:$J$150, 10, FALSE), "0")</f>
        <v>0</v>
      </c>
      <c r="U11" s="77" t="str">
        <f>November!U11</f>
        <v/>
      </c>
      <c r="V11" s="327" t="str">
        <f>November!V11</f>
        <v/>
      </c>
      <c r="W11" s="325" t="str">
        <f>IFERROR(VLOOKUP(V11, Tarieven!$A$2:$J$150, 10, FALSE), "0")</f>
        <v>0</v>
      </c>
      <c r="X11" s="138">
        <f>November!X11</f>
        <v>4</v>
      </c>
      <c r="Y11" s="398">
        <v>0.0</v>
      </c>
      <c r="Z11" s="329">
        <f t="shared" si="3"/>
        <v>8</v>
      </c>
      <c r="AA11" s="32">
        <f t="shared" si="4"/>
        <v>124.2</v>
      </c>
      <c r="AB11" s="32">
        <f t="shared" si="5"/>
        <v>109.02</v>
      </c>
      <c r="AC11" s="32">
        <f t="shared" si="6"/>
        <v>-15.18</v>
      </c>
      <c r="AE11" s="330"/>
      <c r="AF11" s="330"/>
    </row>
    <row r="12" ht="22.5" customHeight="1">
      <c r="A12" s="331" t="str">
        <f>Rooster!A13</f>
        <v>Maandag</v>
      </c>
      <c r="B12" s="396">
        <f>Rooster!B13</f>
        <v>0.6666666667</v>
      </c>
      <c r="C12" s="15">
        <f>Rooster!C13</f>
        <v>60</v>
      </c>
      <c r="D12" s="11" t="str">
        <f>Rooster!D13</f>
        <v>Streetdance 6+</v>
      </c>
      <c r="E12" s="77">
        <v>3.0</v>
      </c>
      <c r="F12" s="327" t="str">
        <f>Rooster!E13</f>
        <v>Julia</v>
      </c>
      <c r="G12" s="319">
        <f>IFERROR(VLOOKUP(F12, Docenten!$A$2:$G$30, 7, FALSE), "0")</f>
        <v>15</v>
      </c>
      <c r="H12" s="320">
        <f t="shared" si="1"/>
        <v>15</v>
      </c>
      <c r="I12" s="327" t="str">
        <f>Rooster!H13</f>
        <v>Santpoort Noord</v>
      </c>
      <c r="J12" s="321">
        <f>IFERROR(VLOOKUP(I12, Locaties!$A$2:$G$15, 7, FALSE), "0")</f>
        <v>14.2</v>
      </c>
      <c r="K12" s="42">
        <f t="shared" si="2"/>
        <v>14.2</v>
      </c>
      <c r="L12" s="427">
        <f>November!L12</f>
        <v>2</v>
      </c>
      <c r="M12" s="428" t="str">
        <f>November!M12</f>
        <v>2x per week abbo</v>
      </c>
      <c r="N12" s="321">
        <f>IFERROR(VLOOKUP(M12, Tarieven!$A$1:$J$150, 10, FALSE), "0")</f>
        <v>28.55</v>
      </c>
      <c r="O12" s="429">
        <f>November!O12</f>
        <v>4</v>
      </c>
      <c r="P12" s="430" t="str">
        <f>November!P12</f>
        <v>1x per week abbo</v>
      </c>
      <c r="Q12" s="325">
        <f>IFERROR(VLOOKUP(P12, Tarieven!$A$2:$J$150, 10, FALSE), "0")</f>
        <v>31</v>
      </c>
      <c r="R12" s="444" t="str">
        <f>November!R12</f>
        <v/>
      </c>
      <c r="S12" s="428" t="str">
        <f>November!S12</f>
        <v/>
      </c>
      <c r="T12" s="325" t="str">
        <f>IFERROR(VLOOKUP(S12, Tarieven!$A$2:$J$150, 10, FALSE), "0")</f>
        <v>0</v>
      </c>
      <c r="U12" s="77" t="str">
        <f>November!U12</f>
        <v/>
      </c>
      <c r="V12" s="327" t="str">
        <f>November!V12</f>
        <v/>
      </c>
      <c r="W12" s="325" t="str">
        <f>IFERROR(VLOOKUP(V12, Tarieven!$A$2:$J$150, 10, FALSE), "0")</f>
        <v>0</v>
      </c>
      <c r="X12" s="138">
        <f>November!X12</f>
        <v>2</v>
      </c>
      <c r="Y12" s="398">
        <v>0.0</v>
      </c>
      <c r="Z12" s="329">
        <f t="shared" si="3"/>
        <v>8</v>
      </c>
      <c r="AA12" s="32">
        <f t="shared" si="4"/>
        <v>87.6</v>
      </c>
      <c r="AB12" s="32">
        <f t="shared" si="5"/>
        <v>181.1</v>
      </c>
      <c r="AC12" s="32">
        <f t="shared" si="6"/>
        <v>93.5</v>
      </c>
      <c r="AE12" s="330"/>
      <c r="AF12" s="330"/>
    </row>
    <row r="13" ht="22.5" customHeight="1">
      <c r="A13" s="331" t="str">
        <f>Rooster!A14</f>
        <v>Maandag</v>
      </c>
      <c r="B13" s="396">
        <f>Rooster!B14</f>
        <v>0.7083333333</v>
      </c>
      <c r="C13" s="15">
        <f>Rooster!C14</f>
        <v>60</v>
      </c>
      <c r="D13" s="11" t="str">
        <f>Rooster!D14</f>
        <v>Streetdance 8+</v>
      </c>
      <c r="E13" s="77">
        <v>3.0</v>
      </c>
      <c r="F13" s="327" t="str">
        <f>Rooster!E14</f>
        <v>Julia</v>
      </c>
      <c r="G13" s="319">
        <f>IFERROR(VLOOKUP(F13, Docenten!$A$2:$G$30, 7, FALSE), "0")</f>
        <v>15</v>
      </c>
      <c r="H13" s="320">
        <f t="shared" si="1"/>
        <v>15</v>
      </c>
      <c r="I13" s="327" t="str">
        <f>Rooster!H14</f>
        <v>Santpoort Noord</v>
      </c>
      <c r="J13" s="321">
        <f>IFERROR(VLOOKUP(I13, Locaties!$A$2:$G$15, 7, FALSE), "0")</f>
        <v>14.2</v>
      </c>
      <c r="K13" s="42">
        <f t="shared" si="2"/>
        <v>14.2</v>
      </c>
      <c r="L13" s="427">
        <f>November!L13</f>
        <v>1</v>
      </c>
      <c r="M13" s="428" t="str">
        <f>November!M13</f>
        <v>1x per week abbo</v>
      </c>
      <c r="N13" s="321">
        <f>IFERROR(VLOOKUP(M13, Tarieven!$A$1:$J$150, 10, FALSE), "0")</f>
        <v>31</v>
      </c>
      <c r="O13" s="429">
        <f>November!O13</f>
        <v>5</v>
      </c>
      <c r="P13" s="430" t="str">
        <f>November!P13</f>
        <v>2x per week abbo</v>
      </c>
      <c r="Q13" s="325">
        <f>IFERROR(VLOOKUP(P13, Tarieven!$A$2:$J$150, 10, FALSE), "0")</f>
        <v>28.55</v>
      </c>
      <c r="R13" s="444" t="str">
        <f>November!R13</f>
        <v/>
      </c>
      <c r="S13" s="428" t="str">
        <f>November!S13</f>
        <v/>
      </c>
      <c r="T13" s="325" t="str">
        <f>IFERROR(VLOOKUP(S13, Tarieven!$A$2:$J$150, 10, FALSE), "0")</f>
        <v>0</v>
      </c>
      <c r="U13" s="77" t="str">
        <f>November!U13</f>
        <v/>
      </c>
      <c r="V13" s="327" t="str">
        <f>November!V13</f>
        <v/>
      </c>
      <c r="W13" s="325" t="str">
        <f>IFERROR(VLOOKUP(V13, Tarieven!$A$2:$J$150, 10, FALSE), "0")</f>
        <v>0</v>
      </c>
      <c r="X13" s="138">
        <f>November!X13</f>
        <v>13</v>
      </c>
      <c r="Y13" s="398">
        <v>0.0</v>
      </c>
      <c r="Z13" s="329">
        <f t="shared" si="3"/>
        <v>19</v>
      </c>
      <c r="AA13" s="32">
        <f t="shared" si="4"/>
        <v>87.6</v>
      </c>
      <c r="AB13" s="32">
        <f t="shared" si="5"/>
        <v>173.75</v>
      </c>
      <c r="AC13" s="32">
        <f t="shared" si="6"/>
        <v>86.15</v>
      </c>
      <c r="AE13" s="330"/>
      <c r="AF13" s="330"/>
    </row>
    <row r="14" ht="22.5" customHeight="1">
      <c r="A14" s="331" t="str">
        <f>Rooster!A15</f>
        <v>Dinsdag</v>
      </c>
      <c r="B14" s="396">
        <f>Rooster!B15</f>
        <v>0.6666666667</v>
      </c>
      <c r="C14" s="15">
        <f>Rooster!C15</f>
        <v>60</v>
      </c>
      <c r="D14" s="11" t="str">
        <f>Rooster!D15</f>
        <v>Modern 8+</v>
      </c>
      <c r="E14" s="77">
        <v>3.0</v>
      </c>
      <c r="F14" s="327" t="str">
        <f>Rooster!E15</f>
        <v>Eigenaar</v>
      </c>
      <c r="G14" s="319">
        <f>IFERROR(VLOOKUP(F14, Docenten!$A$2:$G$30, 7, FALSE), "0")</f>
        <v>0</v>
      </c>
      <c r="H14" s="320">
        <f t="shared" si="1"/>
        <v>0</v>
      </c>
      <c r="I14" s="327" t="str">
        <f>Rooster!H15</f>
        <v>Santpoort Zuid</v>
      </c>
      <c r="J14" s="321">
        <f>IFERROR(VLOOKUP(I14, Locaties!$A$2:$G$15, 7, FALSE), "0")</f>
        <v>18.9</v>
      </c>
      <c r="K14" s="42">
        <f t="shared" si="2"/>
        <v>18.9</v>
      </c>
      <c r="L14" s="427">
        <f>November!L14</f>
        <v>5</v>
      </c>
      <c r="M14" s="428" t="str">
        <f>November!M14</f>
        <v>2x per week abbo</v>
      </c>
      <c r="N14" s="321">
        <f>IFERROR(VLOOKUP(M14, Tarieven!$A$1:$J$150, 10, FALSE), "0")</f>
        <v>28.55</v>
      </c>
      <c r="O14" s="429">
        <f>November!O14</f>
        <v>1</v>
      </c>
      <c r="P14" s="430" t="str">
        <f>November!P14</f>
        <v>1x per week abbo</v>
      </c>
      <c r="Q14" s="325">
        <f>IFERROR(VLOOKUP(P14, Tarieven!$A$2:$J$150, 10, FALSE), "0")</f>
        <v>31</v>
      </c>
      <c r="R14" s="444">
        <f>November!R14</f>
        <v>2</v>
      </c>
      <c r="S14" s="428" t="str">
        <f>November!S14</f>
        <v>Cheer regulier + onbeperkt abbo</v>
      </c>
      <c r="T14" s="325">
        <f>IFERROR(VLOOKUP(S14, Tarieven!$A$2:$J$150, 10, FALSE), "0")</f>
        <v>44.45</v>
      </c>
      <c r="U14" s="77">
        <f>November!U14</f>
        <v>1</v>
      </c>
      <c r="V14" s="327" t="str">
        <f>November!V14</f>
        <v>Cheer regulier +1 abbo</v>
      </c>
      <c r="W14" s="325">
        <f>IFERROR(VLOOKUP(V14, Tarieven!$A$2:$J$150, 10, FALSE), "0")</f>
        <v>32.25</v>
      </c>
      <c r="X14" s="138">
        <f>November!X14</f>
        <v>8</v>
      </c>
      <c r="Y14" s="398">
        <v>0.0</v>
      </c>
      <c r="Z14" s="329">
        <f t="shared" si="3"/>
        <v>17</v>
      </c>
      <c r="AA14" s="32">
        <f t="shared" si="4"/>
        <v>56.7</v>
      </c>
      <c r="AB14" s="32">
        <f t="shared" si="5"/>
        <v>294.9</v>
      </c>
      <c r="AC14" s="32">
        <f t="shared" si="6"/>
        <v>238.2</v>
      </c>
    </row>
    <row r="15" ht="22.5" customHeight="1">
      <c r="A15" s="331" t="str">
        <f>Rooster!A16</f>
        <v>Dinsdag</v>
      </c>
      <c r="B15" s="396">
        <f>Rooster!B16</f>
        <v>0.7083333333</v>
      </c>
      <c r="C15" s="15">
        <f>Rooster!C16</f>
        <v>60</v>
      </c>
      <c r="D15" s="11" t="str">
        <f>Rooster!D16</f>
        <v>Selectie show 8+</v>
      </c>
      <c r="E15" s="77">
        <v>3.0</v>
      </c>
      <c r="F15" s="327" t="str">
        <f>Rooster!E16</f>
        <v>Eigenaar</v>
      </c>
      <c r="G15" s="319">
        <f>IFERROR(VLOOKUP(F15, Docenten!$A$2:$G$30, 7, FALSE), "0")</f>
        <v>0</v>
      </c>
      <c r="H15" s="320">
        <f t="shared" si="1"/>
        <v>0</v>
      </c>
      <c r="I15" s="327" t="str">
        <f>Rooster!H16</f>
        <v>Santpoort Zuid</v>
      </c>
      <c r="J15" s="321">
        <f>IFERROR(VLOOKUP(I15, Locaties!$A$2:$G$15, 7, FALSE), "0")</f>
        <v>18.9</v>
      </c>
      <c r="K15" s="42">
        <f t="shared" si="2"/>
        <v>18.9</v>
      </c>
      <c r="L15" s="427">
        <f>November!L15</f>
        <v>2</v>
      </c>
      <c r="M15" s="428" t="str">
        <f>November!M15</f>
        <v>Cheer regulier + onbeperkt abbo</v>
      </c>
      <c r="N15" s="321">
        <f>IFERROR(VLOOKUP(M15, Tarieven!$A$1:$J$150, 10, FALSE), "0")</f>
        <v>44.45</v>
      </c>
      <c r="O15" s="429">
        <f>November!O15</f>
        <v>2</v>
      </c>
      <c r="P15" s="430" t="str">
        <f>November!P15</f>
        <v>2x per week abbo</v>
      </c>
      <c r="Q15" s="325">
        <f>IFERROR(VLOOKUP(P15, Tarieven!$A$2:$J$150, 10, FALSE), "0")</f>
        <v>28.55</v>
      </c>
      <c r="R15" s="444" t="str">
        <f>November!R15</f>
        <v/>
      </c>
      <c r="S15" s="428" t="str">
        <f>November!S15</f>
        <v/>
      </c>
      <c r="T15" s="325" t="str">
        <f>IFERROR(VLOOKUP(S15, Tarieven!$A$2:$J$150, 10, FALSE), "0")</f>
        <v>0</v>
      </c>
      <c r="U15" s="77">
        <f>November!U15</f>
        <v>1</v>
      </c>
      <c r="V15" s="327" t="str">
        <f>November!V15</f>
        <v>Cheer regulier +2 abbo</v>
      </c>
      <c r="W15" s="325">
        <f>IFERROR(VLOOKUP(V15, Tarieven!$A$2:$J$150, 10, FALSE), "0")</f>
        <v>29.03333333</v>
      </c>
      <c r="X15" s="138">
        <f>November!X15</f>
        <v>7</v>
      </c>
      <c r="Y15" s="398">
        <v>0.0</v>
      </c>
      <c r="Z15" s="329">
        <f t="shared" si="3"/>
        <v>12</v>
      </c>
      <c r="AA15" s="32">
        <f t="shared" si="4"/>
        <v>56.7</v>
      </c>
      <c r="AB15" s="32">
        <f t="shared" si="5"/>
        <v>175.0333333</v>
      </c>
      <c r="AC15" s="32">
        <f t="shared" si="6"/>
        <v>118.3333333</v>
      </c>
    </row>
    <row r="16" ht="22.5" customHeight="1">
      <c r="A16" s="331" t="str">
        <f>Rooster!A17</f>
        <v>Dinsdag</v>
      </c>
      <c r="B16" s="396">
        <f>Rooster!B17</f>
        <v>0.75</v>
      </c>
      <c r="C16" s="15">
        <f>Rooster!C17</f>
        <v>90</v>
      </c>
      <c r="D16" s="11" t="str">
        <f>Rooster!D17</f>
        <v>Selectie Cheer</v>
      </c>
      <c r="E16" s="77">
        <v>3.0</v>
      </c>
      <c r="F16" s="327" t="str">
        <f>Rooster!E17</f>
        <v>Eigenaar</v>
      </c>
      <c r="G16" s="319">
        <f>IFERROR(VLOOKUP(F16, Docenten!$A$2:$G$30, 7, FALSE), "0")</f>
        <v>0</v>
      </c>
      <c r="H16" s="320">
        <f t="shared" si="1"/>
        <v>0</v>
      </c>
      <c r="I16" s="327" t="str">
        <f>Rooster!H17</f>
        <v>Santpoort Zuid</v>
      </c>
      <c r="J16" s="321">
        <f>IFERROR(VLOOKUP(I16, Locaties!$A$2:$G$15, 7, FALSE), "0")</f>
        <v>18.9</v>
      </c>
      <c r="K16" s="42">
        <f t="shared" si="2"/>
        <v>28.35</v>
      </c>
      <c r="L16" s="427">
        <f>November!L16</f>
        <v>2</v>
      </c>
      <c r="M16" s="428" t="str">
        <f>November!M16</f>
        <v>Cheer selectie +2 abbo</v>
      </c>
      <c r="N16" s="321">
        <f>IFERROR(VLOOKUP(M16, Tarieven!$A$1:$J$150, 10, FALSE), "0")</f>
        <v>31.53333333</v>
      </c>
      <c r="O16" s="429">
        <f>November!O16</f>
        <v>1</v>
      </c>
      <c r="P16" s="430" t="str">
        <f>November!P16</f>
        <v>Cheer selectie +1 abbo</v>
      </c>
      <c r="Q16" s="325">
        <f>IFERROR(VLOOKUP(P16, Tarieven!$A$2:$J$150, 10, FALSE), "0")</f>
        <v>34.25</v>
      </c>
      <c r="R16" s="444" t="str">
        <f>November!R16</f>
        <v/>
      </c>
      <c r="S16" s="428" t="str">
        <f>November!S16</f>
        <v/>
      </c>
      <c r="T16" s="325" t="str">
        <f>IFERROR(VLOOKUP(S16, Tarieven!$A$2:$J$150, 10, FALSE), "0")</f>
        <v>0</v>
      </c>
      <c r="U16" s="77" t="str">
        <f>November!U16</f>
        <v/>
      </c>
      <c r="V16" s="327" t="str">
        <f>November!V16</f>
        <v/>
      </c>
      <c r="W16" s="325" t="str">
        <f>IFERROR(VLOOKUP(V16, Tarieven!$A$2:$J$150, 10, FALSE), "0")</f>
        <v>0</v>
      </c>
      <c r="X16" s="138">
        <f>November!X16</f>
        <v>8</v>
      </c>
      <c r="Y16" s="398">
        <v>0.0</v>
      </c>
      <c r="Z16" s="329">
        <f t="shared" si="3"/>
        <v>11</v>
      </c>
      <c r="AA16" s="32">
        <f t="shared" si="4"/>
        <v>85.05</v>
      </c>
      <c r="AB16" s="32">
        <f t="shared" si="5"/>
        <v>97.31666667</v>
      </c>
      <c r="AC16" s="32">
        <f t="shared" si="6"/>
        <v>12.26666667</v>
      </c>
    </row>
    <row r="17" ht="22.5" customHeight="1">
      <c r="A17" s="331" t="str">
        <f>Rooster!A18</f>
        <v>Dinsdag</v>
      </c>
      <c r="B17" s="396">
        <f>Rooster!B18</f>
        <v>0.8125</v>
      </c>
      <c r="C17" s="15">
        <f>Rooster!C18</f>
        <v>60</v>
      </c>
      <c r="D17" s="11" t="str">
        <f>Rooster!D18</f>
        <v>Hiphop 15+</v>
      </c>
      <c r="E17" s="77">
        <v>3.0</v>
      </c>
      <c r="F17" s="327" t="str">
        <f>Rooster!E18</f>
        <v>Eigenaar</v>
      </c>
      <c r="G17" s="319">
        <f>IFERROR(VLOOKUP(F17, Docenten!$A$2:$G$30, 7, FALSE), "0")</f>
        <v>0</v>
      </c>
      <c r="H17" s="320">
        <f t="shared" si="1"/>
        <v>0</v>
      </c>
      <c r="I17" s="327" t="str">
        <f>Rooster!H18</f>
        <v>Santpoort Zuid</v>
      </c>
      <c r="J17" s="321">
        <f>IFERROR(VLOOKUP(I17, Locaties!$A$2:$G$15, 7, FALSE), "0")</f>
        <v>18.9</v>
      </c>
      <c r="K17" s="42">
        <f t="shared" si="2"/>
        <v>18.9</v>
      </c>
      <c r="L17" s="427">
        <f>November!L17</f>
        <v>4</v>
      </c>
      <c r="M17" s="428" t="str">
        <f>November!M17</f>
        <v>3x per week abbo</v>
      </c>
      <c r="N17" s="321">
        <f>IFERROR(VLOOKUP(M17, Tarieven!$A$1:$J$150, 10, FALSE), "0")</f>
        <v>28.93333333</v>
      </c>
      <c r="O17" s="429">
        <f>November!O17</f>
        <v>1</v>
      </c>
      <c r="P17" s="430" t="str">
        <f>November!P17</f>
        <v>2x per week abbo</v>
      </c>
      <c r="Q17" s="325">
        <f>IFERROR(VLOOKUP(P17, Tarieven!$A$2:$J$150, 10, FALSE), "0")</f>
        <v>28.55</v>
      </c>
      <c r="R17" s="444" t="str">
        <f>November!R17</f>
        <v/>
      </c>
      <c r="S17" s="428" t="str">
        <f>November!S17</f>
        <v/>
      </c>
      <c r="T17" s="325" t="str">
        <f>IFERROR(VLOOKUP(S17, Tarieven!$A$2:$J$150, 10, FALSE), "0")</f>
        <v>0</v>
      </c>
      <c r="U17" s="77"/>
      <c r="V17" s="327"/>
      <c r="W17" s="325" t="str">
        <f>IFERROR(VLOOKUP(V17, Tarieven!$A$2:$J$150, 10, FALSE), "0")</f>
        <v>0</v>
      </c>
      <c r="X17" s="138">
        <f>November!X17</f>
        <v>9</v>
      </c>
      <c r="Y17" s="398">
        <v>0.0</v>
      </c>
      <c r="Z17" s="329">
        <f t="shared" si="3"/>
        <v>14</v>
      </c>
      <c r="AA17" s="32">
        <f t="shared" si="4"/>
        <v>56.7</v>
      </c>
      <c r="AB17" s="32">
        <f t="shared" si="5"/>
        <v>144.2833333</v>
      </c>
      <c r="AC17" s="32">
        <f t="shared" si="6"/>
        <v>87.58333333</v>
      </c>
    </row>
    <row r="18" ht="22.5" customHeight="1">
      <c r="A18" s="331" t="str">
        <f>Rooster!A19</f>
        <v>Woensdag</v>
      </c>
      <c r="B18" s="396">
        <f>Rooster!B19</f>
        <v>0.6041666667</v>
      </c>
      <c r="C18" s="15">
        <f>Rooster!C19</f>
        <v>60</v>
      </c>
      <c r="D18" s="11" t="str">
        <f>Rooster!D19</f>
        <v>Streetdance 6+</v>
      </c>
      <c r="E18" s="77">
        <v>3.0</v>
      </c>
      <c r="F18" s="327" t="str">
        <f>Rooster!E19</f>
        <v>Julia</v>
      </c>
      <c r="G18" s="319">
        <f>IFERROR(VLOOKUP(F18, Docenten!$A$2:$G$30, 7, FALSE), "0")</f>
        <v>15</v>
      </c>
      <c r="H18" s="320">
        <f t="shared" si="1"/>
        <v>15</v>
      </c>
      <c r="I18" s="327" t="str">
        <f>Rooster!H19</f>
        <v>Santpoort Noord</v>
      </c>
      <c r="J18" s="321">
        <f>IFERROR(VLOOKUP(I18, Locaties!$A$2:$G$15, 7, FALSE), "0")</f>
        <v>14.2</v>
      </c>
      <c r="K18" s="42">
        <f t="shared" si="2"/>
        <v>14.2</v>
      </c>
      <c r="L18" s="427">
        <f>November!L18</f>
        <v>1</v>
      </c>
      <c r="M18" s="428" t="str">
        <f>November!M18</f>
        <v>2x per week abbo</v>
      </c>
      <c r="N18" s="321">
        <f>IFERROR(VLOOKUP(M18, Tarieven!$A$1:$J$150, 10, FALSE), "0")</f>
        <v>28.55</v>
      </c>
      <c r="O18" s="437">
        <v>2.0</v>
      </c>
      <c r="P18" s="430" t="str">
        <f>November!P18</f>
        <v>1x per week abbo</v>
      </c>
      <c r="Q18" s="325">
        <f>IFERROR(VLOOKUP(P18, Tarieven!$A$2:$J$150, 10, FALSE), "0")</f>
        <v>31</v>
      </c>
      <c r="R18" s="444" t="str">
        <f>November!R18</f>
        <v/>
      </c>
      <c r="S18" s="428" t="str">
        <f>November!S18</f>
        <v/>
      </c>
      <c r="T18" s="325" t="str">
        <f>IFERROR(VLOOKUP(S18, Tarieven!$A$2:$J$150, 10, FALSE), "0")</f>
        <v>0</v>
      </c>
      <c r="U18" s="77" t="str">
        <f>November!U18</f>
        <v/>
      </c>
      <c r="V18" s="327" t="str">
        <f>November!V18</f>
        <v/>
      </c>
      <c r="W18" s="325" t="str">
        <f>IFERROR(VLOOKUP(V18, Tarieven!$A$2:$J$150, 10, FALSE), "0")</f>
        <v>0</v>
      </c>
      <c r="X18" s="138">
        <f>November!X18</f>
        <v>9</v>
      </c>
      <c r="Y18" s="398">
        <v>0.0</v>
      </c>
      <c r="Z18" s="329">
        <f t="shared" si="3"/>
        <v>12</v>
      </c>
      <c r="AA18" s="32">
        <f t="shared" si="4"/>
        <v>87.6</v>
      </c>
      <c r="AB18" s="32">
        <f t="shared" si="5"/>
        <v>90.55</v>
      </c>
      <c r="AC18" s="32">
        <f t="shared" si="6"/>
        <v>2.95</v>
      </c>
    </row>
    <row r="19" ht="22.5" customHeight="1">
      <c r="A19" s="331" t="str">
        <f>Rooster!A20</f>
        <v>Woensdag</v>
      </c>
      <c r="B19" s="396">
        <f>Rooster!B20</f>
        <v>0.6458333333</v>
      </c>
      <c r="C19" s="15">
        <f>Rooster!C20</f>
        <v>60</v>
      </c>
      <c r="D19" s="11" t="str">
        <f>Rooster!D20</f>
        <v>Streetdance 8+</v>
      </c>
      <c r="E19" s="77">
        <v>3.0</v>
      </c>
      <c r="F19" s="327" t="str">
        <f>Rooster!E20</f>
        <v>Julia</v>
      </c>
      <c r="G19" s="319">
        <f>IFERROR(VLOOKUP(F19, Docenten!$A$2:$G$30, 7, FALSE), "0")</f>
        <v>15</v>
      </c>
      <c r="H19" s="320">
        <f t="shared" si="1"/>
        <v>15</v>
      </c>
      <c r="I19" s="327" t="str">
        <f>Rooster!H20</f>
        <v>Santpoort Noord</v>
      </c>
      <c r="J19" s="321">
        <f>IFERROR(VLOOKUP(I19, Locaties!$A$2:$G$15, 7, FALSE), "0")</f>
        <v>14.2</v>
      </c>
      <c r="K19" s="42">
        <f t="shared" si="2"/>
        <v>14.2</v>
      </c>
      <c r="L19" s="427">
        <f>November!L19</f>
        <v>6</v>
      </c>
      <c r="M19" s="428" t="str">
        <f>November!M19</f>
        <v>1x per week abbo</v>
      </c>
      <c r="N19" s="321">
        <f>IFERROR(VLOOKUP(M19, Tarieven!$A$1:$J$150, 10, FALSE), "0")</f>
        <v>31</v>
      </c>
      <c r="O19" s="429">
        <f>November!O19</f>
        <v>1</v>
      </c>
      <c r="P19" s="430" t="str">
        <f>November!P19</f>
        <v>Cheer regulier +1 abbo</v>
      </c>
      <c r="Q19" s="325">
        <f>IFERROR(VLOOKUP(P19, Tarieven!$A$2:$J$150, 10, FALSE), "0")</f>
        <v>32.25</v>
      </c>
      <c r="R19" s="444">
        <f>November!R19</f>
        <v>1</v>
      </c>
      <c r="S19" s="428" t="str">
        <f>November!S19</f>
        <v>Cheer regulier + onbeperkt abbo</v>
      </c>
      <c r="T19" s="325">
        <f>IFERROR(VLOOKUP(S19, Tarieven!$A$2:$J$150, 10, FALSE), "0")</f>
        <v>44.45</v>
      </c>
      <c r="U19" s="77" t="str">
        <f>November!U19</f>
        <v/>
      </c>
      <c r="V19" s="327" t="str">
        <f>November!V19</f>
        <v/>
      </c>
      <c r="W19" s="325" t="str">
        <f>IFERROR(VLOOKUP(V19, Tarieven!$A$2:$J$150, 10, FALSE), "0")</f>
        <v>0</v>
      </c>
      <c r="X19" s="138">
        <f>November!X19</f>
        <v>11</v>
      </c>
      <c r="Y19" s="398">
        <v>0.0</v>
      </c>
      <c r="Z19" s="329">
        <f t="shared" si="3"/>
        <v>19</v>
      </c>
      <c r="AA19" s="32">
        <f t="shared" si="4"/>
        <v>87.6</v>
      </c>
      <c r="AB19" s="32">
        <f t="shared" si="5"/>
        <v>262.7</v>
      </c>
      <c r="AC19" s="32">
        <f t="shared" si="6"/>
        <v>175.1</v>
      </c>
    </row>
    <row r="20" ht="22.5" customHeight="1">
      <c r="A20" s="331" t="str">
        <f>Rooster!A21</f>
        <v>Woensdag</v>
      </c>
      <c r="B20" s="396">
        <f>Rooster!B21</f>
        <v>0.6875</v>
      </c>
      <c r="C20" s="15">
        <f>Rooster!C21</f>
        <v>60</v>
      </c>
      <c r="D20" s="11" t="str">
        <f>Rooster!D21</f>
        <v>Modern 11+</v>
      </c>
      <c r="E20" s="77">
        <v>3.0</v>
      </c>
      <c r="F20" s="327" t="str">
        <f>Rooster!E21</f>
        <v>Julia</v>
      </c>
      <c r="G20" s="319">
        <f>IFERROR(VLOOKUP(F20, Docenten!$A$2:$G$30, 7, FALSE), "0")</f>
        <v>15</v>
      </c>
      <c r="H20" s="320">
        <f t="shared" si="1"/>
        <v>15</v>
      </c>
      <c r="I20" s="327" t="str">
        <f>Rooster!H21</f>
        <v>Santpoort Noord</v>
      </c>
      <c r="J20" s="321">
        <f>IFERROR(VLOOKUP(I20, Locaties!$A$2:$G$15, 7, FALSE), "0")</f>
        <v>14.2</v>
      </c>
      <c r="K20" s="42">
        <f t="shared" si="2"/>
        <v>14.2</v>
      </c>
      <c r="L20" s="427">
        <f>November!L20</f>
        <v>3</v>
      </c>
      <c r="M20" s="428" t="str">
        <f>November!M20</f>
        <v>1x per week abbo</v>
      </c>
      <c r="N20" s="321">
        <f>IFERROR(VLOOKUP(M20, Tarieven!$A$1:$J$150, 10, FALSE), "0")</f>
        <v>31</v>
      </c>
      <c r="O20" s="429">
        <f>November!O20</f>
        <v>1</v>
      </c>
      <c r="P20" s="430" t="str">
        <f>November!P20</f>
        <v>Cheer regulier +1 abbo</v>
      </c>
      <c r="Q20" s="325">
        <f>IFERROR(VLOOKUP(P20, Tarieven!$A$2:$J$150, 10, FALSE), "0")</f>
        <v>32.25</v>
      </c>
      <c r="R20" s="444">
        <f>November!R20</f>
        <v>1</v>
      </c>
      <c r="S20" s="428" t="str">
        <f>November!S20</f>
        <v>Cheer regulier + onbeperkt abbo</v>
      </c>
      <c r="T20" s="325">
        <f>IFERROR(VLOOKUP(S20, Tarieven!$A$2:$J$150, 10, FALSE), "0")</f>
        <v>44.45</v>
      </c>
      <c r="U20" s="77" t="str">
        <f>November!U20</f>
        <v/>
      </c>
      <c r="V20" s="327" t="str">
        <f>November!V20</f>
        <v/>
      </c>
      <c r="W20" s="325" t="str">
        <f>IFERROR(VLOOKUP(V20, Tarieven!$A$2:$J$150, 10, FALSE), "0")</f>
        <v>0</v>
      </c>
      <c r="X20" s="138">
        <f>November!X20</f>
        <v>9</v>
      </c>
      <c r="Y20" s="398">
        <v>0.0</v>
      </c>
      <c r="Z20" s="329">
        <f t="shared" si="3"/>
        <v>14</v>
      </c>
      <c r="AA20" s="32">
        <f t="shared" si="4"/>
        <v>87.6</v>
      </c>
      <c r="AB20" s="32">
        <f t="shared" si="5"/>
        <v>169.7</v>
      </c>
      <c r="AC20" s="32">
        <f t="shared" si="6"/>
        <v>82.1</v>
      </c>
    </row>
    <row r="21" ht="22.5" customHeight="1">
      <c r="A21" s="331" t="str">
        <f>Rooster!A22</f>
        <v>Woensdag</v>
      </c>
      <c r="B21" s="396">
        <f>Rooster!B22</f>
        <v>0.7291666667</v>
      </c>
      <c r="C21" s="15">
        <f>Rooster!C22</f>
        <v>60</v>
      </c>
      <c r="D21" s="11" t="str">
        <f>Rooster!D22</f>
        <v>Selectie Hiphop 11+</v>
      </c>
      <c r="E21" s="77">
        <v>3.0</v>
      </c>
      <c r="F21" s="327" t="str">
        <f>Rooster!E22</f>
        <v>Eigenaar</v>
      </c>
      <c r="G21" s="319">
        <f>IFERROR(VLOOKUP(F21, Docenten!$A$2:$G$30, 7, FALSE), "0")</f>
        <v>0</v>
      </c>
      <c r="H21" s="320">
        <f t="shared" si="1"/>
        <v>0</v>
      </c>
      <c r="I21" s="327" t="str">
        <f>Rooster!H22</f>
        <v>Santpoort Noord</v>
      </c>
      <c r="J21" s="321">
        <f>IFERROR(VLOOKUP(I21, Locaties!$A$2:$G$15, 7, FALSE), "0")</f>
        <v>14.2</v>
      </c>
      <c r="K21" s="42">
        <f t="shared" si="2"/>
        <v>14.2</v>
      </c>
      <c r="L21" s="427">
        <f>November!L21</f>
        <v>1</v>
      </c>
      <c r="M21" s="428" t="str">
        <f>November!M21</f>
        <v>1x per week abbo</v>
      </c>
      <c r="N21" s="321">
        <f>IFERROR(VLOOKUP(M21, Tarieven!$A$1:$J$150, 10, FALSE), "0")</f>
        <v>31</v>
      </c>
      <c r="O21" s="429">
        <f>November!O21</f>
        <v>3</v>
      </c>
      <c r="P21" s="430" t="str">
        <f>November!P21</f>
        <v>2x per week abbo</v>
      </c>
      <c r="Q21" s="325">
        <f>IFERROR(VLOOKUP(P21, Tarieven!$A$2:$J$150, 10, FALSE), "0")</f>
        <v>28.55</v>
      </c>
      <c r="R21" s="444">
        <f>November!R21</f>
        <v>1</v>
      </c>
      <c r="S21" s="428" t="str">
        <f>November!S21</f>
        <v>Cheer regulier +1 abbo</v>
      </c>
      <c r="T21" s="325">
        <f>IFERROR(VLOOKUP(S21, Tarieven!$A$2:$J$150, 10, FALSE), "0")</f>
        <v>32.25</v>
      </c>
      <c r="U21" s="77" t="str">
        <f>November!U21</f>
        <v/>
      </c>
      <c r="V21" s="327" t="str">
        <f>November!V21</f>
        <v/>
      </c>
      <c r="W21" s="325" t="str">
        <f>IFERROR(VLOOKUP(V21, Tarieven!$A$2:$J$150, 10, FALSE), "0")</f>
        <v>0</v>
      </c>
      <c r="X21" s="138">
        <f>November!X21</f>
        <v>11</v>
      </c>
      <c r="Y21" s="398">
        <v>0.0</v>
      </c>
      <c r="Z21" s="329">
        <f t="shared" si="3"/>
        <v>16</v>
      </c>
      <c r="AA21" s="32">
        <f t="shared" si="4"/>
        <v>42.6</v>
      </c>
      <c r="AB21" s="32">
        <f t="shared" si="5"/>
        <v>148.9</v>
      </c>
      <c r="AC21" s="32">
        <f t="shared" si="6"/>
        <v>106.3</v>
      </c>
    </row>
    <row r="22" ht="22.5" customHeight="1">
      <c r="A22" s="331" t="str">
        <f>Rooster!A23</f>
        <v>Woensdag</v>
      </c>
      <c r="B22" s="396">
        <f>Rooster!B23</f>
        <v>0.7708333333</v>
      </c>
      <c r="C22" s="15">
        <f>Rooster!C23</f>
        <v>60</v>
      </c>
      <c r="D22" s="11" t="str">
        <f>Rooster!D23</f>
        <v>Show 12+</v>
      </c>
      <c r="E22" s="77">
        <v>3.0</v>
      </c>
      <c r="F22" s="327" t="str">
        <f>Rooster!E23</f>
        <v>Eigenaar</v>
      </c>
      <c r="G22" s="319">
        <f>IFERROR(VLOOKUP(F22, Docenten!$A$2:$G$30, 7, FALSE), "0")</f>
        <v>0</v>
      </c>
      <c r="H22" s="320">
        <f t="shared" si="1"/>
        <v>0</v>
      </c>
      <c r="I22" s="327" t="str">
        <f>Rooster!H23</f>
        <v>Santpoort Noord</v>
      </c>
      <c r="J22" s="321">
        <f>IFERROR(VLOOKUP(I22, Locaties!$A$2:$G$15, 7, FALSE), "0")</f>
        <v>14.2</v>
      </c>
      <c r="K22" s="42">
        <f t="shared" si="2"/>
        <v>14.2</v>
      </c>
      <c r="L22" s="427">
        <f>November!L22</f>
        <v>1</v>
      </c>
      <c r="M22" s="428" t="str">
        <f>November!M22</f>
        <v>Cheer selectie +1 abbo</v>
      </c>
      <c r="N22" s="321">
        <f>IFERROR(VLOOKUP(M22, Tarieven!$A$1:$J$150, 10, FALSE), "0")</f>
        <v>34.25</v>
      </c>
      <c r="O22" s="429" t="str">
        <f>November!O22</f>
        <v/>
      </c>
      <c r="P22" s="430" t="str">
        <f>November!P22</f>
        <v/>
      </c>
      <c r="Q22" s="325" t="str">
        <f>IFERROR(VLOOKUP(P22, Tarieven!$A$2:$J$150, 10, FALSE), "0")</f>
        <v>0</v>
      </c>
      <c r="R22" s="444" t="str">
        <f>November!R22</f>
        <v/>
      </c>
      <c r="S22" s="428" t="str">
        <f>November!S22</f>
        <v/>
      </c>
      <c r="T22" s="325" t="str">
        <f>IFERROR(VLOOKUP(S22, Tarieven!$A$2:$J$150, 10, FALSE), "0")</f>
        <v>0</v>
      </c>
      <c r="U22" s="77" t="str">
        <f>November!U22</f>
        <v/>
      </c>
      <c r="V22" s="327" t="str">
        <f>November!V22</f>
        <v/>
      </c>
      <c r="W22" s="325" t="str">
        <f>IFERROR(VLOOKUP(V22, Tarieven!$A$2:$J$150, 10, FALSE), "0")</f>
        <v>0</v>
      </c>
      <c r="X22" s="138">
        <f>November!X22</f>
        <v>9</v>
      </c>
      <c r="Y22" s="398">
        <v>0.0</v>
      </c>
      <c r="Z22" s="329">
        <f t="shared" si="3"/>
        <v>10</v>
      </c>
      <c r="AA22" s="32">
        <f t="shared" si="4"/>
        <v>42.6</v>
      </c>
      <c r="AB22" s="32">
        <f t="shared" si="5"/>
        <v>34.25</v>
      </c>
      <c r="AC22" s="32">
        <f t="shared" si="6"/>
        <v>-8.35</v>
      </c>
    </row>
    <row r="23" ht="22.5" customHeight="1">
      <c r="A23" s="331" t="str">
        <f>Rooster!A24</f>
        <v/>
      </c>
      <c r="B23" s="396" t="str">
        <f>Rooster!B24</f>
        <v/>
      </c>
      <c r="C23" s="15" t="str">
        <f>Rooster!C24</f>
        <v/>
      </c>
      <c r="D23" s="11" t="str">
        <f>Rooster!D24</f>
        <v/>
      </c>
      <c r="E23" s="77">
        <v>3.0</v>
      </c>
      <c r="F23" s="327" t="str">
        <f>Rooster!E24</f>
        <v/>
      </c>
      <c r="G23" s="319" t="str">
        <f>IFERROR(VLOOKUP(F23, Docenten!$A$2:$G$30, 7, FALSE), "0")</f>
        <v>0</v>
      </c>
      <c r="H23" s="320">
        <f t="shared" si="1"/>
        <v>0</v>
      </c>
      <c r="I23" s="327" t="str">
        <f>Rooster!H24</f>
        <v/>
      </c>
      <c r="J23" s="321" t="str">
        <f>IFERROR(VLOOKUP(I23, Locaties!$A$2:$G$15, 7, FALSE), "0")</f>
        <v>0</v>
      </c>
      <c r="K23" s="42">
        <f t="shared" si="2"/>
        <v>0</v>
      </c>
      <c r="L23" s="427"/>
      <c r="M23" s="428" t="str">
        <f>November!M23</f>
        <v/>
      </c>
      <c r="N23" s="321" t="str">
        <f>IFERROR(VLOOKUP(M23, Tarieven!$A$1:$J$150, 10, FALSE), "0")</f>
        <v>0</v>
      </c>
      <c r="O23" s="429" t="str">
        <f>November!O23</f>
        <v/>
      </c>
      <c r="P23" s="430" t="str">
        <f>November!P23</f>
        <v/>
      </c>
      <c r="Q23" s="325" t="str">
        <f>IFERROR(VLOOKUP(P23, Tarieven!$A$2:$J$150, 10, FALSE), "0")</f>
        <v>0</v>
      </c>
      <c r="R23" s="444" t="str">
        <f>November!R23</f>
        <v/>
      </c>
      <c r="S23" s="428" t="str">
        <f>November!S23</f>
        <v/>
      </c>
      <c r="T23" s="325" t="str">
        <f>IFERROR(VLOOKUP(S23, Tarieven!$A$2:$J$150, 10, FALSE), "0")</f>
        <v>0</v>
      </c>
      <c r="U23" s="77" t="str">
        <f>November!U23</f>
        <v/>
      </c>
      <c r="V23" s="327" t="str">
        <f>November!V23</f>
        <v/>
      </c>
      <c r="W23" s="325" t="str">
        <f>IFERROR(VLOOKUP(V23, Tarieven!$A$2:$J$150, 10, FALSE), "0")</f>
        <v>0</v>
      </c>
      <c r="X23" s="138">
        <f>November!X23</f>
        <v>0</v>
      </c>
      <c r="Y23" s="398">
        <v>0.0</v>
      </c>
      <c r="Z23" s="329">
        <f t="shared" si="3"/>
        <v>0</v>
      </c>
      <c r="AA23" s="32">
        <f t="shared" si="4"/>
        <v>0</v>
      </c>
      <c r="AB23" s="32">
        <f t="shared" si="5"/>
        <v>0</v>
      </c>
      <c r="AC23" s="32">
        <f t="shared" si="6"/>
        <v>0</v>
      </c>
    </row>
    <row r="24" ht="22.5" customHeight="1">
      <c r="A24" s="331" t="str">
        <f>Rooster!A25</f>
        <v>Donderdag</v>
      </c>
      <c r="B24" s="396">
        <f>Rooster!B25</f>
        <v>0.6458333333</v>
      </c>
      <c r="C24" s="15">
        <f>Rooster!C25</f>
        <v>60</v>
      </c>
      <c r="D24" s="11" t="str">
        <f>Rooster!D25</f>
        <v>Showdance 6+</v>
      </c>
      <c r="E24" s="77">
        <v>3.0</v>
      </c>
      <c r="F24" s="327" t="str">
        <f>Rooster!E25</f>
        <v>Eigenaar</v>
      </c>
      <c r="G24" s="319">
        <f>IFERROR(VLOOKUP(F24, Docenten!$A$2:$G$30, 7, FALSE), "0")</f>
        <v>0</v>
      </c>
      <c r="H24" s="320">
        <f t="shared" si="1"/>
        <v>0</v>
      </c>
      <c r="I24" s="327" t="str">
        <f>Rooster!H25</f>
        <v>Santpoort Zuid</v>
      </c>
      <c r="J24" s="321">
        <f>IFERROR(VLOOKUP(I24, Locaties!$A$2:$G$15, 7, FALSE), "0")</f>
        <v>18.9</v>
      </c>
      <c r="K24" s="42">
        <f t="shared" si="2"/>
        <v>18.9</v>
      </c>
      <c r="L24" s="427">
        <f>November!L24</f>
        <v>5</v>
      </c>
      <c r="M24" s="428" t="str">
        <f>November!M24</f>
        <v>1x per week abbo</v>
      </c>
      <c r="N24" s="321">
        <f>IFERROR(VLOOKUP(M24, Tarieven!$A$1:$J$150, 10, FALSE), "0")</f>
        <v>31</v>
      </c>
      <c r="O24" s="429">
        <f>November!O24</f>
        <v>3</v>
      </c>
      <c r="P24" s="430" t="str">
        <f>November!P24</f>
        <v>2x per week abbo</v>
      </c>
      <c r="Q24" s="325">
        <f>IFERROR(VLOOKUP(P24, Tarieven!$A$2:$J$150, 10, FALSE), "0")</f>
        <v>28.55</v>
      </c>
      <c r="R24" s="444" t="str">
        <f>November!R24</f>
        <v/>
      </c>
      <c r="S24" s="428" t="str">
        <f>November!S24</f>
        <v/>
      </c>
      <c r="T24" s="325" t="str">
        <f>IFERROR(VLOOKUP(S24, Tarieven!$A$2:$J$150, 10, FALSE), "0")</f>
        <v>0</v>
      </c>
      <c r="U24" s="77" t="str">
        <f>November!U24</f>
        <v/>
      </c>
      <c r="V24" s="327" t="str">
        <f>November!V24</f>
        <v/>
      </c>
      <c r="W24" s="325" t="str">
        <f>IFERROR(VLOOKUP(V24, Tarieven!$A$2:$J$150, 10, FALSE), "0")</f>
        <v>0</v>
      </c>
      <c r="X24" s="138">
        <f>November!X24</f>
        <v>4</v>
      </c>
      <c r="Y24" s="398">
        <v>0.0</v>
      </c>
      <c r="Z24" s="329">
        <f t="shared" si="3"/>
        <v>12</v>
      </c>
      <c r="AA24" s="32">
        <f t="shared" si="4"/>
        <v>56.7</v>
      </c>
      <c r="AB24" s="32">
        <f t="shared" si="5"/>
        <v>240.65</v>
      </c>
      <c r="AC24" s="32">
        <f t="shared" si="6"/>
        <v>183.95</v>
      </c>
    </row>
    <row r="25" ht="22.5" customHeight="1">
      <c r="A25" s="331" t="str">
        <f>Rooster!A26</f>
        <v>Donderdag</v>
      </c>
      <c r="B25" s="396">
        <f>Rooster!B26</f>
        <v>0.6875</v>
      </c>
      <c r="C25" s="15">
        <f>Rooster!C26</f>
        <v>60</v>
      </c>
      <c r="D25" s="11" t="str">
        <f>Rooster!D26</f>
        <v>Showdance 8+</v>
      </c>
      <c r="E25" s="77">
        <v>3.0</v>
      </c>
      <c r="F25" s="327" t="str">
        <f>Rooster!E26</f>
        <v>Eigenaar</v>
      </c>
      <c r="G25" s="319">
        <f>IFERROR(VLOOKUP(F25, Docenten!$A$2:$G$30, 7, FALSE), "0")</f>
        <v>0</v>
      </c>
      <c r="H25" s="320">
        <f t="shared" si="1"/>
        <v>0</v>
      </c>
      <c r="I25" s="327" t="str">
        <f>Rooster!H26</f>
        <v>Santpoort Zuid</v>
      </c>
      <c r="J25" s="321">
        <f>IFERROR(VLOOKUP(I25, Locaties!$A$2:$G$15, 7, FALSE), "0")</f>
        <v>18.9</v>
      </c>
      <c r="K25" s="42">
        <f t="shared" si="2"/>
        <v>18.9</v>
      </c>
      <c r="L25" s="427">
        <f>November!L25</f>
        <v>4</v>
      </c>
      <c r="M25" s="428" t="str">
        <f>November!M25</f>
        <v>1x per week abbo</v>
      </c>
      <c r="N25" s="321">
        <f>IFERROR(VLOOKUP(M25, Tarieven!$A$1:$J$150, 10, FALSE), "0")</f>
        <v>31</v>
      </c>
      <c r="O25" s="429">
        <f>November!O25</f>
        <v>3</v>
      </c>
      <c r="P25" s="430" t="str">
        <f>November!P25</f>
        <v>2x per week abbo</v>
      </c>
      <c r="Q25" s="325">
        <f>IFERROR(VLOOKUP(P25, Tarieven!$A$2:$J$150, 10, FALSE), "0")</f>
        <v>28.55</v>
      </c>
      <c r="R25" s="444" t="str">
        <f>November!R25</f>
        <v/>
      </c>
      <c r="S25" s="428" t="str">
        <f>November!S25</f>
        <v/>
      </c>
      <c r="T25" s="325" t="str">
        <f>IFERROR(VLOOKUP(S25, Tarieven!$A$2:$J$150, 10, FALSE), "0")</f>
        <v>0</v>
      </c>
      <c r="U25" s="77" t="str">
        <f>November!U25</f>
        <v/>
      </c>
      <c r="V25" s="327" t="str">
        <f>November!V25</f>
        <v/>
      </c>
      <c r="W25" s="325" t="str">
        <f>IFERROR(VLOOKUP(V25, Tarieven!$A$2:$J$150, 10, FALSE), "0")</f>
        <v>0</v>
      </c>
      <c r="X25" s="138">
        <f>November!X25</f>
        <v>4</v>
      </c>
      <c r="Y25" s="398">
        <v>0.0</v>
      </c>
      <c r="Z25" s="329">
        <f t="shared" si="3"/>
        <v>11</v>
      </c>
      <c r="AA25" s="32">
        <f t="shared" si="4"/>
        <v>56.7</v>
      </c>
      <c r="AB25" s="32">
        <f t="shared" si="5"/>
        <v>209.65</v>
      </c>
      <c r="AC25" s="32">
        <f t="shared" si="6"/>
        <v>152.95</v>
      </c>
    </row>
    <row r="26" ht="22.5" customHeight="1">
      <c r="A26" s="331" t="str">
        <f>Rooster!A27</f>
        <v>Donderdag</v>
      </c>
      <c r="B26" s="396">
        <f>Rooster!B27</f>
        <v>0.7291666667</v>
      </c>
      <c r="C26" s="15">
        <f>Rooster!C27</f>
        <v>60</v>
      </c>
      <c r="D26" s="11" t="str">
        <f>Rooster!D27</f>
        <v>Modern 14+</v>
      </c>
      <c r="E26" s="77">
        <v>3.0</v>
      </c>
      <c r="F26" s="327" t="str">
        <f>Rooster!E27</f>
        <v>Eigenaar</v>
      </c>
      <c r="G26" s="319">
        <f>IFERROR(VLOOKUP(F26, Docenten!$A$2:$G$30, 7, FALSE), "0")</f>
        <v>0</v>
      </c>
      <c r="H26" s="320">
        <f t="shared" si="1"/>
        <v>0</v>
      </c>
      <c r="I26" s="327" t="str">
        <f>Rooster!H27</f>
        <v>Santpoort Zuid</v>
      </c>
      <c r="J26" s="321">
        <f>IFERROR(VLOOKUP(I26, Locaties!$A$2:$G$15, 7, FALSE), "0")</f>
        <v>18.9</v>
      </c>
      <c r="K26" s="42">
        <f t="shared" si="2"/>
        <v>18.9</v>
      </c>
      <c r="L26" s="427">
        <f>November!L26</f>
        <v>3</v>
      </c>
      <c r="M26" s="428" t="str">
        <f>November!M26</f>
        <v>3x per week abbo</v>
      </c>
      <c r="N26" s="321">
        <f>IFERROR(VLOOKUP(M26, Tarieven!$A$1:$J$150, 10, FALSE), "0")</f>
        <v>28.93333333</v>
      </c>
      <c r="O26" s="429">
        <f>November!O26</f>
        <v>1</v>
      </c>
      <c r="P26" s="430" t="str">
        <f>November!P26</f>
        <v>2x per week abbo</v>
      </c>
      <c r="Q26" s="325">
        <f>IFERROR(VLOOKUP(P26, Tarieven!$A$2:$J$150, 10, FALSE), "0")</f>
        <v>28.55</v>
      </c>
      <c r="R26" s="444">
        <f>November!R26</f>
        <v>2</v>
      </c>
      <c r="S26" s="428" t="str">
        <f>November!S26</f>
        <v>Cheer selectie +2 abbo</v>
      </c>
      <c r="T26" s="325">
        <f>IFERROR(VLOOKUP(S26, Tarieven!$A$2:$J$150, 10, FALSE), "0")</f>
        <v>31.53333333</v>
      </c>
      <c r="U26" s="77" t="str">
        <f>November!U26</f>
        <v/>
      </c>
      <c r="V26" s="327" t="str">
        <f>November!V26</f>
        <v/>
      </c>
      <c r="W26" s="325" t="str">
        <f>IFERROR(VLOOKUP(V26, Tarieven!$A$2:$J$150, 10, FALSE), "0")</f>
        <v>0</v>
      </c>
      <c r="X26" s="138">
        <f>November!X26</f>
        <v>7</v>
      </c>
      <c r="Y26" s="398">
        <v>0.0</v>
      </c>
      <c r="Z26" s="329">
        <f t="shared" si="3"/>
        <v>13</v>
      </c>
      <c r="AA26" s="32">
        <f t="shared" si="4"/>
        <v>56.7</v>
      </c>
      <c r="AB26" s="32">
        <f t="shared" si="5"/>
        <v>178.4166667</v>
      </c>
      <c r="AC26" s="32">
        <f t="shared" si="6"/>
        <v>121.7166667</v>
      </c>
    </row>
    <row r="27" ht="22.5" customHeight="1">
      <c r="A27" s="331" t="str">
        <f>Rooster!A28</f>
        <v>Donderdag</v>
      </c>
      <c r="B27" s="396">
        <f>Rooster!B28</f>
        <v>0.7708333333</v>
      </c>
      <c r="C27" s="15">
        <f>Rooster!C28</f>
        <v>60</v>
      </c>
      <c r="D27" s="11" t="str">
        <f>Rooster!D28</f>
        <v>Commercial 14+</v>
      </c>
      <c r="E27" s="77">
        <v>3.0</v>
      </c>
      <c r="F27" s="327" t="str">
        <f>Rooster!E28</f>
        <v>Nova</v>
      </c>
      <c r="G27" s="319">
        <f>IFERROR(VLOOKUP(F27, Docenten!$A$2:$G$30, 7, FALSE), "0")</f>
        <v>22.5</v>
      </c>
      <c r="H27" s="320">
        <f t="shared" si="1"/>
        <v>22.5</v>
      </c>
      <c r="I27" s="327" t="str">
        <f>Rooster!H28</f>
        <v>Santpoort Zuid</v>
      </c>
      <c r="J27" s="321">
        <f>IFERROR(VLOOKUP(I27, Locaties!$A$2:$G$15, 7, FALSE), "0")</f>
        <v>18.9</v>
      </c>
      <c r="K27" s="42">
        <f t="shared" si="2"/>
        <v>18.9</v>
      </c>
      <c r="L27" s="427">
        <f>November!L27</f>
        <v>4</v>
      </c>
      <c r="M27" s="428" t="str">
        <f>November!M27</f>
        <v>3x per week abbo</v>
      </c>
      <c r="N27" s="321">
        <f>IFERROR(VLOOKUP(M27, Tarieven!$A$1:$J$150, 10, FALSE), "0")</f>
        <v>28.93333333</v>
      </c>
      <c r="O27" s="429">
        <f>November!O27</f>
        <v>2</v>
      </c>
      <c r="P27" s="430" t="str">
        <f>November!P27</f>
        <v>2x per week abbo</v>
      </c>
      <c r="Q27" s="325">
        <f>IFERROR(VLOOKUP(P27, Tarieven!$A$2:$J$150, 10, FALSE), "0")</f>
        <v>28.55</v>
      </c>
      <c r="R27" s="444">
        <f>November!R27</f>
        <v>2</v>
      </c>
      <c r="S27" s="428" t="str">
        <f>November!S27</f>
        <v>Cheer selectie +2 abbo</v>
      </c>
      <c r="T27" s="325">
        <f>IFERROR(VLOOKUP(S27, Tarieven!$A$2:$J$150, 10, FALSE), "0")</f>
        <v>31.53333333</v>
      </c>
      <c r="U27" s="77">
        <f>November!U27</f>
        <v>1</v>
      </c>
      <c r="V27" s="327" t="str">
        <f>November!V27</f>
        <v>1x per week abbo</v>
      </c>
      <c r="W27" s="325">
        <f>IFERROR(VLOOKUP(V27, Tarieven!$A$2:$J$150, 10, FALSE), "0")</f>
        <v>31</v>
      </c>
      <c r="X27" s="138">
        <f>November!X27</f>
        <v>10</v>
      </c>
      <c r="Y27" s="398">
        <v>0.0</v>
      </c>
      <c r="Z27" s="329">
        <f t="shared" si="3"/>
        <v>19</v>
      </c>
      <c r="AA27" s="32">
        <f t="shared" si="4"/>
        <v>124.2</v>
      </c>
      <c r="AB27" s="32">
        <f t="shared" si="5"/>
        <v>266.9</v>
      </c>
      <c r="AC27" s="32">
        <f t="shared" si="6"/>
        <v>142.7</v>
      </c>
    </row>
    <row r="28" ht="22.5" customHeight="1">
      <c r="A28" s="331" t="str">
        <f>Rooster!A29</f>
        <v>Donderdag</v>
      </c>
      <c r="B28" s="396">
        <f>Rooster!B29</f>
        <v>0.8125</v>
      </c>
      <c r="C28" s="15">
        <f>Rooster!C29</f>
        <v>60</v>
      </c>
      <c r="D28" s="11" t="str">
        <f>Rooster!D29</f>
        <v>Selectie Hiphop 16+</v>
      </c>
      <c r="E28" s="77">
        <v>3.0</v>
      </c>
      <c r="F28" s="327" t="str">
        <f>Rooster!E29</f>
        <v>Nova</v>
      </c>
      <c r="G28" s="319">
        <f>IFERROR(VLOOKUP(F28, Docenten!$A$2:$G$30, 7, FALSE), "0")</f>
        <v>22.5</v>
      </c>
      <c r="H28" s="320">
        <f t="shared" si="1"/>
        <v>22.5</v>
      </c>
      <c r="I28" s="327" t="str">
        <f>Rooster!H29</f>
        <v>Santpoort Zuid</v>
      </c>
      <c r="J28" s="321">
        <f>IFERROR(VLOOKUP(I28, Locaties!$A$2:$G$15, 7, FALSE), "0")</f>
        <v>18.9</v>
      </c>
      <c r="K28" s="42">
        <f t="shared" si="2"/>
        <v>18.9</v>
      </c>
      <c r="L28" s="427">
        <f>November!L28</f>
        <v>2</v>
      </c>
      <c r="M28" s="428" t="str">
        <f>November!M28</f>
        <v>Cheer selectie +2 abbo</v>
      </c>
      <c r="N28" s="321">
        <f>IFERROR(VLOOKUP(M28, Tarieven!$A$1:$J$150, 10, FALSE), "0")</f>
        <v>31.53333333</v>
      </c>
      <c r="O28" s="429">
        <f>November!O28</f>
        <v>3</v>
      </c>
      <c r="P28" s="430" t="str">
        <f>November!P28</f>
        <v>3x per week abbo</v>
      </c>
      <c r="Q28" s="325">
        <f>IFERROR(VLOOKUP(P28, Tarieven!$A$2:$J$150, 10, FALSE), "0")</f>
        <v>28.93333333</v>
      </c>
      <c r="R28" s="444">
        <f>November!R28</f>
        <v>2</v>
      </c>
      <c r="S28" s="428" t="str">
        <f>November!S28</f>
        <v>2x per week abbo</v>
      </c>
      <c r="T28" s="325">
        <f>IFERROR(VLOOKUP(S28, Tarieven!$A$2:$J$150, 10, FALSE), "0")</f>
        <v>28.55</v>
      </c>
      <c r="U28" s="77" t="str">
        <f>November!U28</f>
        <v/>
      </c>
      <c r="V28" s="327" t="str">
        <f>November!V28</f>
        <v/>
      </c>
      <c r="W28" s="325" t="str">
        <f>IFERROR(VLOOKUP(V28, Tarieven!$A$2:$J$150, 10, FALSE), "0")</f>
        <v>0</v>
      </c>
      <c r="X28" s="138">
        <f>November!X28</f>
        <v>8</v>
      </c>
      <c r="Y28" s="398">
        <v>0.0</v>
      </c>
      <c r="Z28" s="329">
        <f t="shared" si="3"/>
        <v>15</v>
      </c>
      <c r="AA28" s="32">
        <f t="shared" si="4"/>
        <v>124.2</v>
      </c>
      <c r="AB28" s="32">
        <f t="shared" si="5"/>
        <v>206.9666667</v>
      </c>
      <c r="AC28" s="32">
        <f t="shared" si="6"/>
        <v>82.76666667</v>
      </c>
    </row>
    <row r="29" ht="22.5" customHeight="1">
      <c r="A29" s="331" t="str">
        <f>Rooster!A30</f>
        <v>Donderdag</v>
      </c>
      <c r="B29" s="396">
        <f>Rooster!B30</f>
        <v>0.8541666667</v>
      </c>
      <c r="C29" s="15">
        <f>Rooster!C30</f>
        <v>60</v>
      </c>
      <c r="D29" s="11" t="str">
        <f>Rooster!D30</f>
        <v>Modern 16+</v>
      </c>
      <c r="E29" s="77">
        <v>3.0</v>
      </c>
      <c r="F29" s="327" t="str">
        <f>Rooster!E30</f>
        <v>Nova</v>
      </c>
      <c r="G29" s="319">
        <f>IFERROR(VLOOKUP(F29, Docenten!$A$2:$G$30, 7, FALSE), "0")</f>
        <v>22.5</v>
      </c>
      <c r="H29" s="320">
        <f t="shared" si="1"/>
        <v>22.5</v>
      </c>
      <c r="I29" s="327" t="str">
        <f>Rooster!H30</f>
        <v>Santpoort Zuid</v>
      </c>
      <c r="J29" s="321">
        <f>IFERROR(VLOOKUP(I29, Locaties!$A$2:$G$15, 7, FALSE), "0")</f>
        <v>18.9</v>
      </c>
      <c r="K29" s="42">
        <f t="shared" si="2"/>
        <v>18.9</v>
      </c>
      <c r="L29" s="427">
        <f>November!L29</f>
        <v>1</v>
      </c>
      <c r="M29" s="428" t="str">
        <f>November!M29</f>
        <v>1x per week abbo</v>
      </c>
      <c r="N29" s="321">
        <f>IFERROR(VLOOKUP(M29, Tarieven!$A$1:$J$150, 10, FALSE), "0")</f>
        <v>31</v>
      </c>
      <c r="O29" s="429">
        <f>November!O29</f>
        <v>1</v>
      </c>
      <c r="P29" s="430" t="str">
        <f>November!P29</f>
        <v>3x per week abbo</v>
      </c>
      <c r="Q29" s="325">
        <f>IFERROR(VLOOKUP(P29, Tarieven!$A$2:$J$150, 10, FALSE), "0")</f>
        <v>28.93333333</v>
      </c>
      <c r="R29" s="444" t="str">
        <f>November!R29</f>
        <v/>
      </c>
      <c r="S29" s="428" t="str">
        <f>November!S29</f>
        <v/>
      </c>
      <c r="T29" s="325" t="str">
        <f>IFERROR(VLOOKUP(S29, Tarieven!$A$2:$J$150, 10, FALSE), "0")</f>
        <v>0</v>
      </c>
      <c r="U29" s="77" t="str">
        <f>November!U29</f>
        <v/>
      </c>
      <c r="V29" s="327" t="str">
        <f>November!V29</f>
        <v/>
      </c>
      <c r="W29" s="325" t="str">
        <f>IFERROR(VLOOKUP(V29, Tarieven!$A$2:$J$150, 10, FALSE), "0")</f>
        <v>0</v>
      </c>
      <c r="X29" s="138">
        <f>November!X29</f>
        <v>5</v>
      </c>
      <c r="Y29" s="398">
        <v>0.0</v>
      </c>
      <c r="Z29" s="329">
        <f t="shared" si="3"/>
        <v>7</v>
      </c>
      <c r="AA29" s="32">
        <f t="shared" si="4"/>
        <v>124.2</v>
      </c>
      <c r="AB29" s="32">
        <f t="shared" si="5"/>
        <v>59.93333333</v>
      </c>
      <c r="AC29" s="32">
        <f t="shared" si="6"/>
        <v>-64.26666667</v>
      </c>
    </row>
    <row r="30" ht="22.5" customHeight="1">
      <c r="A30" s="331" t="str">
        <f>Rooster!A31</f>
        <v>Vrijdag</v>
      </c>
      <c r="B30" s="396">
        <f>Rooster!B31</f>
        <v>0.625</v>
      </c>
      <c r="C30" s="15">
        <f>Rooster!C31</f>
        <v>60</v>
      </c>
      <c r="D30" s="11" t="str">
        <f>Rooster!D31</f>
        <v>Selectie Hiphop 8+</v>
      </c>
      <c r="E30" s="77">
        <v>3.0</v>
      </c>
      <c r="F30" s="327" t="str">
        <f>Rooster!E31</f>
        <v>Eigenaar</v>
      </c>
      <c r="G30" s="319">
        <f>IFERROR(VLOOKUP(F30, Docenten!$A$2:$G$30, 7, FALSE), "0")</f>
        <v>0</v>
      </c>
      <c r="H30" s="320">
        <f t="shared" si="1"/>
        <v>0</v>
      </c>
      <c r="I30" s="327" t="str">
        <f>Rooster!H31</f>
        <v>Santpoort Zuid</v>
      </c>
      <c r="J30" s="321">
        <f>IFERROR(VLOOKUP(I30, Locaties!$A$2:$G$15, 7, FALSE), "0")</f>
        <v>18.9</v>
      </c>
      <c r="K30" s="42">
        <f t="shared" si="2"/>
        <v>18.9</v>
      </c>
      <c r="L30" s="427">
        <f>November!L30</f>
        <v>5</v>
      </c>
      <c r="M30" s="428" t="str">
        <f>November!M30</f>
        <v>2x per week abbo</v>
      </c>
      <c r="N30" s="321">
        <f>IFERROR(VLOOKUP(M30, Tarieven!$A$1:$J$150, 10, FALSE), "0")</f>
        <v>28.55</v>
      </c>
      <c r="O30" s="429">
        <f>November!O30</f>
        <v>3</v>
      </c>
      <c r="P30" s="430" t="str">
        <f>November!P30</f>
        <v>Cheer regulier + onbeperkt abbo</v>
      </c>
      <c r="Q30" s="325">
        <f>IFERROR(VLOOKUP(P30, Tarieven!$A$2:$J$150, 10, FALSE), "0")</f>
        <v>44.45</v>
      </c>
      <c r="R30" s="444">
        <f>November!R30</f>
        <v>1</v>
      </c>
      <c r="S30" s="428" t="str">
        <f>November!S30</f>
        <v>Cheer regulier +2 abbo</v>
      </c>
      <c r="T30" s="325">
        <f>IFERROR(VLOOKUP(S30, Tarieven!$A$2:$J$150, 10, FALSE), "0")</f>
        <v>29.03333333</v>
      </c>
      <c r="U30" s="77" t="str">
        <f>November!U30</f>
        <v/>
      </c>
      <c r="V30" s="327" t="str">
        <f>November!V30</f>
        <v/>
      </c>
      <c r="W30" s="325" t="str">
        <f>IFERROR(VLOOKUP(V30, Tarieven!$A$2:$J$150, 10, FALSE), "0")</f>
        <v>0</v>
      </c>
      <c r="X30" s="138">
        <f>November!X30</f>
        <v>4</v>
      </c>
      <c r="Y30" s="398">
        <v>0.0</v>
      </c>
      <c r="Z30" s="329">
        <f t="shared" si="3"/>
        <v>13</v>
      </c>
      <c r="AA30" s="32">
        <f t="shared" si="4"/>
        <v>56.7</v>
      </c>
      <c r="AB30" s="32">
        <f t="shared" si="5"/>
        <v>305.1333333</v>
      </c>
      <c r="AC30" s="32">
        <f t="shared" si="6"/>
        <v>248.4333333</v>
      </c>
    </row>
    <row r="31" ht="22.5" customHeight="1">
      <c r="A31" s="331" t="str">
        <f>Rooster!A32</f>
        <v>Vrijdag</v>
      </c>
      <c r="B31" s="396">
        <f>Rooster!B32</f>
        <v>0.6666666667</v>
      </c>
      <c r="C31" s="15">
        <f>Rooster!C32</f>
        <v>60</v>
      </c>
      <c r="D31" s="11" t="str">
        <f>Rooster!D32</f>
        <v>Cheer 8+</v>
      </c>
      <c r="E31" s="77">
        <v>3.0</v>
      </c>
      <c r="F31" s="327" t="str">
        <f>Rooster!E32</f>
        <v>Eigenaar</v>
      </c>
      <c r="G31" s="319">
        <f>IFERROR(VLOOKUP(F31, Docenten!$A$2:$G$30, 7, FALSE), "0")</f>
        <v>0</v>
      </c>
      <c r="H31" s="320">
        <f t="shared" si="1"/>
        <v>0</v>
      </c>
      <c r="I31" s="327" t="str">
        <f>Rooster!H32</f>
        <v>Santpoort Zuid</v>
      </c>
      <c r="J31" s="321">
        <f>IFERROR(VLOOKUP(I31, Locaties!$A$2:$G$15, 7, FALSE), "0")</f>
        <v>18.9</v>
      </c>
      <c r="K31" s="42">
        <f t="shared" si="2"/>
        <v>18.9</v>
      </c>
      <c r="L31" s="427">
        <f>November!L31</f>
        <v>3</v>
      </c>
      <c r="M31" s="428" t="str">
        <f>November!M31</f>
        <v>Cheer regulier + onbeperkt abbo</v>
      </c>
      <c r="N31" s="321">
        <f>IFERROR(VLOOKUP(M31, Tarieven!$A$1:$J$150, 10, FALSE), "0")</f>
        <v>44.45</v>
      </c>
      <c r="O31" s="429">
        <f>November!O31</f>
        <v>4</v>
      </c>
      <c r="P31" s="430" t="str">
        <f>November!P31</f>
        <v>Cheer regulier +1 abbo</v>
      </c>
      <c r="Q31" s="325">
        <f>IFERROR(VLOOKUP(P31, Tarieven!$A$2:$J$150, 10, FALSE), "0")</f>
        <v>32.25</v>
      </c>
      <c r="R31" s="444" t="str">
        <f>November!R31</f>
        <v/>
      </c>
      <c r="S31" s="428" t="str">
        <f>November!S31</f>
        <v/>
      </c>
      <c r="T31" s="325" t="str">
        <f>IFERROR(VLOOKUP(S31, Tarieven!$A$2:$J$150, 10, FALSE), "0")</f>
        <v>0</v>
      </c>
      <c r="U31" s="77"/>
      <c r="V31" s="327"/>
      <c r="W31" s="325" t="str">
        <f>IFERROR(VLOOKUP(V31, Tarieven!$A$2:$J$150, 10, FALSE), "0")</f>
        <v>0</v>
      </c>
      <c r="X31" s="138">
        <f>November!X31</f>
        <v>11</v>
      </c>
      <c r="Y31" s="398">
        <v>0.0</v>
      </c>
      <c r="Z31" s="329">
        <f t="shared" si="3"/>
        <v>18</v>
      </c>
      <c r="AA31" s="32">
        <f t="shared" si="4"/>
        <v>56.7</v>
      </c>
      <c r="AB31" s="32">
        <f t="shared" si="5"/>
        <v>262.35</v>
      </c>
      <c r="AC31" s="32">
        <f t="shared" si="6"/>
        <v>205.65</v>
      </c>
    </row>
    <row r="32" ht="22.5" customHeight="1">
      <c r="A32" s="331" t="str">
        <f>Rooster!A33</f>
        <v>Vrijdag</v>
      </c>
      <c r="B32" s="396">
        <f>Rooster!B33</f>
        <v>0.7083333333</v>
      </c>
      <c r="C32" s="15">
        <f>Rooster!C33</f>
        <v>60</v>
      </c>
      <c r="D32" s="11" t="str">
        <f>Rooster!D33</f>
        <v>Cheer 12+</v>
      </c>
      <c r="E32" s="77">
        <v>3.0</v>
      </c>
      <c r="F32" s="327" t="str">
        <f>Rooster!E33</f>
        <v>Eigenaar</v>
      </c>
      <c r="G32" s="319">
        <f>IFERROR(VLOOKUP(F32, Docenten!$A$2:$G$30, 7, FALSE), "0")</f>
        <v>0</v>
      </c>
      <c r="H32" s="320">
        <f t="shared" si="1"/>
        <v>0</v>
      </c>
      <c r="I32" s="327" t="str">
        <f>Rooster!H33</f>
        <v>Santpoort Zuid</v>
      </c>
      <c r="J32" s="321">
        <f>IFERROR(VLOOKUP(I32, Locaties!$A$2:$G$15, 7, FALSE), "0")</f>
        <v>18.9</v>
      </c>
      <c r="K32" s="42">
        <f t="shared" si="2"/>
        <v>18.9</v>
      </c>
      <c r="L32" s="427">
        <f>November!L32</f>
        <v>4</v>
      </c>
      <c r="M32" s="428" t="str">
        <f>November!M32</f>
        <v>Cheer regulier +1 abbo</v>
      </c>
      <c r="N32" s="321">
        <f>IFERROR(VLOOKUP(M32, Tarieven!$A$1:$J$150, 10, FALSE), "0")</f>
        <v>32.25</v>
      </c>
      <c r="O32" s="429">
        <f>November!O32</f>
        <v>3</v>
      </c>
      <c r="P32" s="430" t="str">
        <f>November!P32</f>
        <v>Cheer regulier + onbeperkt abbo</v>
      </c>
      <c r="Q32" s="325">
        <f>IFERROR(VLOOKUP(P32, Tarieven!$A$2:$J$150, 10, FALSE), "0")</f>
        <v>44.45</v>
      </c>
      <c r="R32" s="453">
        <v>1.0</v>
      </c>
      <c r="S32" s="439" t="s">
        <v>82</v>
      </c>
      <c r="T32" s="325"/>
      <c r="U32" s="77" t="str">
        <f>November!U32</f>
        <v/>
      </c>
      <c r="V32" s="327" t="str">
        <f>November!V32</f>
        <v/>
      </c>
      <c r="W32" s="325" t="str">
        <f>IFERROR(VLOOKUP(V32, Tarieven!$A$2:$J$150, 10, FALSE), "0")</f>
        <v>0</v>
      </c>
      <c r="X32" s="138">
        <f>November!X32</f>
        <v>5</v>
      </c>
      <c r="Y32" s="398">
        <v>0.0</v>
      </c>
      <c r="Z32" s="329">
        <f t="shared" si="3"/>
        <v>13</v>
      </c>
      <c r="AA32" s="32">
        <f t="shared" si="4"/>
        <v>56.7</v>
      </c>
      <c r="AB32" s="32">
        <f t="shared" si="5"/>
        <v>262.35</v>
      </c>
      <c r="AC32" s="32">
        <f t="shared" si="6"/>
        <v>205.65</v>
      </c>
    </row>
    <row r="33" ht="22.5" customHeight="1">
      <c r="A33" s="331" t="str">
        <f>Rooster!A34</f>
        <v>Vrijdag</v>
      </c>
      <c r="B33" s="396">
        <f>Rooster!B34</f>
        <v>0.75</v>
      </c>
      <c r="C33" s="15">
        <f>Rooster!C34</f>
        <v>60</v>
      </c>
      <c r="D33" s="11" t="str">
        <f>Rooster!D34</f>
        <v>Urban-pop-Show 11+</v>
      </c>
      <c r="E33" s="77">
        <v>3.0</v>
      </c>
      <c r="F33" s="327" t="str">
        <f>Rooster!E34</f>
        <v>Eigenaar</v>
      </c>
      <c r="G33" s="319">
        <f>IFERROR(VLOOKUP(F33, Docenten!$A$2:$G$30, 7, FALSE), "0")</f>
        <v>0</v>
      </c>
      <c r="H33" s="320">
        <f t="shared" si="1"/>
        <v>0</v>
      </c>
      <c r="I33" s="327" t="str">
        <f>Rooster!H34</f>
        <v>Santpoort Noord</v>
      </c>
      <c r="J33" s="321">
        <f>IFERROR(VLOOKUP(I33, Locaties!$A$2:$G$15, 7, FALSE), "0")</f>
        <v>14.2</v>
      </c>
      <c r="K33" s="42">
        <f t="shared" si="2"/>
        <v>14.2</v>
      </c>
      <c r="L33" s="427">
        <f>November!L33</f>
        <v>2</v>
      </c>
      <c r="M33" s="428" t="str">
        <f>November!M33</f>
        <v>Cheer regulier +1 abbo</v>
      </c>
      <c r="N33" s="321">
        <f>IFERROR(VLOOKUP(M33, Tarieven!$A$1:$J$150, 10, FALSE), "0")</f>
        <v>32.25</v>
      </c>
      <c r="O33" s="429" t="str">
        <f>November!O33</f>
        <v/>
      </c>
      <c r="P33" s="430" t="str">
        <f>November!P33</f>
        <v/>
      </c>
      <c r="Q33" s="325"/>
      <c r="R33" s="444" t="str">
        <f>November!R33</f>
        <v/>
      </c>
      <c r="S33" s="428" t="str">
        <f>November!S33</f>
        <v/>
      </c>
      <c r="T33" s="325" t="str">
        <f>IFERROR(VLOOKUP(S33, Tarieven!$A$2:$J$150, 10, FALSE), "0")</f>
        <v>0</v>
      </c>
      <c r="U33" s="77" t="str">
        <f>November!U33</f>
        <v/>
      </c>
      <c r="V33" s="327" t="str">
        <f>November!V33</f>
        <v/>
      </c>
      <c r="W33" s="325" t="str">
        <f>IFERROR(VLOOKUP(V33, Tarieven!$A$2:$J$150, 10, FALSE), "0")</f>
        <v>0</v>
      </c>
      <c r="X33" s="138">
        <f>November!X33</f>
        <v>8</v>
      </c>
      <c r="Y33" s="398">
        <v>0.0</v>
      </c>
      <c r="Z33" s="329">
        <f t="shared" si="3"/>
        <v>10</v>
      </c>
      <c r="AA33" s="32">
        <f t="shared" si="4"/>
        <v>42.6</v>
      </c>
      <c r="AB33" s="32">
        <f t="shared" si="5"/>
        <v>64.5</v>
      </c>
      <c r="AC33" s="32">
        <f t="shared" si="6"/>
        <v>21.9</v>
      </c>
    </row>
    <row r="34" ht="22.5" customHeight="1">
      <c r="A34" s="331" t="str">
        <f>Rooster!A35</f>
        <v>Zaterdag</v>
      </c>
      <c r="B34" s="396">
        <f>Rooster!B35</f>
        <v>0.375</v>
      </c>
      <c r="C34" s="15">
        <f>Rooster!C35</f>
        <v>60</v>
      </c>
      <c r="D34" s="11" t="str">
        <f>Rooster!D35</f>
        <v>Peuters</v>
      </c>
      <c r="E34" s="77">
        <v>2.0</v>
      </c>
      <c r="F34" s="327" t="str">
        <f>Rooster!E35</f>
        <v>Frederique</v>
      </c>
      <c r="G34" s="319">
        <f>IFERROR(VLOOKUP(F34, Docenten!$A$2:$G$30, 7, FALSE), "0")</f>
        <v>12.5</v>
      </c>
      <c r="H34" s="320">
        <f t="shared" si="1"/>
        <v>12.5</v>
      </c>
      <c r="I34" s="327" t="str">
        <f>Rooster!H35</f>
        <v>Santpoort Noord</v>
      </c>
      <c r="J34" s="321">
        <f>IFERROR(VLOOKUP(I34, Locaties!$A$2:$G$15, 7, FALSE), "0")</f>
        <v>14.2</v>
      </c>
      <c r="K34" s="42">
        <f t="shared" si="2"/>
        <v>14.2</v>
      </c>
      <c r="L34" s="427">
        <f>November!L34</f>
        <v>9</v>
      </c>
      <c r="M34" s="428" t="str">
        <f>November!M34</f>
        <v>1x per week abbo</v>
      </c>
      <c r="N34" s="321">
        <f>IFERROR(VLOOKUP(M34, Tarieven!$A$1:$J$150, 10, FALSE), "0")</f>
        <v>31</v>
      </c>
      <c r="O34" s="429">
        <f>November!O34</f>
        <v>1</v>
      </c>
      <c r="P34" s="430" t="str">
        <f>November!P34</f>
        <v/>
      </c>
      <c r="Q34" s="325" t="str">
        <f>IFERROR(VLOOKUP(P34, Tarieven!$A$2:$J$150, 10, FALSE), "0")</f>
        <v>0</v>
      </c>
      <c r="R34" s="444" t="str">
        <f>November!R34</f>
        <v/>
      </c>
      <c r="S34" s="428" t="str">
        <f>November!S34</f>
        <v/>
      </c>
      <c r="T34" s="325" t="str">
        <f>IFERROR(VLOOKUP(S34, Tarieven!$A$2:$J$150, 10, FALSE), "0")</f>
        <v>0</v>
      </c>
      <c r="U34" s="77" t="str">
        <f>November!U34</f>
        <v/>
      </c>
      <c r="V34" s="327" t="str">
        <f>November!V34</f>
        <v/>
      </c>
      <c r="W34" s="325" t="str">
        <f>IFERROR(VLOOKUP(V34, Tarieven!$A$2:$J$150, 10, FALSE), "0")</f>
        <v>0</v>
      </c>
      <c r="X34" s="138">
        <f>November!X34</f>
        <v>4</v>
      </c>
      <c r="Y34" s="398">
        <v>0.0</v>
      </c>
      <c r="Z34" s="329">
        <f t="shared" si="3"/>
        <v>14</v>
      </c>
      <c r="AA34" s="32">
        <f t="shared" si="4"/>
        <v>53.4</v>
      </c>
      <c r="AB34" s="32">
        <f t="shared" si="5"/>
        <v>279</v>
      </c>
      <c r="AC34" s="32">
        <f t="shared" si="6"/>
        <v>225.6</v>
      </c>
    </row>
    <row r="35" ht="22.5" customHeight="1">
      <c r="A35" s="331" t="str">
        <f>Rooster!A36</f>
        <v>Zaterdag</v>
      </c>
      <c r="B35" s="396">
        <f>Rooster!B36</f>
        <v>0.40625</v>
      </c>
      <c r="C35" s="15">
        <f>Rooster!C36</f>
        <v>60</v>
      </c>
      <c r="D35" s="11" t="str">
        <f>Rooster!D36</f>
        <v>Kleuters</v>
      </c>
      <c r="E35" s="77">
        <v>2.0</v>
      </c>
      <c r="F35" s="327" t="str">
        <f>Rooster!E36</f>
        <v>Frederique</v>
      </c>
      <c r="G35" s="319">
        <f>IFERROR(VLOOKUP(F35, Docenten!$A$2:$G$30, 7, FALSE), "0")</f>
        <v>12.5</v>
      </c>
      <c r="H35" s="320">
        <f t="shared" si="1"/>
        <v>12.5</v>
      </c>
      <c r="I35" s="327" t="str">
        <f>Rooster!H36</f>
        <v>Santpoort Noord</v>
      </c>
      <c r="J35" s="321">
        <f>IFERROR(VLOOKUP(I35, Locaties!$A$2:$G$15, 7, FALSE), "0")</f>
        <v>14.2</v>
      </c>
      <c r="K35" s="42">
        <f t="shared" si="2"/>
        <v>14.2</v>
      </c>
      <c r="L35" s="427">
        <f>November!L35</f>
        <v>10</v>
      </c>
      <c r="M35" s="428" t="str">
        <f>November!M35</f>
        <v>1x per week abbo</v>
      </c>
      <c r="N35" s="321">
        <f>IFERROR(VLOOKUP(M35, Tarieven!$A$1:$J$150, 10, FALSE), "0")</f>
        <v>31</v>
      </c>
      <c r="O35" s="429" t="str">
        <f>November!O35</f>
        <v/>
      </c>
      <c r="P35" s="430" t="str">
        <f>November!P35</f>
        <v/>
      </c>
      <c r="Q35" s="325"/>
      <c r="R35" s="444" t="str">
        <f>November!R35</f>
        <v/>
      </c>
      <c r="S35" s="428" t="str">
        <f>November!S35</f>
        <v/>
      </c>
      <c r="T35" s="325" t="str">
        <f>IFERROR(VLOOKUP(S35, Tarieven!$A$2:$J$150, 10, FALSE), "0")</f>
        <v>0</v>
      </c>
      <c r="U35" s="77" t="str">
        <f>November!U35</f>
        <v/>
      </c>
      <c r="V35" s="327" t="str">
        <f>November!V35</f>
        <v/>
      </c>
      <c r="W35" s="325" t="str">
        <f>IFERROR(VLOOKUP(V35, Tarieven!$A$2:$J$150, 10, FALSE), "0")</f>
        <v>0</v>
      </c>
      <c r="X35" s="138">
        <f>November!X35</f>
        <v>5</v>
      </c>
      <c r="Y35" s="398">
        <v>0.0</v>
      </c>
      <c r="Z35" s="329">
        <f t="shared" si="3"/>
        <v>15</v>
      </c>
      <c r="AA35" s="32">
        <f t="shared" si="4"/>
        <v>53.4</v>
      </c>
      <c r="AB35" s="32">
        <f t="shared" si="5"/>
        <v>310</v>
      </c>
      <c r="AC35" s="32">
        <f t="shared" si="6"/>
        <v>256.6</v>
      </c>
    </row>
    <row r="36" ht="22.5" customHeight="1">
      <c r="A36" s="331" t="str">
        <f>Rooster!A37</f>
        <v>Zaterdag</v>
      </c>
      <c r="B36" s="396">
        <f>Rooster!B37</f>
        <v>0.4375</v>
      </c>
      <c r="C36" s="15">
        <f>Rooster!C37</f>
        <v>60</v>
      </c>
      <c r="D36" s="11" t="str">
        <f>Rooster!D37</f>
        <v>Showdance 5-6</v>
      </c>
      <c r="E36" s="77">
        <v>2.0</v>
      </c>
      <c r="F36" s="327" t="str">
        <f>Rooster!E37</f>
        <v>Frederique</v>
      </c>
      <c r="G36" s="319">
        <f>IFERROR(VLOOKUP(F36, Docenten!$A$2:$G$30, 7, FALSE), "0")</f>
        <v>12.5</v>
      </c>
      <c r="H36" s="320">
        <f t="shared" si="1"/>
        <v>12.5</v>
      </c>
      <c r="I36" s="327" t="str">
        <f>Rooster!H37</f>
        <v>Santpoort Noord</v>
      </c>
      <c r="J36" s="321">
        <f>IFERROR(VLOOKUP(I36, Locaties!$A$2:$G$15, 7, FALSE), "0")</f>
        <v>14.2</v>
      </c>
      <c r="K36" s="42">
        <f t="shared" si="2"/>
        <v>14.2</v>
      </c>
      <c r="L36" s="427">
        <f>November!L36</f>
        <v>1</v>
      </c>
      <c r="M36" s="428" t="str">
        <f>November!M36</f>
        <v>1x per week abbo</v>
      </c>
      <c r="N36" s="321">
        <f>IFERROR(VLOOKUP(M36, Tarieven!$A$1:$J$150, 10, FALSE), "0")</f>
        <v>31</v>
      </c>
      <c r="O36" s="429"/>
      <c r="P36" s="430"/>
      <c r="Q36" s="325" t="str">
        <f>IFERROR(VLOOKUP(P36, Tarieven!$A$2:$J$150, 10, FALSE), "0")</f>
        <v>0</v>
      </c>
      <c r="R36" s="444" t="str">
        <f>November!R36</f>
        <v/>
      </c>
      <c r="S36" s="428" t="str">
        <f>November!S36</f>
        <v/>
      </c>
      <c r="T36" s="325" t="str">
        <f>IFERROR(VLOOKUP(S36, Tarieven!$A$2:$J$150, 10, FALSE), "0")</f>
        <v>0</v>
      </c>
      <c r="U36" s="77" t="str">
        <f>November!U36</f>
        <v/>
      </c>
      <c r="V36" s="327" t="str">
        <f>November!V36</f>
        <v/>
      </c>
      <c r="W36" s="325" t="str">
        <f>IFERROR(VLOOKUP(V36, Tarieven!$A$2:$J$150, 10, FALSE), "0")</f>
        <v>0</v>
      </c>
      <c r="X36" s="138">
        <f>November!X36</f>
        <v>9</v>
      </c>
      <c r="Y36" s="398">
        <v>0.0</v>
      </c>
      <c r="Z36" s="329">
        <f t="shared" si="3"/>
        <v>10</v>
      </c>
      <c r="AA36" s="32">
        <f t="shared" si="4"/>
        <v>53.4</v>
      </c>
      <c r="AB36" s="32">
        <f t="shared" si="5"/>
        <v>31</v>
      </c>
      <c r="AC36" s="32">
        <f t="shared" si="6"/>
        <v>-22.4</v>
      </c>
    </row>
    <row r="37" ht="22.5" customHeight="1">
      <c r="A37" s="331" t="str">
        <f>Rooster!A38</f>
        <v>Zaterdag</v>
      </c>
      <c r="B37" s="396">
        <f>Rooster!B38</f>
        <v>0.4791666667</v>
      </c>
      <c r="C37" s="15">
        <f>Rooster!C38</f>
        <v>60</v>
      </c>
      <c r="D37" s="11" t="str">
        <f>Rooster!D38</f>
        <v>Showdance 7+</v>
      </c>
      <c r="E37" s="77">
        <v>2.0</v>
      </c>
      <c r="F37" s="327" t="str">
        <f>Rooster!E38</f>
        <v>Frederique</v>
      </c>
      <c r="G37" s="319">
        <f>IFERROR(VLOOKUP(F37, Docenten!$A$2:$G$30, 7, FALSE), "0")</f>
        <v>12.5</v>
      </c>
      <c r="H37" s="320">
        <f t="shared" si="1"/>
        <v>12.5</v>
      </c>
      <c r="I37" s="327" t="str">
        <f>Rooster!H38</f>
        <v>Santpoort Noord</v>
      </c>
      <c r="J37" s="321">
        <f>IFERROR(VLOOKUP(I37, Locaties!$A$2:$G$15, 7, FALSE), "0")</f>
        <v>14.2</v>
      </c>
      <c r="K37" s="42">
        <f t="shared" si="2"/>
        <v>14.2</v>
      </c>
      <c r="L37" s="427">
        <f>November!L37</f>
        <v>5</v>
      </c>
      <c r="M37" s="428" t="str">
        <f>November!M37</f>
        <v>1x per week abbo</v>
      </c>
      <c r="N37" s="321">
        <f>IFERROR(VLOOKUP(M37, Tarieven!$A$1:$J$150, 10, FALSE), "0")</f>
        <v>31</v>
      </c>
      <c r="O37" s="429">
        <f>November!O37</f>
        <v>1</v>
      </c>
      <c r="P37" s="430" t="str">
        <f>November!P37</f>
        <v>2x per week abbo</v>
      </c>
      <c r="Q37" s="325">
        <f>IFERROR(VLOOKUP(P37, Tarieven!$A$2:$J$150, 10, FALSE), "0")</f>
        <v>28.55</v>
      </c>
      <c r="R37" s="444" t="str">
        <f>November!R37</f>
        <v/>
      </c>
      <c r="S37" s="428" t="str">
        <f>November!S37</f>
        <v/>
      </c>
      <c r="T37" s="325" t="str">
        <f>IFERROR(VLOOKUP(S37, Tarieven!$A$2:$J$150, 10, FALSE), "0")</f>
        <v>0</v>
      </c>
      <c r="U37" s="77" t="str">
        <f>November!U37</f>
        <v/>
      </c>
      <c r="V37" s="327" t="str">
        <f>November!V37</f>
        <v/>
      </c>
      <c r="W37" s="325" t="str">
        <f>IFERROR(VLOOKUP(V37, Tarieven!$A$2:$J$150, 10, FALSE), "0")</f>
        <v>0</v>
      </c>
      <c r="X37" s="138">
        <f>November!X37</f>
        <v>4</v>
      </c>
      <c r="Y37" s="398">
        <v>0.0</v>
      </c>
      <c r="Z37" s="329">
        <f t="shared" si="3"/>
        <v>10</v>
      </c>
      <c r="AA37" s="32">
        <f t="shared" si="4"/>
        <v>53.4</v>
      </c>
      <c r="AB37" s="32">
        <f t="shared" si="5"/>
        <v>183.55</v>
      </c>
      <c r="AC37" s="32">
        <f t="shared" si="6"/>
        <v>130.15</v>
      </c>
    </row>
    <row r="38" ht="22.5" customHeight="1">
      <c r="A38" s="331" t="str">
        <f>Rooster!A39</f>
        <v>Zaterdag</v>
      </c>
      <c r="B38" s="396">
        <f>Rooster!B39</f>
        <v>0.4166666667</v>
      </c>
      <c r="C38" s="15">
        <f>Rooster!C39</f>
        <v>60</v>
      </c>
      <c r="D38" s="11" t="str">
        <f>Rooster!D39</f>
        <v>Peuters</v>
      </c>
      <c r="E38" s="77">
        <v>0.0</v>
      </c>
      <c r="F38" s="327" t="str">
        <f>Rooster!E39</f>
        <v>Tess</v>
      </c>
      <c r="G38" s="319">
        <f>IFERROR(VLOOKUP(F38, Docenten!$A$2:$G$30, 7, FALSE), "0")</f>
        <v>17.5</v>
      </c>
      <c r="H38" s="320">
        <f t="shared" si="1"/>
        <v>17.5</v>
      </c>
      <c r="I38" s="327" t="str">
        <f>Rooster!H39</f>
        <v>Santpoort Zuid</v>
      </c>
      <c r="J38" s="321">
        <f>IFERROR(VLOOKUP(I38, Locaties!$A$2:$G$15, 7, FALSE), "0")</f>
        <v>18.9</v>
      </c>
      <c r="K38" s="42">
        <f t="shared" si="2"/>
        <v>18.9</v>
      </c>
      <c r="L38" s="427"/>
      <c r="M38" s="428"/>
      <c r="N38" s="321" t="str">
        <f>IFERROR(VLOOKUP(M38, Tarieven!$A$1:$J$150, 10, FALSE), "0")</f>
        <v>0</v>
      </c>
      <c r="O38" s="429" t="str">
        <f>November!O38</f>
        <v/>
      </c>
      <c r="P38" s="430" t="str">
        <f>November!P38</f>
        <v/>
      </c>
      <c r="Q38" s="325" t="str">
        <f>IFERROR(VLOOKUP(P38, Tarieven!$A$2:$J$150, 10, FALSE), "0")</f>
        <v>0</v>
      </c>
      <c r="R38" s="444" t="str">
        <f>November!R38</f>
        <v/>
      </c>
      <c r="S38" s="428" t="str">
        <f>November!S38</f>
        <v/>
      </c>
      <c r="T38" s="325" t="str">
        <f>IFERROR(VLOOKUP(S38, Tarieven!$A$2:$J$150, 10, FALSE), "0")</f>
        <v>0</v>
      </c>
      <c r="U38" s="77" t="str">
        <f>November!U38</f>
        <v/>
      </c>
      <c r="V38" s="327" t="str">
        <f>November!V38</f>
        <v/>
      </c>
      <c r="W38" s="325" t="str">
        <f>IFERROR(VLOOKUP(V38, Tarieven!$A$2:$J$150, 10, FALSE), "0")</f>
        <v>0</v>
      </c>
      <c r="X38" s="138">
        <f>November!X38</f>
        <v>0</v>
      </c>
      <c r="Y38" s="398">
        <v>0.0</v>
      </c>
      <c r="Z38" s="329">
        <f t="shared" si="3"/>
        <v>0</v>
      </c>
      <c r="AA38" s="32">
        <f t="shared" si="4"/>
        <v>0</v>
      </c>
      <c r="AB38" s="32">
        <f t="shared" si="5"/>
        <v>0</v>
      </c>
      <c r="AC38" s="32">
        <f t="shared" si="6"/>
        <v>0</v>
      </c>
    </row>
    <row r="39" ht="22.5" customHeight="1">
      <c r="A39" s="331" t="str">
        <f>Rooster!A40</f>
        <v>Zaterdag</v>
      </c>
      <c r="B39" s="396">
        <f>Rooster!B40</f>
        <v>0.4479166667</v>
      </c>
      <c r="C39" s="15">
        <f>Rooster!C40</f>
        <v>60</v>
      </c>
      <c r="D39" s="11" t="str">
        <f>Rooster!D40</f>
        <v>Kleuters</v>
      </c>
      <c r="E39" s="77">
        <v>0.0</v>
      </c>
      <c r="F39" s="327" t="str">
        <f>Rooster!E40</f>
        <v>Tess</v>
      </c>
      <c r="G39" s="319">
        <f>IFERROR(VLOOKUP(F39, Docenten!$A$2:$G$30, 7, FALSE), "0")</f>
        <v>17.5</v>
      </c>
      <c r="H39" s="320">
        <f t="shared" si="1"/>
        <v>17.5</v>
      </c>
      <c r="I39" s="327" t="str">
        <f>Rooster!H40</f>
        <v>Santpoort Zuid</v>
      </c>
      <c r="J39" s="321">
        <f>IFERROR(VLOOKUP(I39, Locaties!$A$2:$G$15, 7, FALSE), "0")</f>
        <v>18.9</v>
      </c>
      <c r="K39" s="42">
        <f t="shared" si="2"/>
        <v>18.9</v>
      </c>
      <c r="L39" s="427"/>
      <c r="M39" s="428"/>
      <c r="N39" s="321" t="str">
        <f>IFERROR(VLOOKUP(M39, Tarieven!$A$1:$J$150, 10, FALSE), "0")</f>
        <v>0</v>
      </c>
      <c r="O39" s="429">
        <f>November!O39</f>
        <v>2</v>
      </c>
      <c r="P39" s="430" t="str">
        <f>November!P39</f>
        <v>1x per week abbo</v>
      </c>
      <c r="Q39" s="325">
        <f>IFERROR(VLOOKUP(P39, Tarieven!$A$2:$J$150, 10, FALSE), "0")</f>
        <v>31</v>
      </c>
      <c r="R39" s="444" t="str">
        <f>November!R39</f>
        <v/>
      </c>
      <c r="S39" s="428" t="str">
        <f>November!S39</f>
        <v/>
      </c>
      <c r="T39" s="325" t="str">
        <f>IFERROR(VLOOKUP(S39, Tarieven!$A$2:$J$150, 10, FALSE), "0")</f>
        <v>0</v>
      </c>
      <c r="U39" s="77" t="str">
        <f>November!U39</f>
        <v/>
      </c>
      <c r="V39" s="327" t="str">
        <f>November!V39</f>
        <v/>
      </c>
      <c r="W39" s="325" t="str">
        <f>IFERROR(VLOOKUP(V39, Tarieven!$A$2:$J$150, 10, FALSE), "0")</f>
        <v>0</v>
      </c>
      <c r="X39" s="138">
        <f>November!X39</f>
        <v>0</v>
      </c>
      <c r="Y39" s="398">
        <v>0.0</v>
      </c>
      <c r="Z39" s="329">
        <f t="shared" si="3"/>
        <v>2</v>
      </c>
      <c r="AA39" s="32">
        <f t="shared" si="4"/>
        <v>0</v>
      </c>
      <c r="AB39" s="32">
        <f t="shared" si="5"/>
        <v>62</v>
      </c>
      <c r="AC39" s="32">
        <f t="shared" si="6"/>
        <v>62</v>
      </c>
    </row>
    <row r="40" ht="22.5" customHeight="1">
      <c r="A40" s="331" t="str">
        <f>Rooster!A41</f>
        <v/>
      </c>
      <c r="B40" s="396" t="str">
        <f>Rooster!B41</f>
        <v/>
      </c>
      <c r="C40" s="15" t="str">
        <f>Rooster!C41</f>
        <v/>
      </c>
      <c r="D40" s="11" t="str">
        <f>Rooster!D41</f>
        <v/>
      </c>
      <c r="E40" s="77"/>
      <c r="F40" s="327" t="str">
        <f>Rooster!E41</f>
        <v/>
      </c>
      <c r="G40" s="319" t="str">
        <f>IFERROR(VLOOKUP(F40, Docenten!$A$2:$G$30, 7, FALSE), "0")</f>
        <v>0</v>
      </c>
      <c r="H40" s="320">
        <f t="shared" si="1"/>
        <v>0</v>
      </c>
      <c r="I40" s="327" t="str">
        <f>Rooster!H41</f>
        <v/>
      </c>
      <c r="J40" s="321" t="str">
        <f>IFERROR(VLOOKUP(I40, Locaties!$A$2:$G$15, 7, FALSE), "0")</f>
        <v>0</v>
      </c>
      <c r="K40" s="42">
        <f t="shared" si="2"/>
        <v>0</v>
      </c>
      <c r="L40" s="427"/>
      <c r="M40" s="428"/>
      <c r="N40" s="321" t="str">
        <f>IFERROR(VLOOKUP(M40, Tarieven!$A$1:$J$150, 10, FALSE), "0")</f>
        <v>0</v>
      </c>
      <c r="O40" s="429" t="str">
        <f>November!O40</f>
        <v/>
      </c>
      <c r="P40" s="430" t="str">
        <f>November!P40</f>
        <v/>
      </c>
      <c r="Q40" s="325" t="str">
        <f>IFERROR(VLOOKUP(P40, Tarieven!$A$2:$J$150, 10, FALSE), "0")</f>
        <v>0</v>
      </c>
      <c r="R40" s="444" t="str">
        <f>November!R40</f>
        <v/>
      </c>
      <c r="S40" s="428" t="str">
        <f>November!S40</f>
        <v/>
      </c>
      <c r="T40" s="325" t="str">
        <f>IFERROR(VLOOKUP(S40, Tarieven!$A$2:$J$150, 10, FALSE), "0")</f>
        <v>0</v>
      </c>
      <c r="U40" s="77" t="str">
        <f>November!U40</f>
        <v/>
      </c>
      <c r="V40" s="327" t="str">
        <f>November!V40</f>
        <v/>
      </c>
      <c r="W40" s="325" t="str">
        <f>IFERROR(VLOOKUP(V40, Tarieven!$A$2:$J$150, 10, FALSE), "0")</f>
        <v>0</v>
      </c>
      <c r="X40" s="138">
        <f>November!X39</f>
        <v>0</v>
      </c>
      <c r="Y40" s="398">
        <v>0.0</v>
      </c>
      <c r="Z40" s="329">
        <f t="shared" si="3"/>
        <v>0</v>
      </c>
      <c r="AA40" s="32">
        <f t="shared" si="4"/>
        <v>0</v>
      </c>
      <c r="AB40" s="32">
        <f t="shared" si="5"/>
        <v>0</v>
      </c>
      <c r="AC40" s="32">
        <f t="shared" si="6"/>
        <v>0</v>
      </c>
    </row>
    <row r="41" ht="22.5" customHeight="1">
      <c r="A41" s="331" t="str">
        <f>Rooster!A42</f>
        <v/>
      </c>
      <c r="B41" s="396" t="str">
        <f>Rooster!B42</f>
        <v/>
      </c>
      <c r="C41" s="15" t="str">
        <f>Rooster!C42</f>
        <v/>
      </c>
      <c r="D41" s="11" t="str">
        <f>Rooster!D42</f>
        <v/>
      </c>
      <c r="E41" s="77"/>
      <c r="F41" s="327" t="str">
        <f>Rooster!E42</f>
        <v/>
      </c>
      <c r="G41" s="319" t="str">
        <f>IFERROR(VLOOKUP(F41, Docenten!$A$2:$G$30, 7, FALSE), "0")</f>
        <v>0</v>
      </c>
      <c r="H41" s="320">
        <f t="shared" si="1"/>
        <v>0</v>
      </c>
      <c r="I41" s="327" t="str">
        <f>Rooster!H42</f>
        <v/>
      </c>
      <c r="J41" s="321" t="str">
        <f>IFERROR(VLOOKUP(I41, Locaties!$A$2:$G$15, 7, FALSE), "0")</f>
        <v>0</v>
      </c>
      <c r="K41" s="42">
        <f t="shared" si="2"/>
        <v>0</v>
      </c>
      <c r="L41" s="427" t="str">
        <f>November!L40</f>
        <v/>
      </c>
      <c r="M41" s="428" t="str">
        <f>November!M40</f>
        <v/>
      </c>
      <c r="N41" s="321" t="str">
        <f>IFERROR(VLOOKUP(M41, Tarieven!$A$1:$J$150, 10, FALSE), "0")</f>
        <v>0</v>
      </c>
      <c r="O41" s="429" t="str">
        <f>November!O41</f>
        <v/>
      </c>
      <c r="P41" s="430" t="str">
        <f>November!P41</f>
        <v/>
      </c>
      <c r="Q41" s="325" t="str">
        <f>IFERROR(VLOOKUP(P41, Tarieven!$A$2:$J$150, 10, FALSE), "0")</f>
        <v>0</v>
      </c>
      <c r="R41" s="444" t="str">
        <f>November!R41</f>
        <v/>
      </c>
      <c r="S41" s="428" t="str">
        <f>November!S41</f>
        <v/>
      </c>
      <c r="T41" s="325" t="str">
        <f>IFERROR(VLOOKUP(S41, Tarieven!$A$2:$J$150, 10, FALSE), "0")</f>
        <v>0</v>
      </c>
      <c r="U41" s="77" t="str">
        <f>November!U40</f>
        <v/>
      </c>
      <c r="V41" s="327" t="str">
        <f>November!V40</f>
        <v/>
      </c>
      <c r="W41" s="325" t="str">
        <f>IFERROR(VLOOKUP(V41, Tarieven!$A$2:$J$150, 10, FALSE), "0")</f>
        <v>0</v>
      </c>
      <c r="X41" s="138">
        <f>November!X40</f>
        <v>0</v>
      </c>
      <c r="Y41" s="398">
        <v>0.0</v>
      </c>
      <c r="Z41" s="329">
        <f t="shared" si="3"/>
        <v>0</v>
      </c>
      <c r="AA41" s="32">
        <f t="shared" si="4"/>
        <v>0</v>
      </c>
      <c r="AB41" s="32">
        <f t="shared" si="5"/>
        <v>0</v>
      </c>
      <c r="AC41" s="32">
        <f t="shared" si="6"/>
        <v>0</v>
      </c>
    </row>
    <row r="42" ht="22.5" customHeight="1">
      <c r="A42" s="331" t="str">
        <f>Rooster!A43</f>
        <v>Maandag</v>
      </c>
      <c r="B42" s="396">
        <f>Rooster!B43</f>
        <v>0.3958333333</v>
      </c>
      <c r="C42" s="15">
        <f>Rooster!C43</f>
        <v>60</v>
      </c>
      <c r="D42" s="11" t="str">
        <f>Rooster!D43</f>
        <v>Kinderopvang</v>
      </c>
      <c r="E42" s="77">
        <v>4.0</v>
      </c>
      <c r="F42" s="327" t="str">
        <f>Rooster!E43</f>
        <v>Opvang T</v>
      </c>
      <c r="G42" s="319">
        <f>IFERROR(VLOOKUP(F42, Docenten!$A$2:$G$30, 7, FALSE), "0")</f>
        <v>45</v>
      </c>
      <c r="H42" s="320">
        <f t="shared" si="1"/>
        <v>45</v>
      </c>
      <c r="I42" s="327" t="str">
        <f>Rooster!H43</f>
        <v/>
      </c>
      <c r="J42" s="321" t="str">
        <f>IFERROR(VLOOKUP(I42, Locaties!$A$2:$G$15, 7, FALSE), "0")</f>
        <v>0</v>
      </c>
      <c r="K42" s="42">
        <f t="shared" si="2"/>
        <v>0</v>
      </c>
      <c r="L42" s="427">
        <f>November!L41</f>
        <v>1</v>
      </c>
      <c r="M42" s="428" t="str">
        <f>November!M41</f>
        <v>Aangepast tarief</v>
      </c>
      <c r="N42" s="442">
        <v>320.0</v>
      </c>
      <c r="O42" s="429" t="str">
        <f>November!O42</f>
        <v/>
      </c>
      <c r="P42" s="430" t="str">
        <f>November!P42</f>
        <v/>
      </c>
      <c r="Q42" s="325" t="str">
        <f>IFERROR(VLOOKUP(P42, Tarieven!$A$2:$J$150, 10, FALSE), "0")</f>
        <v>0</v>
      </c>
      <c r="R42" s="444" t="str">
        <f>November!R42</f>
        <v/>
      </c>
      <c r="S42" s="428" t="str">
        <f>November!S41</f>
        <v/>
      </c>
      <c r="T42" s="325" t="str">
        <f>IFERROR(VLOOKUP(S42, Tarieven!$A$2:$J$150, 10, FALSE), "0")</f>
        <v>0</v>
      </c>
      <c r="U42" s="77" t="str">
        <f>November!U41</f>
        <v/>
      </c>
      <c r="V42" s="327" t="str">
        <f>November!V41</f>
        <v/>
      </c>
      <c r="W42" s="325" t="str">
        <f>IFERROR(VLOOKUP(V42, Tarieven!$A$2:$J$150, 10, FALSE), "0")</f>
        <v>0</v>
      </c>
      <c r="X42" s="138">
        <f>November!X41</f>
        <v>0</v>
      </c>
      <c r="Y42" s="398">
        <v>0.0</v>
      </c>
      <c r="Z42" s="329">
        <f t="shared" si="3"/>
        <v>1</v>
      </c>
      <c r="AA42" s="32">
        <f t="shared" si="4"/>
        <v>180</v>
      </c>
      <c r="AB42" s="32">
        <f t="shared" si="5"/>
        <v>320</v>
      </c>
      <c r="AC42" s="32">
        <f t="shared" si="6"/>
        <v>140</v>
      </c>
    </row>
    <row r="43" ht="22.5" customHeight="1">
      <c r="A43" s="331" t="str">
        <f>Rooster!A44</f>
        <v>Vrijdag</v>
      </c>
      <c r="B43" s="396">
        <f>Rooster!B44</f>
        <v>0.7916666667</v>
      </c>
      <c r="C43" s="15">
        <v>60.0</v>
      </c>
      <c r="D43" s="11" t="str">
        <f>Rooster!D44</f>
        <v>Prive training</v>
      </c>
      <c r="E43" s="77"/>
      <c r="F43" s="327"/>
      <c r="G43" s="319"/>
      <c r="H43" s="320"/>
      <c r="I43" s="70"/>
      <c r="J43" s="321" t="str">
        <f>IFERROR(VLOOKUP(I43, Locaties!$A$2:$G$15, 7, FALSE), "0")</f>
        <v>0</v>
      </c>
      <c r="K43" s="42">
        <f t="shared" si="2"/>
        <v>0</v>
      </c>
      <c r="L43" s="427" t="str">
        <f>November!L42</f>
        <v/>
      </c>
      <c r="M43" s="428" t="str">
        <f>November!M42</f>
        <v/>
      </c>
      <c r="N43" s="321" t="str">
        <f>IFERROR(VLOOKUP(M43, Tarieven!$A$1:$J$150, 10, FALSE), "0")</f>
        <v>0</v>
      </c>
      <c r="O43" s="429" t="str">
        <f>November!O43</f>
        <v/>
      </c>
      <c r="P43" s="430" t="str">
        <f>November!P43</f>
        <v/>
      </c>
      <c r="Q43" s="325" t="str">
        <f>IFERROR(VLOOKUP(P43, Tarieven!$A$2:$J$150, 10, FALSE), "0")</f>
        <v>0</v>
      </c>
      <c r="R43" s="444" t="str">
        <f>November!R43</f>
        <v/>
      </c>
      <c r="S43" s="428" t="str">
        <f>November!S42</f>
        <v/>
      </c>
      <c r="T43" s="325" t="str">
        <f>IFERROR(VLOOKUP(S43, Tarieven!$A$2:$J$150, 10, FALSE), "0")</f>
        <v>0</v>
      </c>
      <c r="U43" s="77" t="str">
        <f>November!U42</f>
        <v/>
      </c>
      <c r="V43" s="327" t="str">
        <f>November!V42</f>
        <v/>
      </c>
      <c r="W43" s="325" t="str">
        <f>IFERROR(VLOOKUP(V43, Tarieven!$A$2:$J$150, 10, FALSE), "0")</f>
        <v>0</v>
      </c>
      <c r="X43" s="138">
        <f>November!X42</f>
        <v>0</v>
      </c>
      <c r="Y43" s="398">
        <v>0.0</v>
      </c>
      <c r="Z43" s="329">
        <f t="shared" si="3"/>
        <v>0</v>
      </c>
      <c r="AA43" s="32">
        <f t="shared" si="4"/>
        <v>0</v>
      </c>
      <c r="AB43" s="32">
        <f t="shared" si="5"/>
        <v>0</v>
      </c>
      <c r="AC43" s="32">
        <f t="shared" si="6"/>
        <v>0</v>
      </c>
    </row>
    <row r="44" ht="22.5" customHeight="1">
      <c r="A44" s="331" t="str">
        <f>Rooster!A45</f>
        <v>Zaterdag</v>
      </c>
      <c r="B44" s="396">
        <f>Rooster!B45</f>
        <v>0.5625</v>
      </c>
      <c r="C44" s="15">
        <v>60.0</v>
      </c>
      <c r="D44" s="11" t="str">
        <f>Rooster!D45</f>
        <v>Prive training</v>
      </c>
      <c r="E44" s="77"/>
      <c r="F44" s="327"/>
      <c r="G44" s="319"/>
      <c r="H44" s="320"/>
      <c r="I44" s="70"/>
      <c r="J44" s="321" t="str">
        <f>IFERROR(VLOOKUP(I44, Locaties!$A$2:$G$15, 7, FALSE), "0")</f>
        <v>0</v>
      </c>
      <c r="K44" s="42">
        <f t="shared" si="2"/>
        <v>0</v>
      </c>
      <c r="L44" s="427" t="str">
        <f>November!L43</f>
        <v/>
      </c>
      <c r="M44" s="428" t="str">
        <f>November!M43</f>
        <v/>
      </c>
      <c r="N44" s="321" t="str">
        <f>IFERROR(VLOOKUP(M44, Tarieven!$A$1:$J$150, 10, FALSE), "0")</f>
        <v>0</v>
      </c>
      <c r="O44" s="429" t="str">
        <f>November!O43</f>
        <v/>
      </c>
      <c r="P44" s="430" t="str">
        <f>November!P44</f>
        <v/>
      </c>
      <c r="Q44" s="325" t="str">
        <f>IFERROR(VLOOKUP(P44, Tarieven!$A$2:$J$150, 10, FALSE), "0")</f>
        <v>0</v>
      </c>
      <c r="R44" s="444" t="str">
        <f>November!R43</f>
        <v/>
      </c>
      <c r="S44" s="428" t="str">
        <f>November!S43</f>
        <v/>
      </c>
      <c r="T44" s="325" t="str">
        <f>IFERROR(VLOOKUP(S44, Tarieven!$A$2:$J$150, 10, FALSE), "0")</f>
        <v>0</v>
      </c>
      <c r="U44" s="77" t="str">
        <f>November!U43</f>
        <v/>
      </c>
      <c r="V44" s="327" t="str">
        <f>November!V43</f>
        <v/>
      </c>
      <c r="W44" s="325" t="str">
        <f>IFERROR(VLOOKUP(V44, Tarieven!$A$2:$J$150, 10, FALSE), "0")</f>
        <v>0</v>
      </c>
      <c r="X44" s="138">
        <f>November!X43</f>
        <v>0</v>
      </c>
      <c r="Y44" s="398">
        <v>0.0</v>
      </c>
      <c r="Z44" s="329">
        <f t="shared" si="3"/>
        <v>0</v>
      </c>
      <c r="AA44" s="32">
        <f t="shared" si="4"/>
        <v>0</v>
      </c>
      <c r="AB44" s="32">
        <f t="shared" si="5"/>
        <v>0</v>
      </c>
      <c r="AC44" s="32">
        <f t="shared" si="6"/>
        <v>0</v>
      </c>
    </row>
    <row r="45" ht="22.5" customHeight="1">
      <c r="A45" s="331" t="str">
        <f>Rooster!A46</f>
        <v/>
      </c>
      <c r="B45" s="396" t="str">
        <f>Rooster!B46</f>
        <v/>
      </c>
      <c r="C45" s="15" t="str">
        <f>Rooster!C46</f>
        <v/>
      </c>
      <c r="D45" s="11" t="str">
        <f>Rooster!D46</f>
        <v/>
      </c>
      <c r="E45" s="77"/>
      <c r="F45" s="327" t="str">
        <f>Rooster!E46</f>
        <v/>
      </c>
      <c r="G45" s="319" t="str">
        <f>IFERROR(VLOOKUP(F45, Docenten!$A$2:$G$30, 7, FALSE), "0")</f>
        <v>0</v>
      </c>
      <c r="H45" s="320">
        <f t="shared" ref="H45:H101" si="7">SUM(G45/60)*C45</f>
        <v>0</v>
      </c>
      <c r="I45" s="327" t="str">
        <f>Rooster!H46</f>
        <v/>
      </c>
      <c r="J45" s="321" t="str">
        <f>IFERROR(VLOOKUP(I45, Locaties!$A$2:$G$15, 7, FALSE), "0")</f>
        <v>0</v>
      </c>
      <c r="K45" s="42">
        <f t="shared" si="2"/>
        <v>0</v>
      </c>
      <c r="L45" s="427" t="str">
        <f>November!L44</f>
        <v/>
      </c>
      <c r="M45" s="428" t="str">
        <f>November!M44</f>
        <v/>
      </c>
      <c r="N45" s="321" t="str">
        <f>IFERROR(VLOOKUP(M45, Tarieven!$A$1:$J$150, 10, FALSE), "0")</f>
        <v>0</v>
      </c>
      <c r="O45" s="429" t="str">
        <f>November!O44</f>
        <v/>
      </c>
      <c r="P45" s="430" t="str">
        <f>November!P45</f>
        <v/>
      </c>
      <c r="Q45" s="325" t="str">
        <f>IFERROR(VLOOKUP(P45, Tarieven!$A$2:$J$150, 10, FALSE), "0")</f>
        <v>0</v>
      </c>
      <c r="R45" s="444" t="str">
        <f>November!R44</f>
        <v/>
      </c>
      <c r="S45" s="428" t="str">
        <f>November!S44</f>
        <v/>
      </c>
      <c r="T45" s="325" t="str">
        <f>IFERROR(VLOOKUP(S45, Tarieven!$A$2:$J$150, 10, FALSE), "0")</f>
        <v>0</v>
      </c>
      <c r="U45" s="77" t="str">
        <f>November!U44</f>
        <v/>
      </c>
      <c r="V45" s="327" t="str">
        <f>November!V44</f>
        <v/>
      </c>
      <c r="W45" s="325" t="str">
        <f>IFERROR(VLOOKUP(V45, Tarieven!$A$2:$J$150, 10, FALSE), "0")</f>
        <v>0</v>
      </c>
      <c r="X45" s="138">
        <f>November!X44</f>
        <v>0</v>
      </c>
      <c r="Y45" s="398">
        <v>0.0</v>
      </c>
      <c r="Z45" s="329">
        <f t="shared" si="3"/>
        <v>0</v>
      </c>
      <c r="AA45" s="32">
        <f t="shared" si="4"/>
        <v>0</v>
      </c>
      <c r="AB45" s="32">
        <f t="shared" si="5"/>
        <v>0</v>
      </c>
      <c r="AC45" s="32">
        <f t="shared" si="6"/>
        <v>0</v>
      </c>
    </row>
    <row r="46" ht="22.5" customHeight="1">
      <c r="A46" s="331" t="str">
        <f>Rooster!A47</f>
        <v/>
      </c>
      <c r="B46" s="396" t="str">
        <f>Rooster!B47</f>
        <v/>
      </c>
      <c r="C46" s="15" t="str">
        <f>Rooster!C47</f>
        <v/>
      </c>
      <c r="D46" s="11" t="str">
        <f>Rooster!D47</f>
        <v/>
      </c>
      <c r="E46" s="77"/>
      <c r="F46" s="327" t="str">
        <f>Rooster!E47</f>
        <v/>
      </c>
      <c r="G46" s="319" t="str">
        <f>IFERROR(VLOOKUP(F46, Docenten!$A$2:$G$30, 7, FALSE), "0")</f>
        <v>0</v>
      </c>
      <c r="H46" s="320">
        <f t="shared" si="7"/>
        <v>0</v>
      </c>
      <c r="I46" s="327" t="str">
        <f>Rooster!H47</f>
        <v/>
      </c>
      <c r="J46" s="321" t="str">
        <f>IFERROR(VLOOKUP(I46, Locaties!$A$2:$G$15, 7, FALSE), "0")</f>
        <v>0</v>
      </c>
      <c r="K46" s="42">
        <f t="shared" si="2"/>
        <v>0</v>
      </c>
      <c r="L46" s="427" t="str">
        <f>November!L45</f>
        <v/>
      </c>
      <c r="M46" s="428" t="str">
        <f>November!M45</f>
        <v/>
      </c>
      <c r="N46" s="321" t="str">
        <f>IFERROR(VLOOKUP(M46, Tarieven!$A$1:$J$150, 10, FALSE), "0")</f>
        <v>0</v>
      </c>
      <c r="O46" s="429" t="str">
        <f>November!O45</f>
        <v/>
      </c>
      <c r="P46" s="430" t="str">
        <f>November!P45</f>
        <v/>
      </c>
      <c r="Q46" s="325" t="str">
        <f>IFERROR(VLOOKUP(P46, Tarieven!$A$2:$J$150, 10, FALSE), "0")</f>
        <v>0</v>
      </c>
      <c r="R46" s="444" t="str">
        <f>November!R45</f>
        <v/>
      </c>
      <c r="S46" s="428" t="str">
        <f>November!S45</f>
        <v/>
      </c>
      <c r="T46" s="325" t="str">
        <f>IFERROR(VLOOKUP(S46, Tarieven!$A$2:$J$150, 10, FALSE), "0")</f>
        <v>0</v>
      </c>
      <c r="U46" s="77" t="str">
        <f>November!U45</f>
        <v/>
      </c>
      <c r="V46" s="327" t="str">
        <f>November!V45</f>
        <v/>
      </c>
      <c r="W46" s="325" t="str">
        <f>IFERROR(VLOOKUP(V46, Tarieven!$A$2:$J$150, 10, FALSE), "0")</f>
        <v>0</v>
      </c>
      <c r="X46" s="138">
        <f>November!X45</f>
        <v>0</v>
      </c>
      <c r="Y46" s="398">
        <v>0.0</v>
      </c>
      <c r="Z46" s="329">
        <f t="shared" si="3"/>
        <v>0</v>
      </c>
      <c r="AA46" s="32">
        <f t="shared" si="4"/>
        <v>0</v>
      </c>
      <c r="AB46" s="32">
        <f t="shared" si="5"/>
        <v>0</v>
      </c>
      <c r="AC46" s="32">
        <f t="shared" si="6"/>
        <v>0</v>
      </c>
    </row>
    <row r="47" ht="22.5" customHeight="1">
      <c r="A47" s="331" t="str">
        <f>Rooster!A48</f>
        <v>Donderdag</v>
      </c>
      <c r="B47" s="396">
        <f>Rooster!B48</f>
        <v>0.75</v>
      </c>
      <c r="C47" s="15">
        <f>Rooster!C48</f>
        <v>60</v>
      </c>
      <c r="D47" s="11" t="str">
        <f>Rooster!D48</f>
        <v>Turnen 6+</v>
      </c>
      <c r="E47" s="77">
        <v>0.0</v>
      </c>
      <c r="F47" s="327" t="str">
        <f>Rooster!E48</f>
        <v>Dion + 3</v>
      </c>
      <c r="G47" s="319">
        <f>IFERROR(VLOOKUP(F47, Docenten!$A$2:$G$30, 7, FALSE), "0")</f>
        <v>34</v>
      </c>
      <c r="H47" s="320">
        <f t="shared" si="7"/>
        <v>34</v>
      </c>
      <c r="I47" s="327" t="str">
        <f>Rooster!H48</f>
        <v>Santpoort Noord</v>
      </c>
      <c r="J47" s="321">
        <f>IFERROR(VLOOKUP(I47, Locaties!$A$2:$G$15, 7, FALSE), "0")</f>
        <v>14.2</v>
      </c>
      <c r="K47" s="42">
        <f t="shared" si="2"/>
        <v>14.2</v>
      </c>
      <c r="L47" s="440">
        <v>2.0</v>
      </c>
      <c r="M47" s="439" t="s">
        <v>46</v>
      </c>
      <c r="N47" s="442">
        <v>110.0</v>
      </c>
      <c r="O47" s="429" t="str">
        <f>November!O46</f>
        <v/>
      </c>
      <c r="P47" s="430" t="str">
        <f>November!P46</f>
        <v/>
      </c>
      <c r="Q47" s="325" t="str">
        <f>IFERROR(VLOOKUP(P47, Tarieven!$A$2:$J$150, 10, FALSE), "0")</f>
        <v>0</v>
      </c>
      <c r="R47" s="444" t="str">
        <f>November!R46</f>
        <v/>
      </c>
      <c r="S47" s="428" t="str">
        <f>November!S46</f>
        <v/>
      </c>
      <c r="T47" s="325" t="str">
        <f>IFERROR(VLOOKUP(S47, Tarieven!$A$2:$J$150, 10, FALSE), "0")</f>
        <v>0</v>
      </c>
      <c r="U47" s="77" t="str">
        <f>November!U46</f>
        <v/>
      </c>
      <c r="V47" s="327" t="str">
        <f>November!V46</f>
        <v/>
      </c>
      <c r="W47" s="325" t="str">
        <f>IFERROR(VLOOKUP(V47, Tarieven!$A$2:$J$150, 10, FALSE), "0")</f>
        <v>0</v>
      </c>
      <c r="X47" s="138">
        <f>November!X46</f>
        <v>0</v>
      </c>
      <c r="Y47" s="398">
        <v>0.0</v>
      </c>
      <c r="Z47" s="329">
        <f t="shared" si="3"/>
        <v>2</v>
      </c>
      <c r="AA47" s="32">
        <f t="shared" si="4"/>
        <v>0</v>
      </c>
      <c r="AB47" s="32">
        <f t="shared" si="5"/>
        <v>220</v>
      </c>
      <c r="AC47" s="32">
        <f t="shared" si="6"/>
        <v>220</v>
      </c>
    </row>
    <row r="48" ht="22.5" customHeight="1">
      <c r="A48" s="331" t="str">
        <f>Rooster!A49</f>
        <v>Donderdag</v>
      </c>
      <c r="B48" s="396">
        <f>Rooster!B49</f>
        <v>0.7916666667</v>
      </c>
      <c r="C48" s="15">
        <f>Rooster!C49</f>
        <v>60</v>
      </c>
      <c r="D48" s="11" t="str">
        <f>Rooster!D49</f>
        <v>Turnen 12+</v>
      </c>
      <c r="E48" s="77">
        <v>0.0</v>
      </c>
      <c r="F48" s="327" t="str">
        <f>Rooster!E49</f>
        <v>Dion + 3</v>
      </c>
      <c r="G48" s="319">
        <f>IFERROR(VLOOKUP(F48, Docenten!$A$2:$G$30, 7, FALSE), "0")</f>
        <v>34</v>
      </c>
      <c r="H48" s="320">
        <f t="shared" si="7"/>
        <v>34</v>
      </c>
      <c r="I48" s="327" t="str">
        <f>Rooster!H49</f>
        <v>Santpoort Noord</v>
      </c>
      <c r="J48" s="321">
        <f>IFERROR(VLOOKUP(I48, Locaties!$A$2:$G$15, 7, FALSE), "0")</f>
        <v>14.2</v>
      </c>
      <c r="K48" s="42">
        <f t="shared" si="2"/>
        <v>14.2</v>
      </c>
      <c r="L48" s="440">
        <v>3.0</v>
      </c>
      <c r="M48" s="439" t="s">
        <v>46</v>
      </c>
      <c r="N48" s="442">
        <v>110.0</v>
      </c>
      <c r="O48" s="429" t="str">
        <f>November!O47</f>
        <v/>
      </c>
      <c r="P48" s="430" t="str">
        <f>November!P47</f>
        <v/>
      </c>
      <c r="Q48" s="325" t="str">
        <f>IFERROR(VLOOKUP(P48, Tarieven!$A$2:$J$150, 10, FALSE), "0")</f>
        <v>0</v>
      </c>
      <c r="R48" s="444" t="str">
        <f>November!R47</f>
        <v/>
      </c>
      <c r="S48" s="428" t="str">
        <f>November!S47</f>
        <v/>
      </c>
      <c r="T48" s="325" t="str">
        <f>IFERROR(VLOOKUP(S48, Tarieven!$A$2:$J$150, 10, FALSE), "0")</f>
        <v>0</v>
      </c>
      <c r="U48" s="77" t="str">
        <f>November!U47</f>
        <v/>
      </c>
      <c r="V48" s="327" t="str">
        <f>November!V47</f>
        <v/>
      </c>
      <c r="W48" s="325" t="str">
        <f>IFERROR(VLOOKUP(V48, Tarieven!$A$2:$J$150, 10, FALSE), "0")</f>
        <v>0</v>
      </c>
      <c r="X48" s="138">
        <f>November!X47</f>
        <v>0</v>
      </c>
      <c r="Y48" s="398">
        <v>0.0</v>
      </c>
      <c r="Z48" s="329">
        <f t="shared" si="3"/>
        <v>3</v>
      </c>
      <c r="AA48" s="32">
        <f t="shared" si="4"/>
        <v>0</v>
      </c>
      <c r="AB48" s="32">
        <f t="shared" si="5"/>
        <v>330</v>
      </c>
      <c r="AC48" s="32">
        <f t="shared" si="6"/>
        <v>330</v>
      </c>
    </row>
    <row r="49" ht="22.5" customHeight="1">
      <c r="A49" s="331" t="str">
        <f>Rooster!A50</f>
        <v/>
      </c>
      <c r="B49" s="396" t="str">
        <f>Rooster!B50</f>
        <v/>
      </c>
      <c r="C49" s="15" t="str">
        <f>Rooster!C50</f>
        <v/>
      </c>
      <c r="D49" s="11" t="str">
        <f>Rooster!D50</f>
        <v/>
      </c>
      <c r="E49" s="77"/>
      <c r="F49" s="327" t="str">
        <f>Rooster!E50</f>
        <v/>
      </c>
      <c r="G49" s="319" t="str">
        <f>IFERROR(VLOOKUP(F49, Docenten!$A$2:$G$30, 7, FALSE), "0")</f>
        <v>0</v>
      </c>
      <c r="H49" s="320">
        <f t="shared" si="7"/>
        <v>0</v>
      </c>
      <c r="I49" s="327" t="str">
        <f>Rooster!H50</f>
        <v/>
      </c>
      <c r="J49" s="321" t="str">
        <f>IFERROR(VLOOKUP(I49, Locaties!$A$2:$G$15, 7, FALSE), "0")</f>
        <v>0</v>
      </c>
      <c r="K49" s="42">
        <f t="shared" si="2"/>
        <v>0</v>
      </c>
      <c r="L49" s="427" t="str">
        <f>November!L48</f>
        <v/>
      </c>
      <c r="M49" s="428" t="str">
        <f>November!M48</f>
        <v/>
      </c>
      <c r="N49" s="321" t="str">
        <f>IFERROR(VLOOKUP(M49, Tarieven!$A$1:$J$150, 10, FALSE), "0")</f>
        <v>0</v>
      </c>
      <c r="O49" s="429" t="str">
        <f>November!O48</f>
        <v/>
      </c>
      <c r="P49" s="430" t="str">
        <f>November!P48</f>
        <v/>
      </c>
      <c r="Q49" s="325" t="str">
        <f>IFERROR(VLOOKUP(P49, Tarieven!$A$2:$J$150, 10, FALSE), "0")</f>
        <v>0</v>
      </c>
      <c r="R49" s="444" t="str">
        <f>November!R48</f>
        <v/>
      </c>
      <c r="S49" s="428" t="str">
        <f>November!S48</f>
        <v/>
      </c>
      <c r="T49" s="325" t="str">
        <f>IFERROR(VLOOKUP(S49, Tarieven!$A$2:$J$150, 10, FALSE), "0")</f>
        <v>0</v>
      </c>
      <c r="U49" s="77" t="str">
        <f>November!U48</f>
        <v/>
      </c>
      <c r="V49" s="327" t="str">
        <f>November!V48</f>
        <v/>
      </c>
      <c r="W49" s="325" t="str">
        <f>IFERROR(VLOOKUP(V49, Tarieven!$A$2:$J$150, 10, FALSE), "0")</f>
        <v>0</v>
      </c>
      <c r="X49" s="138">
        <f>November!X48</f>
        <v>0</v>
      </c>
      <c r="Y49" s="398">
        <v>0.0</v>
      </c>
      <c r="Z49" s="329">
        <f t="shared" si="3"/>
        <v>0</v>
      </c>
      <c r="AA49" s="32">
        <f t="shared" si="4"/>
        <v>0</v>
      </c>
      <c r="AB49" s="32">
        <f t="shared" si="5"/>
        <v>0</v>
      </c>
      <c r="AC49" s="32">
        <f t="shared" si="6"/>
        <v>0</v>
      </c>
    </row>
    <row r="50" ht="22.5" customHeight="1">
      <c r="A50" s="331" t="str">
        <f>Rooster!A51</f>
        <v/>
      </c>
      <c r="B50" s="396" t="str">
        <f>Rooster!B51</f>
        <v/>
      </c>
      <c r="C50" s="15" t="str">
        <f>Rooster!C51</f>
        <v/>
      </c>
      <c r="D50" s="11" t="str">
        <f>Rooster!D51</f>
        <v/>
      </c>
      <c r="E50" s="77"/>
      <c r="F50" s="327" t="str">
        <f>Rooster!E51</f>
        <v/>
      </c>
      <c r="G50" s="319" t="str">
        <f>IFERROR(VLOOKUP(F50, Docenten!$A$2:$G$30, 7, FALSE), "0")</f>
        <v>0</v>
      </c>
      <c r="H50" s="320">
        <f t="shared" si="7"/>
        <v>0</v>
      </c>
      <c r="I50" s="327" t="str">
        <f>Rooster!H51</f>
        <v/>
      </c>
      <c r="J50" s="321" t="str">
        <f>IFERROR(VLOOKUP(I50, Locaties!$A$2:$G$15, 7, FALSE), "0")</f>
        <v>0</v>
      </c>
      <c r="K50" s="42">
        <f t="shared" si="2"/>
        <v>0</v>
      </c>
      <c r="L50" s="427" t="str">
        <f>November!L49</f>
        <v/>
      </c>
      <c r="M50" s="428" t="str">
        <f>November!M49</f>
        <v/>
      </c>
      <c r="N50" s="321" t="str">
        <f>IFERROR(VLOOKUP(M50, Tarieven!$A$1:$J$150, 10, FALSE), "0")</f>
        <v>0</v>
      </c>
      <c r="O50" s="429" t="str">
        <f>November!O49</f>
        <v/>
      </c>
      <c r="P50" s="430" t="str">
        <f>November!P49</f>
        <v/>
      </c>
      <c r="Q50" s="325" t="str">
        <f>IFERROR(VLOOKUP(P50, Tarieven!$A$2:$J$150, 10, FALSE), "0")</f>
        <v>0</v>
      </c>
      <c r="R50" s="444" t="str">
        <f>November!R49</f>
        <v/>
      </c>
      <c r="S50" s="428" t="str">
        <f>November!S49</f>
        <v/>
      </c>
      <c r="T50" s="325" t="str">
        <f>IFERROR(VLOOKUP(S50, Tarieven!$A$2:$J$150, 10, FALSE), "0")</f>
        <v>0</v>
      </c>
      <c r="U50" s="77" t="str">
        <f>November!U49</f>
        <v/>
      </c>
      <c r="V50" s="327" t="str">
        <f>November!V49</f>
        <v/>
      </c>
      <c r="W50" s="325" t="str">
        <f>IFERROR(VLOOKUP(V50, Tarieven!$A$2:$J$150, 10, FALSE), "0")</f>
        <v>0</v>
      </c>
      <c r="X50" s="138">
        <f>November!X49</f>
        <v>0</v>
      </c>
      <c r="Y50" s="398">
        <v>0.0</v>
      </c>
      <c r="Z50" s="329">
        <f t="shared" si="3"/>
        <v>0</v>
      </c>
      <c r="AA50" s="32">
        <f t="shared" si="4"/>
        <v>0</v>
      </c>
      <c r="AB50" s="32">
        <f t="shared" si="5"/>
        <v>0</v>
      </c>
      <c r="AC50" s="32">
        <f t="shared" si="6"/>
        <v>0</v>
      </c>
    </row>
    <row r="51" ht="22.5" customHeight="1">
      <c r="A51" s="331" t="str">
        <f>Rooster!A52</f>
        <v/>
      </c>
      <c r="B51" s="396" t="str">
        <f>Rooster!B52</f>
        <v/>
      </c>
      <c r="C51" s="15" t="str">
        <f>Rooster!C52</f>
        <v/>
      </c>
      <c r="D51" s="11" t="str">
        <f>Rooster!D52</f>
        <v/>
      </c>
      <c r="E51" s="77"/>
      <c r="F51" s="327" t="str">
        <f>Rooster!E52</f>
        <v/>
      </c>
      <c r="G51" s="319" t="str">
        <f>IFERROR(VLOOKUP(F51, Docenten!$A$2:$G$30, 7, FALSE), "0")</f>
        <v>0</v>
      </c>
      <c r="H51" s="320">
        <f t="shared" si="7"/>
        <v>0</v>
      </c>
      <c r="I51" s="327" t="str">
        <f>Rooster!H52</f>
        <v/>
      </c>
      <c r="J51" s="321" t="str">
        <f>IFERROR(VLOOKUP(I51, Locaties!$A$2:$G$15, 7, FALSE), "0")</f>
        <v>0</v>
      </c>
      <c r="K51" s="42">
        <f t="shared" si="2"/>
        <v>0</v>
      </c>
      <c r="L51" s="427" t="str">
        <f>November!L50</f>
        <v/>
      </c>
      <c r="M51" s="428" t="str">
        <f>November!M50</f>
        <v/>
      </c>
      <c r="N51" s="321" t="str">
        <f>IFERROR(VLOOKUP(M51, Tarieven!$A$1:$J$150, 10, FALSE), "0")</f>
        <v>0</v>
      </c>
      <c r="O51" s="429" t="str">
        <f>November!O50</f>
        <v/>
      </c>
      <c r="P51" s="430" t="str">
        <f>November!P50</f>
        <v/>
      </c>
      <c r="Q51" s="325" t="str">
        <f>IFERROR(VLOOKUP(P51, Tarieven!$A$2:$J$150, 10, FALSE), "0")</f>
        <v>0</v>
      </c>
      <c r="R51" s="444" t="str">
        <f>November!R50</f>
        <v/>
      </c>
      <c r="S51" s="428" t="str">
        <f>November!S50</f>
        <v/>
      </c>
      <c r="T51" s="325" t="str">
        <f>IFERROR(VLOOKUP(S51, Tarieven!$A$2:$J$150, 10, FALSE), "0")</f>
        <v>0</v>
      </c>
      <c r="U51" s="77" t="str">
        <f>November!U50</f>
        <v/>
      </c>
      <c r="V51" s="327" t="str">
        <f>November!V50</f>
        <v/>
      </c>
      <c r="W51" s="325" t="str">
        <f>IFERROR(VLOOKUP(V51, Tarieven!$A$2:$J$150, 10, FALSE), "0")</f>
        <v>0</v>
      </c>
      <c r="X51" s="138">
        <f>November!X50</f>
        <v>0</v>
      </c>
      <c r="Y51" s="398">
        <v>0.0</v>
      </c>
      <c r="Z51" s="329">
        <f t="shared" si="3"/>
        <v>0</v>
      </c>
      <c r="AA51" s="32">
        <f t="shared" si="4"/>
        <v>0</v>
      </c>
      <c r="AB51" s="32">
        <f t="shared" si="5"/>
        <v>0</v>
      </c>
      <c r="AC51" s="32">
        <f t="shared" si="6"/>
        <v>0</v>
      </c>
    </row>
    <row r="52" ht="22.5" customHeight="1">
      <c r="A52" s="331" t="str">
        <f>Rooster!A53</f>
        <v/>
      </c>
      <c r="B52" s="396" t="str">
        <f>Rooster!B53</f>
        <v/>
      </c>
      <c r="C52" s="15" t="str">
        <f>Rooster!C53</f>
        <v/>
      </c>
      <c r="D52" s="11" t="str">
        <f>Rooster!D53</f>
        <v/>
      </c>
      <c r="E52" s="77"/>
      <c r="F52" s="327" t="str">
        <f>Rooster!E53</f>
        <v/>
      </c>
      <c r="G52" s="319" t="str">
        <f>IFERROR(VLOOKUP(F52, Docenten!$A$2:$G$30, 7, FALSE), "0")</f>
        <v>0</v>
      </c>
      <c r="H52" s="320">
        <f t="shared" si="7"/>
        <v>0</v>
      </c>
      <c r="I52" s="327" t="str">
        <f>Rooster!H53</f>
        <v/>
      </c>
      <c r="J52" s="321" t="str">
        <f>IFERROR(VLOOKUP(I52, Locaties!$A$2:$G$15, 7, FALSE), "0")</f>
        <v>0</v>
      </c>
      <c r="K52" s="42">
        <f t="shared" si="2"/>
        <v>0</v>
      </c>
      <c r="L52" s="427" t="str">
        <f>November!L51</f>
        <v/>
      </c>
      <c r="M52" s="428" t="str">
        <f>November!M51</f>
        <v/>
      </c>
      <c r="N52" s="321" t="str">
        <f>IFERROR(VLOOKUP(M52, Tarieven!$A$1:$J$150, 10, FALSE), "0")</f>
        <v>0</v>
      </c>
      <c r="O52" s="429" t="str">
        <f>November!O51</f>
        <v/>
      </c>
      <c r="P52" s="430" t="str">
        <f>November!P51</f>
        <v/>
      </c>
      <c r="Q52" s="325" t="str">
        <f>IFERROR(VLOOKUP(P52, Tarieven!$A$2:$J$150, 10, FALSE), "0")</f>
        <v>0</v>
      </c>
      <c r="R52" s="444" t="str">
        <f>November!R51</f>
        <v/>
      </c>
      <c r="S52" s="428" t="str">
        <f>November!S51</f>
        <v/>
      </c>
      <c r="T52" s="325" t="str">
        <f>IFERROR(VLOOKUP(S52, Tarieven!$A$2:$J$150, 10, FALSE), "0")</f>
        <v>0</v>
      </c>
      <c r="U52" s="77" t="str">
        <f>November!U51</f>
        <v/>
      </c>
      <c r="V52" s="327" t="str">
        <f>November!V51</f>
        <v/>
      </c>
      <c r="W52" s="325" t="str">
        <f>IFERROR(VLOOKUP(V52, Tarieven!$A$2:$J$150, 10, FALSE), "0")</f>
        <v>0</v>
      </c>
      <c r="X52" s="138">
        <f>November!X51</f>
        <v>0</v>
      </c>
      <c r="Y52" s="398">
        <v>0.0</v>
      </c>
      <c r="Z52" s="329">
        <f t="shared" si="3"/>
        <v>0</v>
      </c>
      <c r="AA52" s="32">
        <f t="shared" si="4"/>
        <v>0</v>
      </c>
      <c r="AB52" s="32">
        <f t="shared" si="5"/>
        <v>0</v>
      </c>
      <c r="AC52" s="32">
        <f t="shared" si="6"/>
        <v>0</v>
      </c>
    </row>
    <row r="53" ht="22.5" customHeight="1">
      <c r="A53" s="331" t="str">
        <f>Rooster!A54</f>
        <v/>
      </c>
      <c r="B53" s="396" t="str">
        <f>Rooster!B54</f>
        <v/>
      </c>
      <c r="C53" s="15" t="str">
        <f>Rooster!C54</f>
        <v/>
      </c>
      <c r="D53" s="11" t="str">
        <f>Rooster!D54</f>
        <v/>
      </c>
      <c r="E53" s="77"/>
      <c r="F53" s="327" t="str">
        <f>Rooster!E54</f>
        <v/>
      </c>
      <c r="G53" s="319" t="str">
        <f>IFERROR(VLOOKUP(F53, Docenten!$A$2:$G$30, 7, FALSE), "0")</f>
        <v>0</v>
      </c>
      <c r="H53" s="320">
        <f t="shared" si="7"/>
        <v>0</v>
      </c>
      <c r="I53" s="327" t="str">
        <f>Rooster!H54</f>
        <v/>
      </c>
      <c r="J53" s="321" t="str">
        <f>IFERROR(VLOOKUP(I53, Locaties!$A$2:$G$15, 7, FALSE), "0")</f>
        <v>0</v>
      </c>
      <c r="K53" s="42">
        <f t="shared" si="2"/>
        <v>0</v>
      </c>
      <c r="L53" s="427" t="str">
        <f>November!L52</f>
        <v/>
      </c>
      <c r="M53" s="428" t="str">
        <f>November!M52</f>
        <v/>
      </c>
      <c r="N53" s="321" t="str">
        <f>IFERROR(VLOOKUP(M53, Tarieven!$A$1:$J$150, 10, FALSE), "0")</f>
        <v>0</v>
      </c>
      <c r="O53" s="429" t="str">
        <f>November!O52</f>
        <v/>
      </c>
      <c r="P53" s="430" t="str">
        <f>November!P52</f>
        <v/>
      </c>
      <c r="Q53" s="325" t="str">
        <f>IFERROR(VLOOKUP(P53, Tarieven!$A$2:$J$150, 10, FALSE), "0")</f>
        <v>0</v>
      </c>
      <c r="R53" s="444" t="str">
        <f>November!R52</f>
        <v/>
      </c>
      <c r="S53" s="428" t="str">
        <f>November!S52</f>
        <v/>
      </c>
      <c r="T53" s="325" t="str">
        <f>IFERROR(VLOOKUP(S53, Tarieven!$A$2:$J$150, 10, FALSE), "0")</f>
        <v>0</v>
      </c>
      <c r="U53" s="77" t="str">
        <f>November!U52</f>
        <v/>
      </c>
      <c r="V53" s="327" t="str">
        <f>November!V52</f>
        <v/>
      </c>
      <c r="W53" s="325" t="str">
        <f>IFERROR(VLOOKUP(V53, Tarieven!$A$2:$J$150, 10, FALSE), "0")</f>
        <v>0</v>
      </c>
      <c r="X53" s="138">
        <f>November!X52</f>
        <v>0</v>
      </c>
      <c r="Y53" s="398">
        <v>0.0</v>
      </c>
      <c r="Z53" s="329">
        <f t="shared" si="3"/>
        <v>0</v>
      </c>
      <c r="AA53" s="32">
        <f t="shared" si="4"/>
        <v>0</v>
      </c>
      <c r="AB53" s="32">
        <f t="shared" si="5"/>
        <v>0</v>
      </c>
      <c r="AC53" s="32">
        <f t="shared" si="6"/>
        <v>0</v>
      </c>
    </row>
    <row r="54" ht="22.5" customHeight="1">
      <c r="A54" s="331" t="str">
        <f>Rooster!A55</f>
        <v/>
      </c>
      <c r="B54" s="396" t="str">
        <f>Rooster!B55</f>
        <v/>
      </c>
      <c r="C54" s="15" t="str">
        <f>Rooster!C55</f>
        <v/>
      </c>
      <c r="D54" s="11" t="str">
        <f>Rooster!D55</f>
        <v/>
      </c>
      <c r="E54" s="77"/>
      <c r="F54" s="327" t="str">
        <f>Rooster!E55</f>
        <v/>
      </c>
      <c r="G54" s="319" t="str">
        <f>IFERROR(VLOOKUP(F54, Docenten!$A$2:$G$30, 7, FALSE), "0")</f>
        <v>0</v>
      </c>
      <c r="H54" s="320">
        <f t="shared" si="7"/>
        <v>0</v>
      </c>
      <c r="I54" s="327" t="str">
        <f>Rooster!H55</f>
        <v/>
      </c>
      <c r="J54" s="321" t="str">
        <f>IFERROR(VLOOKUP(I54, Locaties!$A$2:$G$15, 7, FALSE), "0")</f>
        <v>0</v>
      </c>
      <c r="K54" s="42">
        <f t="shared" si="2"/>
        <v>0</v>
      </c>
      <c r="L54" s="427" t="str">
        <f>November!L53</f>
        <v/>
      </c>
      <c r="M54" s="428" t="str">
        <f>November!M53</f>
        <v/>
      </c>
      <c r="N54" s="321" t="str">
        <f>IFERROR(VLOOKUP(M54, Tarieven!$A$1:$J$150, 10, FALSE), "0")</f>
        <v>0</v>
      </c>
      <c r="O54" s="429" t="str">
        <f>November!O53</f>
        <v/>
      </c>
      <c r="P54" s="430" t="str">
        <f>November!P53</f>
        <v/>
      </c>
      <c r="Q54" s="325" t="str">
        <f>IFERROR(VLOOKUP(P54, Tarieven!$A$2:$J$150, 10, FALSE), "0")</f>
        <v>0</v>
      </c>
      <c r="R54" s="444" t="str">
        <f>November!R53</f>
        <v/>
      </c>
      <c r="S54" s="428" t="str">
        <f>November!S53</f>
        <v/>
      </c>
      <c r="T54" s="325" t="str">
        <f>IFERROR(VLOOKUP(S54, Tarieven!$A$2:$J$150, 10, FALSE), "0")</f>
        <v>0</v>
      </c>
      <c r="U54" s="77" t="str">
        <f>November!U53</f>
        <v/>
      </c>
      <c r="V54" s="327" t="str">
        <f>November!V53</f>
        <v/>
      </c>
      <c r="W54" s="325" t="str">
        <f>IFERROR(VLOOKUP(V54, Tarieven!$A$2:$J$150, 10, FALSE), "0")</f>
        <v>0</v>
      </c>
      <c r="X54" s="138">
        <f>November!X53</f>
        <v>0</v>
      </c>
      <c r="Y54" s="398">
        <v>0.0</v>
      </c>
      <c r="Z54" s="329">
        <f t="shared" si="3"/>
        <v>0</v>
      </c>
      <c r="AA54" s="32">
        <f t="shared" si="4"/>
        <v>0</v>
      </c>
      <c r="AB54" s="32">
        <f t="shared" si="5"/>
        <v>0</v>
      </c>
      <c r="AC54" s="32">
        <f t="shared" si="6"/>
        <v>0</v>
      </c>
    </row>
    <row r="55" ht="22.5" customHeight="1">
      <c r="A55" s="331" t="str">
        <f>Rooster!A56</f>
        <v/>
      </c>
      <c r="B55" s="396" t="str">
        <f>Rooster!B56</f>
        <v/>
      </c>
      <c r="C55" s="15" t="str">
        <f>Rooster!C56</f>
        <v/>
      </c>
      <c r="D55" s="11" t="str">
        <f>Rooster!D56</f>
        <v/>
      </c>
      <c r="E55" s="77"/>
      <c r="F55" s="327" t="str">
        <f>Rooster!E56</f>
        <v/>
      </c>
      <c r="G55" s="319" t="str">
        <f>IFERROR(VLOOKUP(F55, Docenten!$A$2:$G$30, 7, FALSE), "0")</f>
        <v>0</v>
      </c>
      <c r="H55" s="320">
        <f t="shared" si="7"/>
        <v>0</v>
      </c>
      <c r="I55" s="327" t="str">
        <f>Rooster!H56</f>
        <v/>
      </c>
      <c r="J55" s="321" t="str">
        <f>IFERROR(VLOOKUP(I55, Locaties!$A$2:$G$15, 7, FALSE), "0")</f>
        <v>0</v>
      </c>
      <c r="K55" s="42">
        <f t="shared" si="2"/>
        <v>0</v>
      </c>
      <c r="L55" s="427" t="str">
        <f>November!L54</f>
        <v/>
      </c>
      <c r="M55" s="428" t="str">
        <f>November!M54</f>
        <v/>
      </c>
      <c r="N55" s="321" t="str">
        <f>IFERROR(VLOOKUP(M55, Tarieven!$A$1:$J$150, 10, FALSE), "0")</f>
        <v>0</v>
      </c>
      <c r="O55" s="429" t="str">
        <f>November!O54</f>
        <v/>
      </c>
      <c r="P55" s="430" t="str">
        <f>November!P54</f>
        <v/>
      </c>
      <c r="Q55" s="325" t="str">
        <f>IFERROR(VLOOKUP(P55, Tarieven!$A$2:$J$150, 10, FALSE), "0")</f>
        <v>0</v>
      </c>
      <c r="R55" s="444" t="str">
        <f>November!R54</f>
        <v/>
      </c>
      <c r="S55" s="428" t="str">
        <f>November!S54</f>
        <v/>
      </c>
      <c r="T55" s="325" t="str">
        <f>IFERROR(VLOOKUP(S55, Tarieven!$A$2:$J$150, 10, FALSE), "0")</f>
        <v>0</v>
      </c>
      <c r="U55" s="77" t="str">
        <f>November!U54</f>
        <v/>
      </c>
      <c r="V55" s="327" t="str">
        <f>November!V54</f>
        <v/>
      </c>
      <c r="W55" s="325" t="str">
        <f>IFERROR(VLOOKUP(V55, Tarieven!$A$2:$J$150, 10, FALSE), "0")</f>
        <v>0</v>
      </c>
      <c r="X55" s="138">
        <f>November!X54</f>
        <v>0</v>
      </c>
      <c r="Y55" s="398">
        <v>0.0</v>
      </c>
      <c r="Z55" s="329">
        <f t="shared" si="3"/>
        <v>0</v>
      </c>
      <c r="AA55" s="32">
        <f t="shared" si="4"/>
        <v>0</v>
      </c>
      <c r="AB55" s="32">
        <f t="shared" si="5"/>
        <v>0</v>
      </c>
      <c r="AC55" s="32">
        <f t="shared" si="6"/>
        <v>0</v>
      </c>
    </row>
    <row r="56" ht="22.5" customHeight="1">
      <c r="A56" s="331" t="str">
        <f>Rooster!A57</f>
        <v/>
      </c>
      <c r="B56" s="396" t="str">
        <f>Rooster!B57</f>
        <v/>
      </c>
      <c r="C56" s="15" t="str">
        <f>Rooster!C57</f>
        <v/>
      </c>
      <c r="D56" s="11" t="str">
        <f>Rooster!D57</f>
        <v/>
      </c>
      <c r="E56" s="77"/>
      <c r="F56" s="327" t="str">
        <f>Rooster!E57</f>
        <v/>
      </c>
      <c r="G56" s="319" t="str">
        <f>IFERROR(VLOOKUP(F56, Docenten!$A$2:$G$30, 7, FALSE), "0")</f>
        <v>0</v>
      </c>
      <c r="H56" s="320">
        <f t="shared" si="7"/>
        <v>0</v>
      </c>
      <c r="I56" s="327" t="str">
        <f>Rooster!H57</f>
        <v/>
      </c>
      <c r="J56" s="321" t="str">
        <f>IFERROR(VLOOKUP(I56, Locaties!$A$2:$G$15, 7, FALSE), "0")</f>
        <v>0</v>
      </c>
      <c r="K56" s="42">
        <f t="shared" si="2"/>
        <v>0</v>
      </c>
      <c r="L56" s="427" t="str">
        <f>November!L55</f>
        <v/>
      </c>
      <c r="M56" s="428" t="str">
        <f>November!M55</f>
        <v/>
      </c>
      <c r="N56" s="321" t="str">
        <f>IFERROR(VLOOKUP(M56, Tarieven!$A$1:$J$150, 10, FALSE), "0")</f>
        <v>0</v>
      </c>
      <c r="O56" s="429" t="str">
        <f>November!O55</f>
        <v/>
      </c>
      <c r="P56" s="430" t="str">
        <f>November!P55</f>
        <v/>
      </c>
      <c r="Q56" s="325" t="str">
        <f>IFERROR(VLOOKUP(P56, Tarieven!$A$2:$J$150, 10, FALSE), "0")</f>
        <v>0</v>
      </c>
      <c r="R56" s="444" t="str">
        <f>November!R55</f>
        <v/>
      </c>
      <c r="S56" s="428" t="str">
        <f>November!S55</f>
        <v/>
      </c>
      <c r="T56" s="325" t="str">
        <f>IFERROR(VLOOKUP(S56, Tarieven!$A$2:$J$150, 10, FALSE), "0")</f>
        <v>0</v>
      </c>
      <c r="U56" s="77" t="str">
        <f>November!U55</f>
        <v/>
      </c>
      <c r="V56" s="327" t="str">
        <f>November!V55</f>
        <v/>
      </c>
      <c r="W56" s="325" t="str">
        <f>IFERROR(VLOOKUP(V56, Tarieven!$A$2:$J$150, 10, FALSE), "0")</f>
        <v>0</v>
      </c>
      <c r="X56" s="138">
        <f>November!X55</f>
        <v>0</v>
      </c>
      <c r="Y56" s="398">
        <v>0.0</v>
      </c>
      <c r="Z56" s="329">
        <f t="shared" si="3"/>
        <v>0</v>
      </c>
      <c r="AA56" s="32">
        <f t="shared" si="4"/>
        <v>0</v>
      </c>
      <c r="AB56" s="32">
        <f t="shared" si="5"/>
        <v>0</v>
      </c>
      <c r="AC56" s="32">
        <f t="shared" si="6"/>
        <v>0</v>
      </c>
    </row>
    <row r="57" ht="22.5" customHeight="1">
      <c r="A57" s="331" t="str">
        <f>Rooster!A58</f>
        <v/>
      </c>
      <c r="B57" s="396" t="str">
        <f>Rooster!B58</f>
        <v/>
      </c>
      <c r="C57" s="15" t="str">
        <f>Rooster!C58</f>
        <v/>
      </c>
      <c r="D57" s="11" t="str">
        <f>Rooster!D58</f>
        <v/>
      </c>
      <c r="E57" s="77"/>
      <c r="F57" s="327" t="str">
        <f>Rooster!E58</f>
        <v/>
      </c>
      <c r="G57" s="319" t="str">
        <f>IFERROR(VLOOKUP(F57, Docenten!$A$2:$G$30, 7, FALSE), "0")</f>
        <v>0</v>
      </c>
      <c r="H57" s="320">
        <f t="shared" si="7"/>
        <v>0</v>
      </c>
      <c r="I57" s="327" t="str">
        <f>Rooster!H58</f>
        <v/>
      </c>
      <c r="J57" s="321" t="str">
        <f>IFERROR(VLOOKUP(I57, Locaties!$A$2:$G$15, 7, FALSE), "0")</f>
        <v>0</v>
      </c>
      <c r="K57" s="42">
        <f t="shared" si="2"/>
        <v>0</v>
      </c>
      <c r="L57" s="427" t="str">
        <f>November!L56</f>
        <v/>
      </c>
      <c r="M57" s="428" t="str">
        <f>November!M56</f>
        <v/>
      </c>
      <c r="N57" s="321" t="str">
        <f>IFERROR(VLOOKUP(M57, Tarieven!$A$1:$J$150, 10, FALSE), "0")</f>
        <v>0</v>
      </c>
      <c r="O57" s="429" t="str">
        <f>November!O56</f>
        <v/>
      </c>
      <c r="P57" s="430" t="str">
        <f>November!P56</f>
        <v/>
      </c>
      <c r="Q57" s="325" t="str">
        <f>IFERROR(VLOOKUP(P57, Tarieven!$A$2:$J$150, 10, FALSE), "0")</f>
        <v>0</v>
      </c>
      <c r="R57" s="444" t="str">
        <f>November!R56</f>
        <v/>
      </c>
      <c r="S57" s="428" t="str">
        <f>November!S56</f>
        <v/>
      </c>
      <c r="T57" s="325" t="str">
        <f>IFERROR(VLOOKUP(S57, Tarieven!$A$2:$J$150, 10, FALSE), "0")</f>
        <v>0</v>
      </c>
      <c r="U57" s="77" t="str">
        <f>November!U56</f>
        <v/>
      </c>
      <c r="V57" s="327" t="str">
        <f>November!V56</f>
        <v/>
      </c>
      <c r="W57" s="325" t="str">
        <f>IFERROR(VLOOKUP(V57, Tarieven!$A$2:$J$150, 10, FALSE), "0")</f>
        <v>0</v>
      </c>
      <c r="X57" s="138">
        <f>November!X56</f>
        <v>0</v>
      </c>
      <c r="Y57" s="398">
        <v>0.0</v>
      </c>
      <c r="Z57" s="329">
        <f t="shared" si="3"/>
        <v>0</v>
      </c>
      <c r="AA57" s="32">
        <f t="shared" si="4"/>
        <v>0</v>
      </c>
      <c r="AB57" s="32">
        <f t="shared" si="5"/>
        <v>0</v>
      </c>
      <c r="AC57" s="32">
        <f t="shared" si="6"/>
        <v>0</v>
      </c>
    </row>
    <row r="58" ht="22.5" customHeight="1">
      <c r="A58" s="331" t="str">
        <f>Rooster!A59</f>
        <v/>
      </c>
      <c r="B58" s="396" t="str">
        <f>Rooster!B59</f>
        <v/>
      </c>
      <c r="C58" s="15" t="str">
        <f>Rooster!C59</f>
        <v/>
      </c>
      <c r="D58" s="11" t="str">
        <f>Rooster!D59</f>
        <v/>
      </c>
      <c r="E58" s="77"/>
      <c r="F58" s="327" t="str">
        <f>Rooster!E59</f>
        <v/>
      </c>
      <c r="G58" s="319" t="str">
        <f>IFERROR(VLOOKUP(F58, Docenten!$A$2:$G$30, 7, FALSE), "0")</f>
        <v>0</v>
      </c>
      <c r="H58" s="320">
        <f t="shared" si="7"/>
        <v>0</v>
      </c>
      <c r="I58" s="327" t="str">
        <f>Rooster!H59</f>
        <v/>
      </c>
      <c r="J58" s="321" t="str">
        <f>IFERROR(VLOOKUP(I58, Locaties!$A$2:$G$15, 7, FALSE), "0")</f>
        <v>0</v>
      </c>
      <c r="K58" s="42">
        <f t="shared" si="2"/>
        <v>0</v>
      </c>
      <c r="L58" s="427" t="str">
        <f>November!L57</f>
        <v/>
      </c>
      <c r="M58" s="428" t="str">
        <f>November!M57</f>
        <v/>
      </c>
      <c r="N58" s="321" t="str">
        <f>IFERROR(VLOOKUP(M58, Tarieven!$A$1:$J$150, 10, FALSE), "0")</f>
        <v>0</v>
      </c>
      <c r="O58" s="429" t="str">
        <f>November!O57</f>
        <v/>
      </c>
      <c r="P58" s="430" t="str">
        <f>November!P57</f>
        <v/>
      </c>
      <c r="Q58" s="325" t="str">
        <f>IFERROR(VLOOKUP(P58, Tarieven!$A$2:$J$150, 10, FALSE), "0")</f>
        <v>0</v>
      </c>
      <c r="R58" s="444" t="str">
        <f>November!R57</f>
        <v/>
      </c>
      <c r="S58" s="428" t="str">
        <f>November!S57</f>
        <v/>
      </c>
      <c r="T58" s="325" t="str">
        <f>IFERROR(VLOOKUP(S58, Tarieven!$A$2:$J$150, 10, FALSE), "0")</f>
        <v>0</v>
      </c>
      <c r="U58" s="77" t="str">
        <f>November!U57</f>
        <v/>
      </c>
      <c r="V58" s="327" t="str">
        <f>November!V57</f>
        <v/>
      </c>
      <c r="W58" s="325" t="str">
        <f>IFERROR(VLOOKUP(V58, Tarieven!$A$2:$J$150, 10, FALSE), "0")</f>
        <v>0</v>
      </c>
      <c r="X58" s="138">
        <f>November!X57</f>
        <v>0</v>
      </c>
      <c r="Y58" s="398">
        <v>0.0</v>
      </c>
      <c r="Z58" s="329">
        <f t="shared" si="3"/>
        <v>0</v>
      </c>
      <c r="AA58" s="32">
        <f t="shared" si="4"/>
        <v>0</v>
      </c>
      <c r="AB58" s="32">
        <f t="shared" si="5"/>
        <v>0</v>
      </c>
      <c r="AC58" s="32">
        <f t="shared" si="6"/>
        <v>0</v>
      </c>
    </row>
    <row r="59" ht="22.5" customHeight="1">
      <c r="A59" s="331" t="str">
        <f>Rooster!A60</f>
        <v/>
      </c>
      <c r="B59" s="396" t="str">
        <f>Rooster!B60</f>
        <v/>
      </c>
      <c r="C59" s="15" t="str">
        <f>Rooster!C60</f>
        <v/>
      </c>
      <c r="D59" s="11" t="str">
        <f>Rooster!D60</f>
        <v/>
      </c>
      <c r="E59" s="77"/>
      <c r="F59" s="327" t="str">
        <f>Rooster!E60</f>
        <v/>
      </c>
      <c r="G59" s="319" t="str">
        <f>IFERROR(VLOOKUP(F59, Docenten!$A$2:$G$30, 7, FALSE), "0")</f>
        <v>0</v>
      </c>
      <c r="H59" s="320">
        <f t="shared" si="7"/>
        <v>0</v>
      </c>
      <c r="I59" s="327" t="str">
        <f>Rooster!H60</f>
        <v/>
      </c>
      <c r="J59" s="321" t="str">
        <f>IFERROR(VLOOKUP(I59, Locaties!$A$2:$G$15, 7, FALSE), "0")</f>
        <v>0</v>
      </c>
      <c r="K59" s="42">
        <f t="shared" si="2"/>
        <v>0</v>
      </c>
      <c r="L59" s="427" t="str">
        <f>November!L58</f>
        <v/>
      </c>
      <c r="M59" s="428" t="str">
        <f>November!M58</f>
        <v/>
      </c>
      <c r="N59" s="321" t="str">
        <f>IFERROR(VLOOKUP(M59, Tarieven!$A$1:$J$150, 10, FALSE), "0")</f>
        <v>0</v>
      </c>
      <c r="O59" s="429" t="str">
        <f>November!O58</f>
        <v/>
      </c>
      <c r="P59" s="430" t="str">
        <f>November!P58</f>
        <v/>
      </c>
      <c r="Q59" s="325" t="str">
        <f>IFERROR(VLOOKUP(P59, Tarieven!$A$2:$J$150, 10, FALSE), "0")</f>
        <v>0</v>
      </c>
      <c r="R59" s="444" t="str">
        <f>November!R58</f>
        <v/>
      </c>
      <c r="S59" s="428" t="str">
        <f>November!S58</f>
        <v/>
      </c>
      <c r="T59" s="325" t="str">
        <f>IFERROR(VLOOKUP(S59, Tarieven!$A$2:$J$150, 10, FALSE), "0")</f>
        <v>0</v>
      </c>
      <c r="U59" s="77" t="str">
        <f>November!U58</f>
        <v/>
      </c>
      <c r="V59" s="327" t="str">
        <f>November!V58</f>
        <v/>
      </c>
      <c r="W59" s="325" t="str">
        <f>IFERROR(VLOOKUP(V59, Tarieven!$A$2:$J$150, 10, FALSE), "0")</f>
        <v>0</v>
      </c>
      <c r="X59" s="138">
        <f>November!X58</f>
        <v>0</v>
      </c>
      <c r="Y59" s="398">
        <v>0.0</v>
      </c>
      <c r="Z59" s="329">
        <f t="shared" si="3"/>
        <v>0</v>
      </c>
      <c r="AA59" s="32">
        <f t="shared" si="4"/>
        <v>0</v>
      </c>
      <c r="AB59" s="32">
        <f t="shared" si="5"/>
        <v>0</v>
      </c>
      <c r="AC59" s="32">
        <f t="shared" si="6"/>
        <v>0</v>
      </c>
    </row>
    <row r="60" ht="22.5" customHeight="1">
      <c r="A60" s="331" t="str">
        <f>Rooster!A61</f>
        <v/>
      </c>
      <c r="B60" s="396" t="str">
        <f>Rooster!B61</f>
        <v/>
      </c>
      <c r="C60" s="15" t="str">
        <f>Rooster!C61</f>
        <v/>
      </c>
      <c r="D60" s="11" t="str">
        <f>Rooster!D61</f>
        <v/>
      </c>
      <c r="E60" s="77"/>
      <c r="F60" s="327" t="str">
        <f>Rooster!E61</f>
        <v/>
      </c>
      <c r="G60" s="319" t="str">
        <f>IFERROR(VLOOKUP(F60, Docenten!$A$2:$G$30, 7, FALSE), "0")</f>
        <v>0</v>
      </c>
      <c r="H60" s="320">
        <f t="shared" si="7"/>
        <v>0</v>
      </c>
      <c r="I60" s="327" t="str">
        <f>Rooster!H61</f>
        <v/>
      </c>
      <c r="J60" s="321" t="str">
        <f>IFERROR(VLOOKUP(I60, Locaties!$A$2:$G$15, 7, FALSE), "0")</f>
        <v>0</v>
      </c>
      <c r="K60" s="42">
        <f t="shared" si="2"/>
        <v>0</v>
      </c>
      <c r="L60" s="427" t="str">
        <f>November!L59</f>
        <v/>
      </c>
      <c r="M60" s="428" t="str">
        <f>November!M59</f>
        <v/>
      </c>
      <c r="N60" s="321" t="str">
        <f>IFERROR(VLOOKUP(M60, Tarieven!$A$1:$J$150, 10, FALSE), "0")</f>
        <v>0</v>
      </c>
      <c r="O60" s="429" t="str">
        <f>November!O59</f>
        <v/>
      </c>
      <c r="P60" s="430" t="str">
        <f>November!P59</f>
        <v/>
      </c>
      <c r="Q60" s="325" t="str">
        <f>IFERROR(VLOOKUP(P60, Tarieven!$A$2:$J$150, 10, FALSE), "0")</f>
        <v>0</v>
      </c>
      <c r="R60" s="444" t="str">
        <f>November!R59</f>
        <v/>
      </c>
      <c r="S60" s="428" t="str">
        <f>November!S59</f>
        <v/>
      </c>
      <c r="T60" s="325" t="str">
        <f>IFERROR(VLOOKUP(S60, Tarieven!$A$2:$J$150, 10, FALSE), "0")</f>
        <v>0</v>
      </c>
      <c r="U60" s="77" t="str">
        <f>November!U59</f>
        <v/>
      </c>
      <c r="V60" s="327" t="str">
        <f>November!V59</f>
        <v/>
      </c>
      <c r="W60" s="325" t="str">
        <f>IFERROR(VLOOKUP(V60, Tarieven!$A$2:$J$150, 10, FALSE), "0")</f>
        <v>0</v>
      </c>
      <c r="X60" s="138">
        <f>November!X59</f>
        <v>0</v>
      </c>
      <c r="Y60" s="398">
        <v>0.0</v>
      </c>
      <c r="Z60" s="329">
        <f t="shared" si="3"/>
        <v>0</v>
      </c>
      <c r="AA60" s="32">
        <f t="shared" si="4"/>
        <v>0</v>
      </c>
      <c r="AB60" s="32">
        <f t="shared" si="5"/>
        <v>0</v>
      </c>
      <c r="AC60" s="32">
        <f t="shared" si="6"/>
        <v>0</v>
      </c>
    </row>
    <row r="61" ht="22.5" customHeight="1">
      <c r="A61" s="331" t="str">
        <f>Rooster!A62</f>
        <v/>
      </c>
      <c r="B61" s="396" t="str">
        <f>Rooster!B62</f>
        <v/>
      </c>
      <c r="C61" s="15" t="str">
        <f>Rooster!C62</f>
        <v/>
      </c>
      <c r="D61" s="11" t="str">
        <f>Rooster!D62</f>
        <v/>
      </c>
      <c r="E61" s="77"/>
      <c r="F61" s="327" t="str">
        <f>Rooster!E62</f>
        <v/>
      </c>
      <c r="G61" s="319" t="str">
        <f>IFERROR(VLOOKUP(F61, Docenten!$A$2:$G$30, 7, FALSE), "0")</f>
        <v>0</v>
      </c>
      <c r="H61" s="320">
        <f t="shared" si="7"/>
        <v>0</v>
      </c>
      <c r="I61" s="327" t="str">
        <f>Rooster!H62</f>
        <v/>
      </c>
      <c r="J61" s="321" t="str">
        <f>IFERROR(VLOOKUP(I61, Locaties!$A$2:$G$15, 7, FALSE), "0")</f>
        <v>0</v>
      </c>
      <c r="K61" s="42">
        <f t="shared" si="2"/>
        <v>0</v>
      </c>
      <c r="L61" s="427" t="str">
        <f>November!L60</f>
        <v/>
      </c>
      <c r="M61" s="428" t="str">
        <f>November!M60</f>
        <v/>
      </c>
      <c r="N61" s="321" t="str">
        <f>IFERROR(VLOOKUP(M61, Tarieven!$A$1:$J$150, 10, FALSE), "0")</f>
        <v>0</v>
      </c>
      <c r="O61" s="429" t="str">
        <f>November!O60</f>
        <v/>
      </c>
      <c r="P61" s="430" t="str">
        <f>November!P60</f>
        <v/>
      </c>
      <c r="Q61" s="325" t="str">
        <f>IFERROR(VLOOKUP(P61, Tarieven!$A$2:$J$150, 10, FALSE), "0")</f>
        <v>0</v>
      </c>
      <c r="R61" s="444" t="str">
        <f>November!R60</f>
        <v/>
      </c>
      <c r="S61" s="428" t="str">
        <f>November!S60</f>
        <v/>
      </c>
      <c r="T61" s="325" t="str">
        <f>IFERROR(VLOOKUP(S61, Tarieven!$A$2:$J$150, 10, FALSE), "0")</f>
        <v>0</v>
      </c>
      <c r="U61" s="77" t="str">
        <f>November!U60</f>
        <v/>
      </c>
      <c r="V61" s="327" t="str">
        <f>November!V60</f>
        <v/>
      </c>
      <c r="W61" s="325" t="str">
        <f>IFERROR(VLOOKUP(V61, Tarieven!$A$2:$J$150, 10, FALSE), "0")</f>
        <v>0</v>
      </c>
      <c r="X61" s="138">
        <f>November!X60</f>
        <v>0</v>
      </c>
      <c r="Y61" s="398">
        <v>0.0</v>
      </c>
      <c r="Z61" s="329">
        <f t="shared" si="3"/>
        <v>0</v>
      </c>
      <c r="AA61" s="32">
        <f t="shared" si="4"/>
        <v>0</v>
      </c>
      <c r="AB61" s="32">
        <f t="shared" si="5"/>
        <v>0</v>
      </c>
      <c r="AC61" s="32">
        <f t="shared" si="6"/>
        <v>0</v>
      </c>
    </row>
    <row r="62" ht="22.5" customHeight="1">
      <c r="A62" s="331" t="str">
        <f>Rooster!A63</f>
        <v/>
      </c>
      <c r="B62" s="396" t="str">
        <f>Rooster!B63</f>
        <v/>
      </c>
      <c r="C62" s="15" t="str">
        <f>Rooster!C63</f>
        <v/>
      </c>
      <c r="D62" s="11" t="str">
        <f>Rooster!D63</f>
        <v/>
      </c>
      <c r="E62" s="77"/>
      <c r="F62" s="327" t="str">
        <f>Rooster!E63</f>
        <v/>
      </c>
      <c r="G62" s="319" t="str">
        <f>IFERROR(VLOOKUP(F62, Docenten!$A$2:$G$30, 7, FALSE), "0")</f>
        <v>0</v>
      </c>
      <c r="H62" s="320">
        <f t="shared" si="7"/>
        <v>0</v>
      </c>
      <c r="I62" s="327" t="str">
        <f>Rooster!H63</f>
        <v/>
      </c>
      <c r="J62" s="321" t="str">
        <f>IFERROR(VLOOKUP(I62, Locaties!$A$2:$G$15, 7, FALSE), "0")</f>
        <v>0</v>
      </c>
      <c r="K62" s="42">
        <f t="shared" si="2"/>
        <v>0</v>
      </c>
      <c r="L62" s="427" t="str">
        <f>November!L61</f>
        <v/>
      </c>
      <c r="M62" s="428" t="str">
        <f>November!M61</f>
        <v/>
      </c>
      <c r="N62" s="321" t="str">
        <f>IFERROR(VLOOKUP(M62, Tarieven!$A$1:$J$150, 10, FALSE), "0")</f>
        <v>0</v>
      </c>
      <c r="O62" s="429" t="str">
        <f>November!O61</f>
        <v/>
      </c>
      <c r="P62" s="430" t="str">
        <f>November!P61</f>
        <v/>
      </c>
      <c r="Q62" s="325" t="str">
        <f>IFERROR(VLOOKUP(P62, Tarieven!$A$2:$J$150, 10, FALSE), "0")</f>
        <v>0</v>
      </c>
      <c r="R62" s="444" t="str">
        <f>November!R61</f>
        <v/>
      </c>
      <c r="S62" s="428" t="str">
        <f>November!S61</f>
        <v/>
      </c>
      <c r="T62" s="325" t="str">
        <f>IFERROR(VLOOKUP(S62, Tarieven!$A$2:$J$150, 10, FALSE), "0")</f>
        <v>0</v>
      </c>
      <c r="U62" s="77" t="str">
        <f>November!U61</f>
        <v/>
      </c>
      <c r="V62" s="327" t="str">
        <f>November!V61</f>
        <v/>
      </c>
      <c r="W62" s="325" t="str">
        <f>IFERROR(VLOOKUP(V62, Tarieven!$A$2:$J$150, 10, FALSE), "0")</f>
        <v>0</v>
      </c>
      <c r="X62" s="138">
        <f>November!X61</f>
        <v>0</v>
      </c>
      <c r="Y62" s="398">
        <v>0.0</v>
      </c>
      <c r="Z62" s="329">
        <f t="shared" si="3"/>
        <v>0</v>
      </c>
      <c r="AA62" s="32">
        <f t="shared" si="4"/>
        <v>0</v>
      </c>
      <c r="AB62" s="32">
        <f t="shared" si="5"/>
        <v>0</v>
      </c>
      <c r="AC62" s="32">
        <f t="shared" si="6"/>
        <v>0</v>
      </c>
    </row>
    <row r="63" ht="22.5" customHeight="1">
      <c r="A63" s="331" t="str">
        <f>Rooster!A64</f>
        <v/>
      </c>
      <c r="B63" s="396" t="str">
        <f>Rooster!B64</f>
        <v/>
      </c>
      <c r="C63" s="15" t="str">
        <f>Rooster!C64</f>
        <v/>
      </c>
      <c r="D63" s="11" t="str">
        <f>Rooster!D64</f>
        <v/>
      </c>
      <c r="E63" s="77"/>
      <c r="F63" s="327" t="str">
        <f>Rooster!E64</f>
        <v/>
      </c>
      <c r="G63" s="319" t="str">
        <f>IFERROR(VLOOKUP(F63, Docenten!$A$2:$G$30, 7, FALSE), "0")</f>
        <v>0</v>
      </c>
      <c r="H63" s="320">
        <f t="shared" si="7"/>
        <v>0</v>
      </c>
      <c r="I63" s="327" t="str">
        <f>Rooster!H64</f>
        <v/>
      </c>
      <c r="J63" s="321" t="str">
        <f>IFERROR(VLOOKUP(I63, Locaties!$A$2:$G$15, 7, FALSE), "0")</f>
        <v>0</v>
      </c>
      <c r="K63" s="42">
        <f t="shared" si="2"/>
        <v>0</v>
      </c>
      <c r="L63" s="427" t="str">
        <f>November!L62</f>
        <v/>
      </c>
      <c r="M63" s="428" t="str">
        <f>November!M62</f>
        <v/>
      </c>
      <c r="N63" s="321" t="str">
        <f>IFERROR(VLOOKUP(M63, Tarieven!$A$1:$J$150, 10, FALSE), "0")</f>
        <v>0</v>
      </c>
      <c r="O63" s="429" t="str">
        <f>November!O62</f>
        <v/>
      </c>
      <c r="P63" s="430" t="str">
        <f>November!P62</f>
        <v/>
      </c>
      <c r="Q63" s="325" t="str">
        <f>IFERROR(VLOOKUP(P63, Tarieven!$A$2:$J$150, 10, FALSE), "0")</f>
        <v>0</v>
      </c>
      <c r="R63" s="444" t="str">
        <f>November!R62</f>
        <v/>
      </c>
      <c r="S63" s="428" t="str">
        <f>November!S62</f>
        <v/>
      </c>
      <c r="T63" s="325" t="str">
        <f>IFERROR(VLOOKUP(S63, Tarieven!$A$2:$J$150, 10, FALSE), "0")</f>
        <v>0</v>
      </c>
      <c r="U63" s="77" t="str">
        <f>November!U62</f>
        <v/>
      </c>
      <c r="V63" s="327" t="str">
        <f>November!V62</f>
        <v/>
      </c>
      <c r="W63" s="325" t="str">
        <f>IFERROR(VLOOKUP(V63, Tarieven!$A$2:$J$150, 10, FALSE), "0")</f>
        <v>0</v>
      </c>
      <c r="X63" s="138">
        <f>November!X62</f>
        <v>0</v>
      </c>
      <c r="Y63" s="398">
        <v>0.0</v>
      </c>
      <c r="Z63" s="329">
        <f t="shared" si="3"/>
        <v>0</v>
      </c>
      <c r="AA63" s="32">
        <f t="shared" si="4"/>
        <v>0</v>
      </c>
      <c r="AB63" s="32">
        <f t="shared" si="5"/>
        <v>0</v>
      </c>
      <c r="AC63" s="32">
        <f t="shared" si="6"/>
        <v>0</v>
      </c>
    </row>
    <row r="64" ht="22.5" customHeight="1">
      <c r="A64" s="331" t="str">
        <f>Rooster!A65</f>
        <v/>
      </c>
      <c r="B64" s="396" t="str">
        <f>Rooster!B65</f>
        <v/>
      </c>
      <c r="C64" s="15" t="str">
        <f>Rooster!C65</f>
        <v/>
      </c>
      <c r="D64" s="11" t="str">
        <f>Rooster!D65</f>
        <v/>
      </c>
      <c r="E64" s="77"/>
      <c r="F64" s="327" t="str">
        <f>Rooster!E65</f>
        <v/>
      </c>
      <c r="G64" s="319" t="str">
        <f>IFERROR(VLOOKUP(F64, Docenten!$A$2:$G$30, 7, FALSE), "0")</f>
        <v>0</v>
      </c>
      <c r="H64" s="320">
        <f t="shared" si="7"/>
        <v>0</v>
      </c>
      <c r="I64" s="327" t="str">
        <f>Rooster!H65</f>
        <v/>
      </c>
      <c r="J64" s="321" t="str">
        <f>IFERROR(VLOOKUP(I64, Locaties!$A$2:$G$15, 7, FALSE), "0")</f>
        <v>0</v>
      </c>
      <c r="K64" s="42">
        <f t="shared" si="2"/>
        <v>0</v>
      </c>
      <c r="L64" s="427" t="str">
        <f>November!L63</f>
        <v/>
      </c>
      <c r="M64" s="428" t="str">
        <f>November!M63</f>
        <v/>
      </c>
      <c r="N64" s="321" t="str">
        <f>IFERROR(VLOOKUP(M64, Tarieven!$A$1:$J$150, 10, FALSE), "0")</f>
        <v>0</v>
      </c>
      <c r="O64" s="429" t="str">
        <f>November!O63</f>
        <v/>
      </c>
      <c r="P64" s="430" t="str">
        <f>November!P63</f>
        <v/>
      </c>
      <c r="Q64" s="325" t="str">
        <f>IFERROR(VLOOKUP(P64, Tarieven!$A$2:$J$150, 10, FALSE), "0")</f>
        <v>0</v>
      </c>
      <c r="R64" s="444" t="str">
        <f>November!R63</f>
        <v/>
      </c>
      <c r="S64" s="428" t="str">
        <f>November!S63</f>
        <v/>
      </c>
      <c r="T64" s="325" t="str">
        <f>IFERROR(VLOOKUP(S64, Tarieven!$A$2:$J$150, 10, FALSE), "0")</f>
        <v>0</v>
      </c>
      <c r="U64" s="77" t="str">
        <f>November!U63</f>
        <v/>
      </c>
      <c r="V64" s="327" t="str">
        <f>November!V63</f>
        <v/>
      </c>
      <c r="W64" s="325" t="str">
        <f>IFERROR(VLOOKUP(V64, Tarieven!$A$2:$J$150, 10, FALSE), "0")</f>
        <v>0</v>
      </c>
      <c r="X64" s="138">
        <f>November!X63</f>
        <v>0</v>
      </c>
      <c r="Y64" s="398">
        <v>0.0</v>
      </c>
      <c r="Z64" s="329">
        <f t="shared" si="3"/>
        <v>0</v>
      </c>
      <c r="AA64" s="32">
        <f t="shared" si="4"/>
        <v>0</v>
      </c>
      <c r="AB64" s="32">
        <f t="shared" si="5"/>
        <v>0</v>
      </c>
      <c r="AC64" s="32">
        <f t="shared" si="6"/>
        <v>0</v>
      </c>
    </row>
    <row r="65" ht="22.5" customHeight="1">
      <c r="A65" s="331" t="str">
        <f>Rooster!A66</f>
        <v/>
      </c>
      <c r="B65" s="396" t="str">
        <f>Rooster!B66</f>
        <v/>
      </c>
      <c r="C65" s="15" t="str">
        <f>Rooster!C66</f>
        <v/>
      </c>
      <c r="D65" s="11" t="str">
        <f>Rooster!D66</f>
        <v/>
      </c>
      <c r="E65" s="77"/>
      <c r="F65" s="327" t="str">
        <f>Rooster!E66</f>
        <v/>
      </c>
      <c r="G65" s="319" t="str">
        <f>IFERROR(VLOOKUP(F65, Docenten!$A$2:$G$30, 7, FALSE), "0")</f>
        <v>0</v>
      </c>
      <c r="H65" s="320">
        <f t="shared" si="7"/>
        <v>0</v>
      </c>
      <c r="I65" s="327" t="str">
        <f>Rooster!H66</f>
        <v/>
      </c>
      <c r="J65" s="321" t="str">
        <f>IFERROR(VLOOKUP(I65, Locaties!$A$2:$G$15, 7, FALSE), "0")</f>
        <v>0</v>
      </c>
      <c r="K65" s="42">
        <f t="shared" si="2"/>
        <v>0</v>
      </c>
      <c r="L65" s="427" t="str">
        <f>November!L64</f>
        <v/>
      </c>
      <c r="M65" s="428" t="str">
        <f>November!M64</f>
        <v/>
      </c>
      <c r="N65" s="321" t="str">
        <f>IFERROR(VLOOKUP(M65, Tarieven!$A$1:$J$150, 10, FALSE), "0")</f>
        <v>0</v>
      </c>
      <c r="O65" s="429" t="str">
        <f>November!O64</f>
        <v/>
      </c>
      <c r="P65" s="430" t="str">
        <f>November!P64</f>
        <v/>
      </c>
      <c r="Q65" s="325" t="str">
        <f>IFERROR(VLOOKUP(P65, Tarieven!$A$2:$J$150, 10, FALSE), "0")</f>
        <v>0</v>
      </c>
      <c r="R65" s="444" t="str">
        <f>November!R64</f>
        <v/>
      </c>
      <c r="S65" s="428" t="str">
        <f>November!S64</f>
        <v/>
      </c>
      <c r="T65" s="325" t="str">
        <f>IFERROR(VLOOKUP(S65, Tarieven!$A$2:$J$150, 10, FALSE), "0")</f>
        <v>0</v>
      </c>
      <c r="U65" s="77" t="str">
        <f>November!U64</f>
        <v/>
      </c>
      <c r="V65" s="327" t="str">
        <f>November!V64</f>
        <v/>
      </c>
      <c r="W65" s="325" t="str">
        <f>IFERROR(VLOOKUP(V65, Tarieven!$A$2:$J$150, 10, FALSE), "0")</f>
        <v>0</v>
      </c>
      <c r="X65" s="138">
        <f>November!X64</f>
        <v>0</v>
      </c>
      <c r="Y65" s="398">
        <v>0.0</v>
      </c>
      <c r="Z65" s="329">
        <f t="shared" si="3"/>
        <v>0</v>
      </c>
      <c r="AA65" s="32">
        <f t="shared" si="4"/>
        <v>0</v>
      </c>
      <c r="AB65" s="32">
        <f t="shared" si="5"/>
        <v>0</v>
      </c>
      <c r="AC65" s="32">
        <f t="shared" si="6"/>
        <v>0</v>
      </c>
    </row>
    <row r="66" ht="22.5" customHeight="1">
      <c r="A66" s="331" t="str">
        <f>Rooster!A67</f>
        <v/>
      </c>
      <c r="B66" s="396" t="str">
        <f>Rooster!B67</f>
        <v/>
      </c>
      <c r="C66" s="15" t="str">
        <f>Rooster!C67</f>
        <v/>
      </c>
      <c r="D66" s="11" t="str">
        <f>Rooster!D67</f>
        <v/>
      </c>
      <c r="E66" s="77"/>
      <c r="F66" s="327" t="str">
        <f>Rooster!E67</f>
        <v/>
      </c>
      <c r="G66" s="319" t="str">
        <f>IFERROR(VLOOKUP(F66, Docenten!$A$2:$G$30, 7, FALSE), "0")</f>
        <v>0</v>
      </c>
      <c r="H66" s="320">
        <f t="shared" si="7"/>
        <v>0</v>
      </c>
      <c r="I66" s="327" t="str">
        <f>Rooster!H67</f>
        <v/>
      </c>
      <c r="J66" s="321" t="str">
        <f>IFERROR(VLOOKUP(I66, Locaties!$A$2:$G$15, 7, FALSE), "0")</f>
        <v>0</v>
      </c>
      <c r="K66" s="42">
        <f t="shared" si="2"/>
        <v>0</v>
      </c>
      <c r="L66" s="427" t="str">
        <f>November!L65</f>
        <v/>
      </c>
      <c r="M66" s="428" t="str">
        <f>November!M65</f>
        <v/>
      </c>
      <c r="N66" s="321" t="str">
        <f>IFERROR(VLOOKUP(M66, Tarieven!$A$1:$J$150, 10, FALSE), "0")</f>
        <v>0</v>
      </c>
      <c r="O66" s="429" t="str">
        <f>November!O65</f>
        <v/>
      </c>
      <c r="P66" s="430" t="str">
        <f>November!P65</f>
        <v/>
      </c>
      <c r="Q66" s="325" t="str">
        <f>IFERROR(VLOOKUP(P66, Tarieven!$A$2:$J$150, 10, FALSE), "0")</f>
        <v>0</v>
      </c>
      <c r="R66" s="444" t="str">
        <f>November!R65</f>
        <v/>
      </c>
      <c r="S66" s="428" t="str">
        <f>November!S65</f>
        <v/>
      </c>
      <c r="T66" s="325" t="str">
        <f>IFERROR(VLOOKUP(S66, Tarieven!$A$2:$J$150, 10, FALSE), "0")</f>
        <v>0</v>
      </c>
      <c r="U66" s="77" t="str">
        <f>November!U65</f>
        <v/>
      </c>
      <c r="V66" s="327" t="str">
        <f>November!V65</f>
        <v/>
      </c>
      <c r="W66" s="325" t="str">
        <f>IFERROR(VLOOKUP(V66, Tarieven!$A$2:$J$150, 10, FALSE), "0")</f>
        <v>0</v>
      </c>
      <c r="X66" s="138">
        <f>November!X65</f>
        <v>0</v>
      </c>
      <c r="Y66" s="398">
        <v>0.0</v>
      </c>
      <c r="Z66" s="329">
        <f t="shared" si="3"/>
        <v>0</v>
      </c>
      <c r="AA66" s="32">
        <f t="shared" si="4"/>
        <v>0</v>
      </c>
      <c r="AB66" s="32">
        <f t="shared" si="5"/>
        <v>0</v>
      </c>
      <c r="AC66" s="32">
        <f t="shared" si="6"/>
        <v>0</v>
      </c>
    </row>
    <row r="67" ht="22.5" customHeight="1">
      <c r="A67" s="331" t="str">
        <f>Rooster!A68</f>
        <v/>
      </c>
      <c r="B67" s="396" t="str">
        <f>Rooster!B68</f>
        <v/>
      </c>
      <c r="C67" s="15" t="str">
        <f>Rooster!C68</f>
        <v/>
      </c>
      <c r="D67" s="11" t="str">
        <f>Rooster!D68</f>
        <v/>
      </c>
      <c r="E67" s="77"/>
      <c r="F67" s="327" t="str">
        <f>Rooster!E68</f>
        <v/>
      </c>
      <c r="G67" s="319" t="str">
        <f>IFERROR(VLOOKUP(F67, Docenten!$A$2:$G$30, 7, FALSE), "0")</f>
        <v>0</v>
      </c>
      <c r="H67" s="320">
        <f t="shared" si="7"/>
        <v>0</v>
      </c>
      <c r="I67" s="327" t="str">
        <f>Rooster!H68</f>
        <v/>
      </c>
      <c r="J67" s="321" t="str">
        <f>IFERROR(VLOOKUP(I67, Locaties!$A$2:$G$15, 7, FALSE), "0")</f>
        <v>0</v>
      </c>
      <c r="K67" s="42">
        <f t="shared" si="2"/>
        <v>0</v>
      </c>
      <c r="L67" s="427" t="str">
        <f>November!L66</f>
        <v/>
      </c>
      <c r="M67" s="428" t="str">
        <f>November!M66</f>
        <v/>
      </c>
      <c r="N67" s="321" t="str">
        <f>IFERROR(VLOOKUP(M67, Tarieven!$A$1:$J$150, 10, FALSE), "0")</f>
        <v>0</v>
      </c>
      <c r="O67" s="429" t="str">
        <f>November!O66</f>
        <v/>
      </c>
      <c r="P67" s="430" t="str">
        <f>November!P66</f>
        <v/>
      </c>
      <c r="Q67" s="325" t="str">
        <f>IFERROR(VLOOKUP(P67, Tarieven!$A$2:$J$150, 10, FALSE), "0")</f>
        <v>0</v>
      </c>
      <c r="R67" s="444" t="str">
        <f>November!R66</f>
        <v/>
      </c>
      <c r="S67" s="428" t="str">
        <f>November!S66</f>
        <v/>
      </c>
      <c r="T67" s="325" t="str">
        <f>IFERROR(VLOOKUP(S67, Tarieven!$A$2:$J$150, 10, FALSE), "0")</f>
        <v>0</v>
      </c>
      <c r="U67" s="77" t="str">
        <f>November!U66</f>
        <v/>
      </c>
      <c r="V67" s="327" t="str">
        <f>November!V66</f>
        <v/>
      </c>
      <c r="W67" s="325" t="str">
        <f>IFERROR(VLOOKUP(V67, Tarieven!$A$2:$J$150, 10, FALSE), "0")</f>
        <v>0</v>
      </c>
      <c r="X67" s="138">
        <f>November!X66</f>
        <v>0</v>
      </c>
      <c r="Y67" s="398">
        <v>0.0</v>
      </c>
      <c r="Z67" s="329">
        <f t="shared" si="3"/>
        <v>0</v>
      </c>
      <c r="AA67" s="32">
        <f t="shared" si="4"/>
        <v>0</v>
      </c>
      <c r="AB67" s="32">
        <f t="shared" si="5"/>
        <v>0</v>
      </c>
      <c r="AC67" s="32">
        <f t="shared" si="6"/>
        <v>0</v>
      </c>
    </row>
    <row r="68" ht="22.5" customHeight="1">
      <c r="A68" s="331" t="str">
        <f>Rooster!A69</f>
        <v/>
      </c>
      <c r="B68" s="396" t="str">
        <f>Rooster!B69</f>
        <v/>
      </c>
      <c r="C68" s="15" t="str">
        <f>Rooster!C69</f>
        <v/>
      </c>
      <c r="D68" s="11" t="str">
        <f>Rooster!D69</f>
        <v/>
      </c>
      <c r="E68" s="77"/>
      <c r="F68" s="327" t="str">
        <f>Rooster!E69</f>
        <v/>
      </c>
      <c r="G68" s="319" t="str">
        <f>IFERROR(VLOOKUP(F68, Docenten!$A$2:$G$30, 7, FALSE), "0")</f>
        <v>0</v>
      </c>
      <c r="H68" s="320">
        <f t="shared" si="7"/>
        <v>0</v>
      </c>
      <c r="I68" s="327" t="str">
        <f>Rooster!H69</f>
        <v/>
      </c>
      <c r="J68" s="321" t="str">
        <f>IFERROR(VLOOKUP(I68, Locaties!$A$2:$G$15, 7, FALSE), "0")</f>
        <v>0</v>
      </c>
      <c r="K68" s="42">
        <f t="shared" si="2"/>
        <v>0</v>
      </c>
      <c r="L68" s="427" t="str">
        <f>November!L67</f>
        <v/>
      </c>
      <c r="M68" s="428" t="str">
        <f>November!M67</f>
        <v/>
      </c>
      <c r="N68" s="321" t="str">
        <f>IFERROR(VLOOKUP(M68, Tarieven!$A$1:$J$150, 10, FALSE), "0")</f>
        <v>0</v>
      </c>
      <c r="O68" s="429" t="str">
        <f>November!O67</f>
        <v/>
      </c>
      <c r="P68" s="430" t="str">
        <f>November!P67</f>
        <v/>
      </c>
      <c r="Q68" s="325" t="str">
        <f>IFERROR(VLOOKUP(P68, Tarieven!$A$2:$J$150, 10, FALSE), "0")</f>
        <v>0</v>
      </c>
      <c r="R68" s="444" t="str">
        <f>November!R67</f>
        <v/>
      </c>
      <c r="S68" s="428" t="str">
        <f>November!S67</f>
        <v/>
      </c>
      <c r="T68" s="325" t="str">
        <f>IFERROR(VLOOKUP(S68, Tarieven!$A$2:$J$150, 10, FALSE), "0")</f>
        <v>0</v>
      </c>
      <c r="U68" s="77" t="str">
        <f>November!U67</f>
        <v/>
      </c>
      <c r="V68" s="327" t="str">
        <f>November!V67</f>
        <v/>
      </c>
      <c r="W68" s="325" t="str">
        <f>IFERROR(VLOOKUP(V68, Tarieven!$A$2:$J$150, 10, FALSE), "0")</f>
        <v>0</v>
      </c>
      <c r="X68" s="138">
        <f>November!X67</f>
        <v>0</v>
      </c>
      <c r="Y68" s="398">
        <v>0.0</v>
      </c>
      <c r="Z68" s="329">
        <f t="shared" si="3"/>
        <v>0</v>
      </c>
      <c r="AA68" s="32">
        <f t="shared" si="4"/>
        <v>0</v>
      </c>
      <c r="AB68" s="32">
        <f t="shared" si="5"/>
        <v>0</v>
      </c>
      <c r="AC68" s="32">
        <f t="shared" si="6"/>
        <v>0</v>
      </c>
    </row>
    <row r="69" ht="22.5" customHeight="1">
      <c r="A69" s="331" t="str">
        <f>Rooster!A70</f>
        <v/>
      </c>
      <c r="B69" s="396" t="str">
        <f>Rooster!B70</f>
        <v/>
      </c>
      <c r="C69" s="15" t="str">
        <f>Rooster!C70</f>
        <v/>
      </c>
      <c r="D69" s="11" t="str">
        <f>Rooster!D70</f>
        <v/>
      </c>
      <c r="E69" s="77"/>
      <c r="F69" s="327" t="str">
        <f>Rooster!E70</f>
        <v/>
      </c>
      <c r="G69" s="319" t="str">
        <f>IFERROR(VLOOKUP(F69, Docenten!$A$2:$G$30, 7, FALSE), "0")</f>
        <v>0</v>
      </c>
      <c r="H69" s="320">
        <f t="shared" si="7"/>
        <v>0</v>
      </c>
      <c r="I69" s="327" t="str">
        <f>Rooster!H70</f>
        <v/>
      </c>
      <c r="J69" s="321" t="str">
        <f>IFERROR(VLOOKUP(I69, Locaties!$A$2:$G$15, 7, FALSE), "0")</f>
        <v>0</v>
      </c>
      <c r="K69" s="42">
        <f t="shared" si="2"/>
        <v>0</v>
      </c>
      <c r="L69" s="427" t="str">
        <f>November!L68</f>
        <v/>
      </c>
      <c r="M69" s="428" t="str">
        <f>November!M68</f>
        <v/>
      </c>
      <c r="N69" s="321" t="str">
        <f>IFERROR(VLOOKUP(M69, Tarieven!$A$1:$J$150, 10, FALSE), "0")</f>
        <v>0</v>
      </c>
      <c r="O69" s="429" t="str">
        <f>November!O68</f>
        <v/>
      </c>
      <c r="P69" s="430" t="str">
        <f>November!P68</f>
        <v/>
      </c>
      <c r="Q69" s="325" t="str">
        <f>IFERROR(VLOOKUP(P69, Tarieven!$A$2:$J$150, 10, FALSE), "0")</f>
        <v>0</v>
      </c>
      <c r="R69" s="444" t="str">
        <f>November!R68</f>
        <v/>
      </c>
      <c r="S69" s="428" t="str">
        <f>November!S68</f>
        <v/>
      </c>
      <c r="T69" s="325" t="str">
        <f>IFERROR(VLOOKUP(S69, Tarieven!$A$2:$J$150, 10, FALSE), "0")</f>
        <v>0</v>
      </c>
      <c r="U69" s="77" t="str">
        <f>November!U68</f>
        <v/>
      </c>
      <c r="V69" s="327" t="str">
        <f>November!V68</f>
        <v/>
      </c>
      <c r="W69" s="325" t="str">
        <f>IFERROR(VLOOKUP(V69, Tarieven!$A$2:$J$150, 10, FALSE), "0")</f>
        <v>0</v>
      </c>
      <c r="X69" s="138">
        <f>November!X68</f>
        <v>0</v>
      </c>
      <c r="Y69" s="398">
        <v>0.0</v>
      </c>
      <c r="Z69" s="329">
        <f t="shared" si="3"/>
        <v>0</v>
      </c>
      <c r="AA69" s="32">
        <f t="shared" si="4"/>
        <v>0</v>
      </c>
      <c r="AB69" s="32">
        <f t="shared" si="5"/>
        <v>0</v>
      </c>
      <c r="AC69" s="32">
        <f t="shared" si="6"/>
        <v>0</v>
      </c>
    </row>
    <row r="70" ht="22.5" customHeight="1">
      <c r="A70" s="331" t="str">
        <f>Rooster!A71</f>
        <v/>
      </c>
      <c r="B70" s="396" t="str">
        <f>Rooster!B71</f>
        <v/>
      </c>
      <c r="C70" s="15" t="str">
        <f>Rooster!C71</f>
        <v/>
      </c>
      <c r="D70" s="11" t="str">
        <f>Rooster!D71</f>
        <v/>
      </c>
      <c r="E70" s="77"/>
      <c r="F70" s="327" t="str">
        <f>Rooster!E71</f>
        <v/>
      </c>
      <c r="G70" s="319" t="str">
        <f>IFERROR(VLOOKUP(F70, Docenten!$A$2:$G$30, 7, FALSE), "0")</f>
        <v>0</v>
      </c>
      <c r="H70" s="320">
        <f t="shared" si="7"/>
        <v>0</v>
      </c>
      <c r="I70" s="327" t="str">
        <f>Rooster!H71</f>
        <v/>
      </c>
      <c r="J70" s="321" t="str">
        <f>IFERROR(VLOOKUP(I70, Locaties!$A$2:$G$15, 7, FALSE), "0")</f>
        <v>0</v>
      </c>
      <c r="K70" s="42">
        <f t="shared" si="2"/>
        <v>0</v>
      </c>
      <c r="L70" s="427" t="str">
        <f>November!L69</f>
        <v/>
      </c>
      <c r="M70" s="428" t="str">
        <f>November!M69</f>
        <v/>
      </c>
      <c r="N70" s="321" t="str">
        <f>IFERROR(VLOOKUP(M70, Tarieven!$A$1:$J$150, 10, FALSE), "0")</f>
        <v>0</v>
      </c>
      <c r="O70" s="429" t="str">
        <f>November!O69</f>
        <v/>
      </c>
      <c r="P70" s="430" t="str">
        <f>November!P69</f>
        <v/>
      </c>
      <c r="Q70" s="325" t="str">
        <f>IFERROR(VLOOKUP(P70, Tarieven!$A$2:$J$150, 10, FALSE), "0")</f>
        <v>0</v>
      </c>
      <c r="R70" s="444" t="str">
        <f>November!R69</f>
        <v/>
      </c>
      <c r="S70" s="428" t="str">
        <f>November!S69</f>
        <v/>
      </c>
      <c r="T70" s="325" t="str">
        <f>IFERROR(VLOOKUP(S70, Tarieven!$A$2:$J$150, 10, FALSE), "0")</f>
        <v>0</v>
      </c>
      <c r="U70" s="77" t="str">
        <f>November!U69</f>
        <v/>
      </c>
      <c r="V70" s="327" t="str">
        <f>November!V69</f>
        <v/>
      </c>
      <c r="W70" s="325" t="str">
        <f>IFERROR(VLOOKUP(V70, Tarieven!$A$2:$J$150, 10, FALSE), "0")</f>
        <v>0</v>
      </c>
      <c r="X70" s="138">
        <f>November!X69</f>
        <v>0</v>
      </c>
      <c r="Y70" s="398">
        <v>0.0</v>
      </c>
      <c r="Z70" s="329">
        <f t="shared" si="3"/>
        <v>0</v>
      </c>
      <c r="AA70" s="32">
        <f t="shared" si="4"/>
        <v>0</v>
      </c>
      <c r="AB70" s="32">
        <f t="shared" si="5"/>
        <v>0</v>
      </c>
      <c r="AC70" s="32">
        <f t="shared" si="6"/>
        <v>0</v>
      </c>
    </row>
    <row r="71" ht="22.5" customHeight="1">
      <c r="A71" s="331" t="str">
        <f>Rooster!A72</f>
        <v/>
      </c>
      <c r="B71" s="396" t="str">
        <f>Rooster!B72</f>
        <v/>
      </c>
      <c r="C71" s="15" t="str">
        <f>Rooster!C72</f>
        <v/>
      </c>
      <c r="D71" s="11" t="str">
        <f>Rooster!D72</f>
        <v/>
      </c>
      <c r="E71" s="77"/>
      <c r="F71" s="327" t="str">
        <f>Rooster!E72</f>
        <v/>
      </c>
      <c r="G71" s="319" t="str">
        <f>IFERROR(VLOOKUP(F71, Docenten!$A$2:$G$30, 7, FALSE), "0")</f>
        <v>0</v>
      </c>
      <c r="H71" s="320">
        <f t="shared" si="7"/>
        <v>0</v>
      </c>
      <c r="I71" s="327" t="str">
        <f>Rooster!H72</f>
        <v/>
      </c>
      <c r="J71" s="321" t="str">
        <f>IFERROR(VLOOKUP(I71, Locaties!$A$2:$G$15, 7, FALSE), "0")</f>
        <v>0</v>
      </c>
      <c r="K71" s="42">
        <f t="shared" si="2"/>
        <v>0</v>
      </c>
      <c r="L71" s="427" t="str">
        <f>November!L70</f>
        <v/>
      </c>
      <c r="M71" s="428" t="str">
        <f>November!M70</f>
        <v/>
      </c>
      <c r="N71" s="321" t="str">
        <f>IFERROR(VLOOKUP(M71, Tarieven!$A$1:$J$150, 10, FALSE), "0")</f>
        <v>0</v>
      </c>
      <c r="O71" s="429" t="str">
        <f>November!O70</f>
        <v/>
      </c>
      <c r="P71" s="430" t="str">
        <f>November!P70</f>
        <v/>
      </c>
      <c r="Q71" s="325" t="str">
        <f>IFERROR(VLOOKUP(P71, Tarieven!$A$2:$J$150, 10, FALSE), "0")</f>
        <v>0</v>
      </c>
      <c r="R71" s="444" t="str">
        <f>November!R70</f>
        <v/>
      </c>
      <c r="S71" s="428" t="str">
        <f>November!S70</f>
        <v/>
      </c>
      <c r="T71" s="325" t="str">
        <f>IFERROR(VLOOKUP(S71, Tarieven!$A$2:$J$150, 10, FALSE), "0")</f>
        <v>0</v>
      </c>
      <c r="U71" s="77" t="str">
        <f>November!U70</f>
        <v/>
      </c>
      <c r="V71" s="327" t="str">
        <f>November!V70</f>
        <v/>
      </c>
      <c r="W71" s="325" t="str">
        <f>IFERROR(VLOOKUP(V71, Tarieven!$A$2:$J$150, 10, FALSE), "0")</f>
        <v>0</v>
      </c>
      <c r="X71" s="138">
        <f>November!X70</f>
        <v>0</v>
      </c>
      <c r="Y71" s="398">
        <v>0.0</v>
      </c>
      <c r="Z71" s="329">
        <f t="shared" si="3"/>
        <v>0</v>
      </c>
      <c r="AA71" s="32">
        <f t="shared" si="4"/>
        <v>0</v>
      </c>
      <c r="AB71" s="32">
        <f t="shared" si="5"/>
        <v>0</v>
      </c>
      <c r="AC71" s="32">
        <f t="shared" si="6"/>
        <v>0</v>
      </c>
    </row>
    <row r="72" ht="22.5" customHeight="1">
      <c r="A72" s="331" t="str">
        <f>Rooster!A73</f>
        <v/>
      </c>
      <c r="B72" s="396" t="str">
        <f>Rooster!B73</f>
        <v/>
      </c>
      <c r="C72" s="15" t="str">
        <f>Rooster!C73</f>
        <v/>
      </c>
      <c r="D72" s="11" t="str">
        <f>Rooster!D73</f>
        <v/>
      </c>
      <c r="E72" s="77"/>
      <c r="F72" s="327" t="str">
        <f>Rooster!E73</f>
        <v/>
      </c>
      <c r="G72" s="319" t="str">
        <f>IFERROR(VLOOKUP(F72, Docenten!$A$2:$G$30, 7, FALSE), "0")</f>
        <v>0</v>
      </c>
      <c r="H72" s="320">
        <f t="shared" si="7"/>
        <v>0</v>
      </c>
      <c r="I72" s="327" t="str">
        <f>Rooster!H73</f>
        <v/>
      </c>
      <c r="J72" s="321" t="str">
        <f>IFERROR(VLOOKUP(I72, Locaties!$A$2:$G$15, 7, FALSE), "0")</f>
        <v>0</v>
      </c>
      <c r="K72" s="42">
        <f t="shared" si="2"/>
        <v>0</v>
      </c>
      <c r="L72" s="427" t="str">
        <f>November!L71</f>
        <v/>
      </c>
      <c r="M72" s="428" t="str">
        <f>November!M71</f>
        <v/>
      </c>
      <c r="N72" s="321" t="str">
        <f>IFERROR(VLOOKUP(M72, Tarieven!$A$1:$J$150, 10, FALSE), "0")</f>
        <v>0</v>
      </c>
      <c r="O72" s="429" t="str">
        <f>November!O71</f>
        <v/>
      </c>
      <c r="P72" s="430" t="str">
        <f>November!P71</f>
        <v/>
      </c>
      <c r="Q72" s="325" t="str">
        <f>IFERROR(VLOOKUP(P72, Tarieven!$A$2:$J$150, 10, FALSE), "0")</f>
        <v>0</v>
      </c>
      <c r="R72" s="444" t="str">
        <f>November!R71</f>
        <v/>
      </c>
      <c r="S72" s="428" t="str">
        <f>November!S71</f>
        <v/>
      </c>
      <c r="T72" s="325" t="str">
        <f>IFERROR(VLOOKUP(S72, Tarieven!$A$2:$J$150, 10, FALSE), "0")</f>
        <v>0</v>
      </c>
      <c r="U72" s="77" t="str">
        <f>November!U71</f>
        <v/>
      </c>
      <c r="V72" s="327" t="str">
        <f>November!V71</f>
        <v/>
      </c>
      <c r="W72" s="325" t="str">
        <f>IFERROR(VLOOKUP(V72, Tarieven!$A$2:$J$150, 10, FALSE), "0")</f>
        <v>0</v>
      </c>
      <c r="X72" s="138">
        <f>November!X71</f>
        <v>0</v>
      </c>
      <c r="Y72" s="398">
        <v>0.0</v>
      </c>
      <c r="Z72" s="329">
        <f t="shared" si="3"/>
        <v>0</v>
      </c>
      <c r="AA72" s="32">
        <f t="shared" si="4"/>
        <v>0</v>
      </c>
      <c r="AB72" s="32">
        <f t="shared" si="5"/>
        <v>0</v>
      </c>
      <c r="AC72" s="32">
        <f t="shared" si="6"/>
        <v>0</v>
      </c>
    </row>
    <row r="73" ht="22.5" customHeight="1">
      <c r="A73" s="331" t="str">
        <f>Rooster!A74</f>
        <v/>
      </c>
      <c r="B73" s="396" t="str">
        <f>Rooster!B74</f>
        <v/>
      </c>
      <c r="C73" s="15" t="str">
        <f>Rooster!C74</f>
        <v/>
      </c>
      <c r="D73" s="11" t="str">
        <f>Rooster!D74</f>
        <v/>
      </c>
      <c r="E73" s="77"/>
      <c r="F73" s="327" t="str">
        <f>Rooster!E74</f>
        <v/>
      </c>
      <c r="G73" s="319" t="str">
        <f>IFERROR(VLOOKUP(F73, Docenten!$A$2:$G$30, 7, FALSE), "0")</f>
        <v>0</v>
      </c>
      <c r="H73" s="320">
        <f t="shared" si="7"/>
        <v>0</v>
      </c>
      <c r="I73" s="327" t="str">
        <f>Rooster!H74</f>
        <v/>
      </c>
      <c r="J73" s="321" t="str">
        <f>IFERROR(VLOOKUP(I73, Locaties!$A$2:$G$15, 7, FALSE), "0")</f>
        <v>0</v>
      </c>
      <c r="K73" s="42">
        <f t="shared" si="2"/>
        <v>0</v>
      </c>
      <c r="L73" s="427" t="str">
        <f>November!L72</f>
        <v/>
      </c>
      <c r="M73" s="428" t="str">
        <f>November!M72</f>
        <v/>
      </c>
      <c r="N73" s="321" t="str">
        <f>IFERROR(VLOOKUP(M73, Tarieven!$A$1:$J$150, 10, FALSE), "0")</f>
        <v>0</v>
      </c>
      <c r="O73" s="429" t="str">
        <f>November!O72</f>
        <v/>
      </c>
      <c r="P73" s="430" t="str">
        <f>November!P72</f>
        <v/>
      </c>
      <c r="Q73" s="325" t="str">
        <f>IFERROR(VLOOKUP(P73, Tarieven!$A$2:$J$150, 10, FALSE), "0")</f>
        <v>0</v>
      </c>
      <c r="R73" s="444" t="str">
        <f>November!R72</f>
        <v/>
      </c>
      <c r="S73" s="428" t="str">
        <f>November!S72</f>
        <v/>
      </c>
      <c r="T73" s="325" t="str">
        <f>IFERROR(VLOOKUP(S73, Tarieven!$A$2:$J$150, 10, FALSE), "0")</f>
        <v>0</v>
      </c>
      <c r="U73" s="77" t="str">
        <f>November!U72</f>
        <v/>
      </c>
      <c r="V73" s="327" t="str">
        <f>November!V72</f>
        <v/>
      </c>
      <c r="W73" s="325" t="str">
        <f>IFERROR(VLOOKUP(V73, Tarieven!$A$2:$J$150, 10, FALSE), "0")</f>
        <v>0</v>
      </c>
      <c r="X73" s="138">
        <f>November!X72</f>
        <v>0</v>
      </c>
      <c r="Y73" s="398">
        <v>0.0</v>
      </c>
      <c r="Z73" s="329">
        <f t="shared" si="3"/>
        <v>0</v>
      </c>
      <c r="AA73" s="32">
        <f t="shared" si="4"/>
        <v>0</v>
      </c>
      <c r="AB73" s="32">
        <f t="shared" si="5"/>
        <v>0</v>
      </c>
      <c r="AC73" s="32">
        <f t="shared" si="6"/>
        <v>0</v>
      </c>
    </row>
    <row r="74" ht="22.5" customHeight="1">
      <c r="A74" s="331" t="str">
        <f>Rooster!A75</f>
        <v/>
      </c>
      <c r="B74" s="396" t="str">
        <f>Rooster!B75</f>
        <v/>
      </c>
      <c r="C74" s="15" t="str">
        <f>Rooster!C75</f>
        <v/>
      </c>
      <c r="D74" s="11" t="str">
        <f>Rooster!D75</f>
        <v/>
      </c>
      <c r="E74" s="77"/>
      <c r="F74" s="327" t="str">
        <f>Rooster!E75</f>
        <v/>
      </c>
      <c r="G74" s="319" t="str">
        <f>IFERROR(VLOOKUP(F74, Docenten!$A$2:$G$30, 7, FALSE), "0")</f>
        <v>0</v>
      </c>
      <c r="H74" s="320">
        <f t="shared" si="7"/>
        <v>0</v>
      </c>
      <c r="I74" s="327" t="str">
        <f>Rooster!H75</f>
        <v/>
      </c>
      <c r="J74" s="321" t="str">
        <f>IFERROR(VLOOKUP(I74, Locaties!$A$2:$G$15, 7, FALSE), "0")</f>
        <v>0</v>
      </c>
      <c r="K74" s="42">
        <f t="shared" si="2"/>
        <v>0</v>
      </c>
      <c r="L74" s="427" t="str">
        <f>November!L73</f>
        <v/>
      </c>
      <c r="M74" s="428" t="str">
        <f>November!M73</f>
        <v/>
      </c>
      <c r="N74" s="321" t="str">
        <f>IFERROR(VLOOKUP(M74, Tarieven!$A$1:$J$150, 10, FALSE), "0")</f>
        <v>0</v>
      </c>
      <c r="O74" s="429" t="str">
        <f>November!O73</f>
        <v/>
      </c>
      <c r="P74" s="430" t="str">
        <f>November!P73</f>
        <v/>
      </c>
      <c r="Q74" s="325" t="str">
        <f>IFERROR(VLOOKUP(P74, Tarieven!$A$2:$J$150, 10, FALSE), "0")</f>
        <v>0</v>
      </c>
      <c r="R74" s="444" t="str">
        <f>November!R73</f>
        <v/>
      </c>
      <c r="S74" s="428" t="str">
        <f>November!S73</f>
        <v/>
      </c>
      <c r="T74" s="325" t="str">
        <f>IFERROR(VLOOKUP(S74, Tarieven!$A$2:$J$150, 10, FALSE), "0")</f>
        <v>0</v>
      </c>
      <c r="U74" s="77" t="str">
        <f>November!U73</f>
        <v/>
      </c>
      <c r="V74" s="327" t="str">
        <f>November!V73</f>
        <v/>
      </c>
      <c r="W74" s="325" t="str">
        <f>IFERROR(VLOOKUP(V74, Tarieven!$A$2:$J$150, 10, FALSE), "0")</f>
        <v>0</v>
      </c>
      <c r="X74" s="138">
        <f>November!X73</f>
        <v>0</v>
      </c>
      <c r="Y74" s="398">
        <v>0.0</v>
      </c>
      <c r="Z74" s="329">
        <f t="shared" si="3"/>
        <v>0</v>
      </c>
      <c r="AA74" s="32">
        <f t="shared" si="4"/>
        <v>0</v>
      </c>
      <c r="AB74" s="32">
        <f t="shared" si="5"/>
        <v>0</v>
      </c>
      <c r="AC74" s="32">
        <f t="shared" si="6"/>
        <v>0</v>
      </c>
    </row>
    <row r="75" ht="22.5" customHeight="1">
      <c r="A75" s="331" t="str">
        <f>Rooster!A76</f>
        <v/>
      </c>
      <c r="B75" s="396" t="str">
        <f>Rooster!B76</f>
        <v/>
      </c>
      <c r="C75" s="15" t="str">
        <f>Rooster!C76</f>
        <v/>
      </c>
      <c r="D75" s="11" t="str">
        <f>Rooster!D76</f>
        <v/>
      </c>
      <c r="E75" s="77"/>
      <c r="F75" s="327" t="str">
        <f>Rooster!E76</f>
        <v/>
      </c>
      <c r="G75" s="319" t="str">
        <f>IFERROR(VLOOKUP(F75, Docenten!$A$2:$G$30, 7, FALSE), "0")</f>
        <v>0</v>
      </c>
      <c r="H75" s="320">
        <f t="shared" si="7"/>
        <v>0</v>
      </c>
      <c r="I75" s="327" t="str">
        <f>Rooster!H76</f>
        <v/>
      </c>
      <c r="J75" s="321" t="str">
        <f>IFERROR(VLOOKUP(I75, Locaties!$A$2:$G$15, 7, FALSE), "0")</f>
        <v>0</v>
      </c>
      <c r="K75" s="42">
        <f t="shared" si="2"/>
        <v>0</v>
      </c>
      <c r="L75" s="427" t="str">
        <f>November!L74</f>
        <v/>
      </c>
      <c r="M75" s="428" t="str">
        <f>November!M74</f>
        <v/>
      </c>
      <c r="N75" s="321" t="str">
        <f>IFERROR(VLOOKUP(M75, Tarieven!$A$1:$J$150, 10, FALSE), "0")</f>
        <v>0</v>
      </c>
      <c r="O75" s="429" t="str">
        <f>November!O74</f>
        <v/>
      </c>
      <c r="P75" s="430" t="str">
        <f>November!P74</f>
        <v/>
      </c>
      <c r="Q75" s="325" t="str">
        <f>IFERROR(VLOOKUP(P75, Tarieven!$A$2:$J$150, 10, FALSE), "0")</f>
        <v>0</v>
      </c>
      <c r="R75" s="444" t="str">
        <f>November!R74</f>
        <v/>
      </c>
      <c r="S75" s="428" t="str">
        <f>November!S74</f>
        <v/>
      </c>
      <c r="T75" s="325" t="str">
        <f>IFERROR(VLOOKUP(S75, Tarieven!$A$2:$J$150, 10, FALSE), "0")</f>
        <v>0</v>
      </c>
      <c r="U75" s="77" t="str">
        <f>November!U74</f>
        <v/>
      </c>
      <c r="V75" s="327" t="str">
        <f>November!V74</f>
        <v/>
      </c>
      <c r="W75" s="325" t="str">
        <f>IFERROR(VLOOKUP(V75, Tarieven!$A$2:$J$150, 10, FALSE), "0")</f>
        <v>0</v>
      </c>
      <c r="X75" s="138">
        <f>November!X74</f>
        <v>0</v>
      </c>
      <c r="Y75" s="398">
        <v>0.0</v>
      </c>
      <c r="Z75" s="329">
        <f t="shared" si="3"/>
        <v>0</v>
      </c>
      <c r="AA75" s="32">
        <f t="shared" si="4"/>
        <v>0</v>
      </c>
      <c r="AB75" s="32">
        <f t="shared" si="5"/>
        <v>0</v>
      </c>
      <c r="AC75" s="32">
        <f t="shared" si="6"/>
        <v>0</v>
      </c>
    </row>
    <row r="76" ht="22.5" customHeight="1">
      <c r="A76" s="331" t="str">
        <f>Rooster!A77</f>
        <v/>
      </c>
      <c r="B76" s="396" t="str">
        <f>Rooster!B77</f>
        <v/>
      </c>
      <c r="C76" s="15" t="str">
        <f>Rooster!C77</f>
        <v/>
      </c>
      <c r="D76" s="11" t="str">
        <f>Rooster!D77</f>
        <v/>
      </c>
      <c r="E76" s="77"/>
      <c r="F76" s="327" t="str">
        <f>Rooster!E77</f>
        <v/>
      </c>
      <c r="G76" s="319" t="str">
        <f>IFERROR(VLOOKUP(F76, Docenten!$A$2:$G$30, 7, FALSE), "0")</f>
        <v>0</v>
      </c>
      <c r="H76" s="320">
        <f t="shared" si="7"/>
        <v>0</v>
      </c>
      <c r="I76" s="327" t="str">
        <f>Rooster!H77</f>
        <v/>
      </c>
      <c r="J76" s="321" t="str">
        <f>IFERROR(VLOOKUP(I76, Locaties!$A$2:$G$15, 7, FALSE), "0")</f>
        <v>0</v>
      </c>
      <c r="K76" s="42">
        <f t="shared" si="2"/>
        <v>0</v>
      </c>
      <c r="L76" s="427" t="str">
        <f>November!L75</f>
        <v/>
      </c>
      <c r="M76" s="428" t="str">
        <f>November!M75</f>
        <v/>
      </c>
      <c r="N76" s="321" t="str">
        <f>IFERROR(VLOOKUP(M76, Tarieven!$A$1:$J$150, 10, FALSE), "0")</f>
        <v>0</v>
      </c>
      <c r="O76" s="429" t="str">
        <f>November!O75</f>
        <v/>
      </c>
      <c r="P76" s="430" t="str">
        <f>November!P75</f>
        <v/>
      </c>
      <c r="Q76" s="325" t="str">
        <f>IFERROR(VLOOKUP(P76, Tarieven!$A$2:$J$150, 10, FALSE), "0")</f>
        <v>0</v>
      </c>
      <c r="R76" s="444" t="str">
        <f>November!R75</f>
        <v/>
      </c>
      <c r="S76" s="428" t="str">
        <f>November!S75</f>
        <v/>
      </c>
      <c r="T76" s="325" t="str">
        <f>IFERROR(VLOOKUP(S76, Tarieven!$A$2:$J$150, 10, FALSE), "0")</f>
        <v>0</v>
      </c>
      <c r="U76" s="77" t="str">
        <f>November!U75</f>
        <v/>
      </c>
      <c r="V76" s="327" t="str">
        <f>November!V75</f>
        <v/>
      </c>
      <c r="W76" s="325" t="str">
        <f>IFERROR(VLOOKUP(V76, Tarieven!$A$2:$J$150, 10, FALSE), "0")</f>
        <v>0</v>
      </c>
      <c r="X76" s="138">
        <f>November!X75</f>
        <v>0</v>
      </c>
      <c r="Y76" s="398">
        <v>0.0</v>
      </c>
      <c r="Z76" s="329">
        <f t="shared" si="3"/>
        <v>0</v>
      </c>
      <c r="AA76" s="32">
        <f t="shared" si="4"/>
        <v>0</v>
      </c>
      <c r="AB76" s="32">
        <f t="shared" si="5"/>
        <v>0</v>
      </c>
      <c r="AC76" s="32">
        <f t="shared" si="6"/>
        <v>0</v>
      </c>
    </row>
    <row r="77" ht="22.5" customHeight="1">
      <c r="A77" s="331" t="str">
        <f>Rooster!A78</f>
        <v/>
      </c>
      <c r="B77" s="396" t="str">
        <f>Rooster!B78</f>
        <v/>
      </c>
      <c r="C77" s="15" t="str">
        <f>Rooster!C78</f>
        <v/>
      </c>
      <c r="D77" s="11" t="str">
        <f>Rooster!D78</f>
        <v/>
      </c>
      <c r="E77" s="77"/>
      <c r="F77" s="327" t="str">
        <f>Rooster!E78</f>
        <v/>
      </c>
      <c r="G77" s="319" t="str">
        <f>IFERROR(VLOOKUP(F77, Docenten!$A$2:$G$30, 7, FALSE), "0")</f>
        <v>0</v>
      </c>
      <c r="H77" s="320">
        <f t="shared" si="7"/>
        <v>0</v>
      </c>
      <c r="I77" s="327" t="str">
        <f>Rooster!H78</f>
        <v/>
      </c>
      <c r="J77" s="321" t="str">
        <f>IFERROR(VLOOKUP(I77, Locaties!$A$2:$G$15, 7, FALSE), "0")</f>
        <v>0</v>
      </c>
      <c r="K77" s="42">
        <f t="shared" si="2"/>
        <v>0</v>
      </c>
      <c r="L77" s="427" t="str">
        <f>November!L76</f>
        <v/>
      </c>
      <c r="M77" s="428" t="str">
        <f>November!M76</f>
        <v/>
      </c>
      <c r="N77" s="321" t="str">
        <f>IFERROR(VLOOKUP(M77, Tarieven!$A$1:$J$150, 10, FALSE), "0")</f>
        <v>0</v>
      </c>
      <c r="O77" s="429" t="str">
        <f>November!O76</f>
        <v/>
      </c>
      <c r="P77" s="430" t="str">
        <f>November!P76</f>
        <v/>
      </c>
      <c r="Q77" s="325" t="str">
        <f>IFERROR(VLOOKUP(P77, Tarieven!$A$2:$J$150, 10, FALSE), "0")</f>
        <v>0</v>
      </c>
      <c r="R77" s="444" t="str">
        <f>November!R76</f>
        <v/>
      </c>
      <c r="S77" s="428" t="str">
        <f>November!S76</f>
        <v/>
      </c>
      <c r="T77" s="325" t="str">
        <f>IFERROR(VLOOKUP(S77, Tarieven!$A$2:$J$150, 10, FALSE), "0")</f>
        <v>0</v>
      </c>
      <c r="U77" s="77" t="str">
        <f>November!U76</f>
        <v/>
      </c>
      <c r="V77" s="327" t="str">
        <f>November!V76</f>
        <v/>
      </c>
      <c r="W77" s="325" t="str">
        <f>IFERROR(VLOOKUP(V77, Tarieven!$A$2:$J$150, 10, FALSE), "0")</f>
        <v>0</v>
      </c>
      <c r="X77" s="138">
        <f>November!X76</f>
        <v>0</v>
      </c>
      <c r="Y77" s="398">
        <v>0.0</v>
      </c>
      <c r="Z77" s="329">
        <f t="shared" si="3"/>
        <v>0</v>
      </c>
      <c r="AA77" s="32">
        <f t="shared" si="4"/>
        <v>0</v>
      </c>
      <c r="AB77" s="32">
        <f t="shared" si="5"/>
        <v>0</v>
      </c>
      <c r="AC77" s="32">
        <f t="shared" si="6"/>
        <v>0</v>
      </c>
    </row>
    <row r="78" ht="22.5" customHeight="1">
      <c r="A78" s="331" t="str">
        <f>Rooster!A79</f>
        <v/>
      </c>
      <c r="B78" s="396" t="str">
        <f>Rooster!B79</f>
        <v/>
      </c>
      <c r="C78" s="15" t="str">
        <f>Rooster!C79</f>
        <v/>
      </c>
      <c r="D78" s="11" t="str">
        <f>Rooster!D79</f>
        <v/>
      </c>
      <c r="E78" s="77"/>
      <c r="F78" s="327" t="str">
        <f>Rooster!E79</f>
        <v/>
      </c>
      <c r="G78" s="319" t="str">
        <f>IFERROR(VLOOKUP(F78, Docenten!$A$2:$G$30, 7, FALSE), "0")</f>
        <v>0</v>
      </c>
      <c r="H78" s="320">
        <f t="shared" si="7"/>
        <v>0</v>
      </c>
      <c r="I78" s="327" t="str">
        <f>Rooster!H79</f>
        <v/>
      </c>
      <c r="J78" s="321" t="str">
        <f>IFERROR(VLOOKUP(I78, Locaties!$A$2:$G$15, 7, FALSE), "0")</f>
        <v>0</v>
      </c>
      <c r="K78" s="42">
        <f t="shared" si="2"/>
        <v>0</v>
      </c>
      <c r="L78" s="427" t="str">
        <f>November!L77</f>
        <v/>
      </c>
      <c r="M78" s="428" t="str">
        <f>November!M77</f>
        <v/>
      </c>
      <c r="N78" s="321" t="str">
        <f>IFERROR(VLOOKUP(M78, Tarieven!$A$1:$J$150, 10, FALSE), "0")</f>
        <v>0</v>
      </c>
      <c r="O78" s="429" t="str">
        <f>November!O77</f>
        <v/>
      </c>
      <c r="P78" s="430" t="str">
        <f>November!P77</f>
        <v/>
      </c>
      <c r="Q78" s="325" t="str">
        <f>IFERROR(VLOOKUP(P78, Tarieven!$A$2:$J$150, 10, FALSE), "0")</f>
        <v>0</v>
      </c>
      <c r="R78" s="444" t="str">
        <f>November!R77</f>
        <v/>
      </c>
      <c r="S78" s="428" t="str">
        <f>November!S77</f>
        <v/>
      </c>
      <c r="T78" s="325" t="str">
        <f>IFERROR(VLOOKUP(S78, Tarieven!$A$2:$J$150, 10, FALSE), "0")</f>
        <v>0</v>
      </c>
      <c r="U78" s="77" t="str">
        <f>November!U77</f>
        <v/>
      </c>
      <c r="V78" s="327" t="str">
        <f>November!V77</f>
        <v/>
      </c>
      <c r="W78" s="325" t="str">
        <f>IFERROR(VLOOKUP(V78, Tarieven!$A$2:$J$150, 10, FALSE), "0")</f>
        <v>0</v>
      </c>
      <c r="X78" s="138">
        <f>November!X77</f>
        <v>0</v>
      </c>
      <c r="Y78" s="398">
        <v>0.0</v>
      </c>
      <c r="Z78" s="329">
        <f t="shared" si="3"/>
        <v>0</v>
      </c>
      <c r="AA78" s="32">
        <f t="shared" si="4"/>
        <v>0</v>
      </c>
      <c r="AB78" s="32">
        <f t="shared" si="5"/>
        <v>0</v>
      </c>
      <c r="AC78" s="32">
        <f t="shared" si="6"/>
        <v>0</v>
      </c>
    </row>
    <row r="79" ht="22.5" customHeight="1">
      <c r="A79" s="331" t="str">
        <f>Rooster!A80</f>
        <v/>
      </c>
      <c r="B79" s="396" t="str">
        <f>Rooster!B80</f>
        <v/>
      </c>
      <c r="C79" s="15" t="str">
        <f>Rooster!C80</f>
        <v/>
      </c>
      <c r="D79" s="11" t="str">
        <f>Rooster!D80</f>
        <v/>
      </c>
      <c r="E79" s="77"/>
      <c r="F79" s="327" t="str">
        <f>Rooster!E80</f>
        <v/>
      </c>
      <c r="G79" s="319" t="str">
        <f>IFERROR(VLOOKUP(F79, Docenten!$A$2:$G$30, 7, FALSE), "0")</f>
        <v>0</v>
      </c>
      <c r="H79" s="320">
        <f t="shared" si="7"/>
        <v>0</v>
      </c>
      <c r="I79" s="327" t="str">
        <f>Rooster!H80</f>
        <v/>
      </c>
      <c r="J79" s="321" t="str">
        <f>IFERROR(VLOOKUP(I79, Locaties!$A$2:$G$15, 7, FALSE), "0")</f>
        <v>0</v>
      </c>
      <c r="K79" s="42">
        <f t="shared" si="2"/>
        <v>0</v>
      </c>
      <c r="L79" s="427" t="str">
        <f>November!L78</f>
        <v/>
      </c>
      <c r="M79" s="428" t="str">
        <f>November!M78</f>
        <v/>
      </c>
      <c r="N79" s="321" t="str">
        <f>IFERROR(VLOOKUP(M79, Tarieven!$A$1:$J$150, 10, FALSE), "0")</f>
        <v>0</v>
      </c>
      <c r="O79" s="429" t="str">
        <f>November!O78</f>
        <v/>
      </c>
      <c r="P79" s="430" t="str">
        <f>November!P78</f>
        <v/>
      </c>
      <c r="Q79" s="325" t="str">
        <f>IFERROR(VLOOKUP(P79, Tarieven!$A$2:$J$150, 10, FALSE), "0")</f>
        <v>0</v>
      </c>
      <c r="R79" s="444" t="str">
        <f>November!R78</f>
        <v/>
      </c>
      <c r="S79" s="428" t="str">
        <f>November!S78</f>
        <v/>
      </c>
      <c r="T79" s="325" t="str">
        <f>IFERROR(VLOOKUP(S79, Tarieven!$A$2:$J$150, 10, FALSE), "0")</f>
        <v>0</v>
      </c>
      <c r="U79" s="77" t="str">
        <f>November!U78</f>
        <v/>
      </c>
      <c r="V79" s="327" t="str">
        <f>November!V78</f>
        <v/>
      </c>
      <c r="W79" s="325" t="str">
        <f>IFERROR(VLOOKUP(V79, Tarieven!$A$2:$J$150, 10, FALSE), "0")</f>
        <v>0</v>
      </c>
      <c r="X79" s="138">
        <f>November!X78</f>
        <v>0</v>
      </c>
      <c r="Y79" s="398">
        <v>0.0</v>
      </c>
      <c r="Z79" s="329">
        <f t="shared" si="3"/>
        <v>0</v>
      </c>
      <c r="AA79" s="32">
        <f t="shared" si="4"/>
        <v>0</v>
      </c>
      <c r="AB79" s="32">
        <f t="shared" si="5"/>
        <v>0</v>
      </c>
      <c r="AC79" s="32">
        <f t="shared" si="6"/>
        <v>0</v>
      </c>
    </row>
    <row r="80" ht="22.5" customHeight="1">
      <c r="A80" s="331" t="str">
        <f>Rooster!A81</f>
        <v/>
      </c>
      <c r="B80" s="396" t="str">
        <f>Rooster!B81</f>
        <v/>
      </c>
      <c r="C80" s="15" t="str">
        <f>Rooster!C81</f>
        <v/>
      </c>
      <c r="D80" s="11" t="str">
        <f>Rooster!D81</f>
        <v/>
      </c>
      <c r="E80" s="77"/>
      <c r="F80" s="327" t="str">
        <f>Rooster!E81</f>
        <v/>
      </c>
      <c r="G80" s="319" t="str">
        <f>IFERROR(VLOOKUP(F80, Docenten!$A$2:$G$30, 7, FALSE), "0")</f>
        <v>0</v>
      </c>
      <c r="H80" s="320">
        <f t="shared" si="7"/>
        <v>0</v>
      </c>
      <c r="I80" s="327" t="str">
        <f>Rooster!H81</f>
        <v/>
      </c>
      <c r="J80" s="321" t="str">
        <f>IFERROR(VLOOKUP(I80, Locaties!$A$2:$G$15, 7, FALSE), "0")</f>
        <v>0</v>
      </c>
      <c r="K80" s="42">
        <f t="shared" si="2"/>
        <v>0</v>
      </c>
      <c r="L80" s="427" t="str">
        <f>November!L79</f>
        <v/>
      </c>
      <c r="M80" s="428" t="str">
        <f>November!M79</f>
        <v/>
      </c>
      <c r="N80" s="321" t="str">
        <f>IFERROR(VLOOKUP(M80, Tarieven!$A$1:$J$150, 10, FALSE), "0")</f>
        <v>0</v>
      </c>
      <c r="O80" s="429" t="str">
        <f>November!O79</f>
        <v/>
      </c>
      <c r="P80" s="430" t="str">
        <f>November!P79</f>
        <v/>
      </c>
      <c r="Q80" s="325" t="str">
        <f>IFERROR(VLOOKUP(P80, Tarieven!$A$2:$J$150, 10, FALSE), "0")</f>
        <v>0</v>
      </c>
      <c r="R80" s="444" t="str">
        <f>November!R79</f>
        <v/>
      </c>
      <c r="S80" s="428" t="str">
        <f>November!S79</f>
        <v/>
      </c>
      <c r="T80" s="325" t="str">
        <f>IFERROR(VLOOKUP(S80, Tarieven!$A$2:$J$150, 10, FALSE), "0")</f>
        <v>0</v>
      </c>
      <c r="U80" s="77" t="str">
        <f>November!U79</f>
        <v/>
      </c>
      <c r="V80" s="327" t="str">
        <f>November!V79</f>
        <v/>
      </c>
      <c r="W80" s="325" t="str">
        <f>IFERROR(VLOOKUP(V80, Tarieven!$A$2:$J$150, 10, FALSE), "0")</f>
        <v>0</v>
      </c>
      <c r="X80" s="138">
        <f>November!X79</f>
        <v>0</v>
      </c>
      <c r="Y80" s="398">
        <v>0.0</v>
      </c>
      <c r="Z80" s="329">
        <f t="shared" si="3"/>
        <v>0</v>
      </c>
      <c r="AA80" s="32">
        <f t="shared" si="4"/>
        <v>0</v>
      </c>
      <c r="AB80" s="32">
        <f t="shared" si="5"/>
        <v>0</v>
      </c>
      <c r="AC80" s="32">
        <f t="shared" si="6"/>
        <v>0</v>
      </c>
    </row>
    <row r="81" ht="22.5" customHeight="1">
      <c r="A81" s="331" t="str">
        <f>Rooster!A82</f>
        <v/>
      </c>
      <c r="B81" s="396" t="str">
        <f>Rooster!B82</f>
        <v/>
      </c>
      <c r="C81" s="15" t="str">
        <f>Rooster!C82</f>
        <v/>
      </c>
      <c r="D81" s="11" t="str">
        <f>Rooster!D82</f>
        <v/>
      </c>
      <c r="E81" s="77"/>
      <c r="F81" s="327" t="str">
        <f>Rooster!E82</f>
        <v/>
      </c>
      <c r="G81" s="319" t="str">
        <f>IFERROR(VLOOKUP(F81, Docenten!$A$2:$G$30, 7, FALSE), "0")</f>
        <v>0</v>
      </c>
      <c r="H81" s="320">
        <f t="shared" si="7"/>
        <v>0</v>
      </c>
      <c r="I81" s="327" t="str">
        <f>Rooster!H82</f>
        <v/>
      </c>
      <c r="J81" s="321" t="str">
        <f>IFERROR(VLOOKUP(I81, Locaties!$A$2:$G$15, 7, FALSE), "0")</f>
        <v>0</v>
      </c>
      <c r="K81" s="42">
        <f t="shared" si="2"/>
        <v>0</v>
      </c>
      <c r="L81" s="427" t="str">
        <f>November!L80</f>
        <v/>
      </c>
      <c r="M81" s="428" t="str">
        <f>November!M80</f>
        <v/>
      </c>
      <c r="N81" s="321" t="str">
        <f>IFERROR(VLOOKUP(M81, Tarieven!$A$1:$J$150, 10, FALSE), "0")</f>
        <v>0</v>
      </c>
      <c r="O81" s="429" t="str">
        <f>November!O80</f>
        <v/>
      </c>
      <c r="P81" s="430" t="str">
        <f>November!P80</f>
        <v/>
      </c>
      <c r="Q81" s="325" t="str">
        <f>IFERROR(VLOOKUP(P81, Tarieven!$A$2:$J$150, 10, FALSE), "0")</f>
        <v>0</v>
      </c>
      <c r="R81" s="444" t="str">
        <f>November!R80</f>
        <v/>
      </c>
      <c r="S81" s="428" t="str">
        <f>November!S80</f>
        <v/>
      </c>
      <c r="T81" s="325" t="str">
        <f>IFERROR(VLOOKUP(S81, Tarieven!$A$2:$J$150, 10, FALSE), "0")</f>
        <v>0</v>
      </c>
      <c r="U81" s="77" t="str">
        <f>November!U80</f>
        <v/>
      </c>
      <c r="V81" s="327" t="str">
        <f>November!V80</f>
        <v/>
      </c>
      <c r="W81" s="325" t="str">
        <f>IFERROR(VLOOKUP(V81, Tarieven!$A$2:$J$150, 10, FALSE), "0")</f>
        <v>0</v>
      </c>
      <c r="X81" s="138">
        <f>November!X80</f>
        <v>0</v>
      </c>
      <c r="Y81" s="398">
        <v>0.0</v>
      </c>
      <c r="Z81" s="329">
        <f t="shared" si="3"/>
        <v>0</v>
      </c>
      <c r="AA81" s="32">
        <f t="shared" si="4"/>
        <v>0</v>
      </c>
      <c r="AB81" s="32">
        <f t="shared" si="5"/>
        <v>0</v>
      </c>
      <c r="AC81" s="32">
        <f t="shared" si="6"/>
        <v>0</v>
      </c>
    </row>
    <row r="82" ht="22.5" customHeight="1">
      <c r="A82" s="331" t="str">
        <f>Rooster!A83</f>
        <v/>
      </c>
      <c r="B82" s="396" t="str">
        <f>Rooster!B83</f>
        <v/>
      </c>
      <c r="C82" s="15" t="str">
        <f>Rooster!C83</f>
        <v/>
      </c>
      <c r="D82" s="11" t="str">
        <f>Rooster!D83</f>
        <v/>
      </c>
      <c r="E82" s="77"/>
      <c r="F82" s="327" t="str">
        <f>Rooster!E83</f>
        <v/>
      </c>
      <c r="G82" s="319" t="str">
        <f>IFERROR(VLOOKUP(F82, Docenten!$A$2:$G$30, 7, FALSE), "0")</f>
        <v>0</v>
      </c>
      <c r="H82" s="320">
        <f t="shared" si="7"/>
        <v>0</v>
      </c>
      <c r="I82" s="327" t="str">
        <f>Rooster!H83</f>
        <v/>
      </c>
      <c r="J82" s="321" t="str">
        <f>IFERROR(VLOOKUP(I82, Locaties!$A$2:$G$15, 7, FALSE), "0")</f>
        <v>0</v>
      </c>
      <c r="K82" s="42">
        <f t="shared" si="2"/>
        <v>0</v>
      </c>
      <c r="L82" s="427" t="str">
        <f>November!L81</f>
        <v/>
      </c>
      <c r="M82" s="428" t="str">
        <f>November!M81</f>
        <v/>
      </c>
      <c r="N82" s="321" t="str">
        <f>IFERROR(VLOOKUP(M82, Tarieven!$A$1:$J$150, 10, FALSE), "0")</f>
        <v>0</v>
      </c>
      <c r="O82" s="429" t="str">
        <f>November!O81</f>
        <v/>
      </c>
      <c r="P82" s="430" t="str">
        <f>November!P81</f>
        <v/>
      </c>
      <c r="Q82" s="325" t="str">
        <f>IFERROR(VLOOKUP(P82, Tarieven!$A$2:$J$150, 10, FALSE), "0")</f>
        <v>0</v>
      </c>
      <c r="R82" s="444" t="str">
        <f>November!R81</f>
        <v/>
      </c>
      <c r="S82" s="428" t="str">
        <f>November!S81</f>
        <v/>
      </c>
      <c r="T82" s="325" t="str">
        <f>IFERROR(VLOOKUP(S82, Tarieven!$A$2:$J$150, 10, FALSE), "0")</f>
        <v>0</v>
      </c>
      <c r="U82" s="77" t="str">
        <f>November!U81</f>
        <v/>
      </c>
      <c r="V82" s="327" t="str">
        <f>November!V81</f>
        <v/>
      </c>
      <c r="W82" s="325" t="str">
        <f>IFERROR(VLOOKUP(V82, Tarieven!$A$2:$J$150, 10, FALSE), "0")</f>
        <v>0</v>
      </c>
      <c r="X82" s="138">
        <f>November!X81</f>
        <v>0</v>
      </c>
      <c r="Y82" s="398">
        <v>0.0</v>
      </c>
      <c r="Z82" s="329">
        <f t="shared" si="3"/>
        <v>0</v>
      </c>
      <c r="AA82" s="32">
        <f t="shared" si="4"/>
        <v>0</v>
      </c>
      <c r="AB82" s="32">
        <f t="shared" si="5"/>
        <v>0</v>
      </c>
      <c r="AC82" s="32">
        <f t="shared" si="6"/>
        <v>0</v>
      </c>
    </row>
    <row r="83" ht="22.5" customHeight="1">
      <c r="A83" s="331" t="str">
        <f>Rooster!A84</f>
        <v/>
      </c>
      <c r="B83" s="396" t="str">
        <f>Rooster!B84</f>
        <v/>
      </c>
      <c r="C83" s="15" t="str">
        <f>Rooster!C84</f>
        <v/>
      </c>
      <c r="D83" s="11" t="str">
        <f>Rooster!D84</f>
        <v/>
      </c>
      <c r="E83" s="77"/>
      <c r="F83" s="327" t="str">
        <f>Rooster!E84</f>
        <v/>
      </c>
      <c r="G83" s="319" t="str">
        <f>IFERROR(VLOOKUP(F83, Docenten!$A$2:$G$30, 7, FALSE), "0")</f>
        <v>0</v>
      </c>
      <c r="H83" s="320">
        <f t="shared" si="7"/>
        <v>0</v>
      </c>
      <c r="I83" s="327" t="str">
        <f>Rooster!H84</f>
        <v/>
      </c>
      <c r="J83" s="321" t="str">
        <f>IFERROR(VLOOKUP(I83, Locaties!$A$2:$G$15, 7, FALSE), "0")</f>
        <v>0</v>
      </c>
      <c r="K83" s="42">
        <f t="shared" si="2"/>
        <v>0</v>
      </c>
      <c r="L83" s="427" t="str">
        <f>November!L82</f>
        <v/>
      </c>
      <c r="M83" s="428" t="str">
        <f>November!M82</f>
        <v/>
      </c>
      <c r="N83" s="321" t="str">
        <f>IFERROR(VLOOKUP(M83, Tarieven!$A$1:$J$150, 10, FALSE), "0")</f>
        <v>0</v>
      </c>
      <c r="O83" s="429" t="str">
        <f>November!O82</f>
        <v/>
      </c>
      <c r="P83" s="430" t="str">
        <f>November!P82</f>
        <v/>
      </c>
      <c r="Q83" s="325" t="str">
        <f>IFERROR(VLOOKUP(P83, Tarieven!$A$2:$J$150, 10, FALSE), "0")</f>
        <v>0</v>
      </c>
      <c r="R83" s="444" t="str">
        <f>November!R82</f>
        <v/>
      </c>
      <c r="S83" s="428" t="str">
        <f>November!S82</f>
        <v/>
      </c>
      <c r="T83" s="325" t="str">
        <f>IFERROR(VLOOKUP(S83, Tarieven!$A$2:$J$150, 10, FALSE), "0")</f>
        <v>0</v>
      </c>
      <c r="U83" s="77" t="str">
        <f>November!U82</f>
        <v/>
      </c>
      <c r="V83" s="327" t="str">
        <f>November!V82</f>
        <v/>
      </c>
      <c r="W83" s="325" t="str">
        <f>IFERROR(VLOOKUP(V83, Tarieven!$A$2:$J$150, 10, FALSE), "0")</f>
        <v>0</v>
      </c>
      <c r="X83" s="138">
        <f>November!X82</f>
        <v>0</v>
      </c>
      <c r="Y83" s="398">
        <v>0.0</v>
      </c>
      <c r="Z83" s="329">
        <f t="shared" si="3"/>
        <v>0</v>
      </c>
      <c r="AA83" s="32">
        <f t="shared" si="4"/>
        <v>0</v>
      </c>
      <c r="AB83" s="32">
        <f t="shared" si="5"/>
        <v>0</v>
      </c>
      <c r="AC83" s="32">
        <f t="shared" si="6"/>
        <v>0</v>
      </c>
    </row>
    <row r="84" ht="22.5" customHeight="1">
      <c r="A84" s="331" t="str">
        <f>Rooster!A85</f>
        <v/>
      </c>
      <c r="B84" s="396" t="str">
        <f>Rooster!B85</f>
        <v/>
      </c>
      <c r="C84" s="15" t="str">
        <f>Rooster!C85</f>
        <v/>
      </c>
      <c r="D84" s="11" t="str">
        <f>Rooster!D85</f>
        <v/>
      </c>
      <c r="E84" s="77"/>
      <c r="F84" s="327" t="str">
        <f>Rooster!E85</f>
        <v/>
      </c>
      <c r="G84" s="319" t="str">
        <f>IFERROR(VLOOKUP(F84, Docenten!$A$2:$G$30, 7, FALSE), "0")</f>
        <v>0</v>
      </c>
      <c r="H84" s="320">
        <f t="shared" si="7"/>
        <v>0</v>
      </c>
      <c r="I84" s="327" t="str">
        <f>Rooster!H85</f>
        <v/>
      </c>
      <c r="J84" s="321" t="str">
        <f>IFERROR(VLOOKUP(I84, Locaties!$A$2:$G$15, 7, FALSE), "0")</f>
        <v>0</v>
      </c>
      <c r="K84" s="42">
        <f t="shared" si="2"/>
        <v>0</v>
      </c>
      <c r="L84" s="427" t="str">
        <f>November!L83</f>
        <v/>
      </c>
      <c r="M84" s="428" t="str">
        <f>November!M83</f>
        <v/>
      </c>
      <c r="N84" s="321" t="str">
        <f>IFERROR(VLOOKUP(M84, Tarieven!$A$1:$J$150, 10, FALSE), "0")</f>
        <v>0</v>
      </c>
      <c r="O84" s="429" t="str">
        <f>November!O83</f>
        <v/>
      </c>
      <c r="P84" s="430" t="str">
        <f>November!P83</f>
        <v/>
      </c>
      <c r="Q84" s="325" t="str">
        <f>IFERROR(VLOOKUP(P84, Tarieven!$A$2:$J$150, 10, FALSE), "0")</f>
        <v>0</v>
      </c>
      <c r="R84" s="444" t="str">
        <f>November!R83</f>
        <v/>
      </c>
      <c r="S84" s="428" t="str">
        <f>November!S83</f>
        <v/>
      </c>
      <c r="T84" s="325" t="str">
        <f>IFERROR(VLOOKUP(S84, Tarieven!$A$2:$J$150, 10, FALSE), "0")</f>
        <v>0</v>
      </c>
      <c r="U84" s="77" t="str">
        <f>November!U83</f>
        <v/>
      </c>
      <c r="V84" s="327" t="str">
        <f>November!V83</f>
        <v/>
      </c>
      <c r="W84" s="325" t="str">
        <f>IFERROR(VLOOKUP(V84, Tarieven!$A$2:$J$150, 10, FALSE), "0")</f>
        <v>0</v>
      </c>
      <c r="X84" s="138">
        <f>November!X83</f>
        <v>0</v>
      </c>
      <c r="Y84" s="398">
        <v>0.0</v>
      </c>
      <c r="Z84" s="329">
        <f t="shared" si="3"/>
        <v>0</v>
      </c>
      <c r="AA84" s="32">
        <f t="shared" si="4"/>
        <v>0</v>
      </c>
      <c r="AB84" s="32">
        <f t="shared" si="5"/>
        <v>0</v>
      </c>
      <c r="AC84" s="32">
        <f t="shared" si="6"/>
        <v>0</v>
      </c>
    </row>
    <row r="85" ht="22.5" customHeight="1">
      <c r="A85" s="331" t="str">
        <f>Rooster!A86</f>
        <v/>
      </c>
      <c r="B85" s="396" t="str">
        <f>Rooster!B86</f>
        <v/>
      </c>
      <c r="C85" s="15" t="str">
        <f>Rooster!C86</f>
        <v/>
      </c>
      <c r="D85" s="11" t="str">
        <f>Rooster!D86</f>
        <v/>
      </c>
      <c r="E85" s="77"/>
      <c r="F85" s="327" t="str">
        <f>Rooster!E86</f>
        <v/>
      </c>
      <c r="G85" s="319" t="str">
        <f>IFERROR(VLOOKUP(F85, Docenten!$A$2:$G$30, 7, FALSE), "0")</f>
        <v>0</v>
      </c>
      <c r="H85" s="320">
        <f t="shared" si="7"/>
        <v>0</v>
      </c>
      <c r="I85" s="327" t="str">
        <f>Rooster!H86</f>
        <v/>
      </c>
      <c r="J85" s="321" t="str">
        <f>IFERROR(VLOOKUP(I85, Locaties!$A$2:$G$15, 7, FALSE), "0")</f>
        <v>0</v>
      </c>
      <c r="K85" s="42">
        <f t="shared" si="2"/>
        <v>0</v>
      </c>
      <c r="L85" s="427" t="str">
        <f>November!L84</f>
        <v/>
      </c>
      <c r="M85" s="428" t="str">
        <f>November!M84</f>
        <v/>
      </c>
      <c r="N85" s="321" t="str">
        <f>IFERROR(VLOOKUP(M85, Tarieven!$A$1:$J$150, 10, FALSE), "0")</f>
        <v>0</v>
      </c>
      <c r="O85" s="429" t="str">
        <f>November!O84</f>
        <v/>
      </c>
      <c r="P85" s="430" t="str">
        <f>November!P84</f>
        <v/>
      </c>
      <c r="Q85" s="325" t="str">
        <f>IFERROR(VLOOKUP(P85, Tarieven!$A$2:$J$150, 10, FALSE), "0")</f>
        <v>0</v>
      </c>
      <c r="R85" s="444" t="str">
        <f>November!R84</f>
        <v/>
      </c>
      <c r="S85" s="428" t="str">
        <f>November!S84</f>
        <v/>
      </c>
      <c r="T85" s="325" t="str">
        <f>IFERROR(VLOOKUP(S85, Tarieven!$A$2:$J$150, 10, FALSE), "0")</f>
        <v>0</v>
      </c>
      <c r="U85" s="77" t="str">
        <f>November!U84</f>
        <v/>
      </c>
      <c r="V85" s="327" t="str">
        <f>November!V84</f>
        <v/>
      </c>
      <c r="W85" s="325" t="str">
        <f>IFERROR(VLOOKUP(V85, Tarieven!$A$2:$J$150, 10, FALSE), "0")</f>
        <v>0</v>
      </c>
      <c r="X85" s="138">
        <f>November!X84</f>
        <v>0</v>
      </c>
      <c r="Y85" s="398">
        <v>0.0</v>
      </c>
      <c r="Z85" s="329">
        <f t="shared" si="3"/>
        <v>0</v>
      </c>
      <c r="AA85" s="32">
        <f t="shared" si="4"/>
        <v>0</v>
      </c>
      <c r="AB85" s="32">
        <f t="shared" si="5"/>
        <v>0</v>
      </c>
      <c r="AC85" s="32">
        <f t="shared" si="6"/>
        <v>0</v>
      </c>
    </row>
    <row r="86" ht="22.5" customHeight="1">
      <c r="A86" s="331" t="str">
        <f>Rooster!A87</f>
        <v/>
      </c>
      <c r="B86" s="396" t="str">
        <f>Rooster!B87</f>
        <v/>
      </c>
      <c r="C86" s="15" t="str">
        <f>Rooster!C87</f>
        <v/>
      </c>
      <c r="D86" s="11" t="str">
        <f>Rooster!D87</f>
        <v/>
      </c>
      <c r="E86" s="77"/>
      <c r="F86" s="327" t="str">
        <f>Rooster!E87</f>
        <v/>
      </c>
      <c r="G86" s="319" t="str">
        <f>IFERROR(VLOOKUP(F86, Docenten!$A$2:$G$30, 7, FALSE), "0")</f>
        <v>0</v>
      </c>
      <c r="H86" s="320">
        <f t="shared" si="7"/>
        <v>0</v>
      </c>
      <c r="I86" s="327" t="str">
        <f>Rooster!H87</f>
        <v/>
      </c>
      <c r="J86" s="321" t="str">
        <f>IFERROR(VLOOKUP(I86, Locaties!$A$2:$G$15, 7, FALSE), "0")</f>
        <v>0</v>
      </c>
      <c r="K86" s="42">
        <f t="shared" si="2"/>
        <v>0</v>
      </c>
      <c r="L86" s="427" t="str">
        <f>November!L85</f>
        <v/>
      </c>
      <c r="M86" s="428" t="str">
        <f>November!M85</f>
        <v/>
      </c>
      <c r="N86" s="321" t="str">
        <f>IFERROR(VLOOKUP(M86, Tarieven!$A$1:$J$150, 10, FALSE), "0")</f>
        <v>0</v>
      </c>
      <c r="O86" s="429" t="str">
        <f>November!O85</f>
        <v/>
      </c>
      <c r="P86" s="430" t="str">
        <f>November!P85</f>
        <v/>
      </c>
      <c r="Q86" s="325" t="str">
        <f>IFERROR(VLOOKUP(P86, Tarieven!$A$2:$J$150, 10, FALSE), "0")</f>
        <v>0</v>
      </c>
      <c r="R86" s="444" t="str">
        <f>November!R85</f>
        <v/>
      </c>
      <c r="S86" s="428" t="str">
        <f>November!S85</f>
        <v/>
      </c>
      <c r="T86" s="325" t="str">
        <f>IFERROR(VLOOKUP(S86, Tarieven!$A$2:$J$150, 10, FALSE), "0")</f>
        <v>0</v>
      </c>
      <c r="U86" s="77" t="str">
        <f>November!U85</f>
        <v/>
      </c>
      <c r="V86" s="327" t="str">
        <f>November!V85</f>
        <v/>
      </c>
      <c r="W86" s="325" t="str">
        <f>IFERROR(VLOOKUP(V86, Tarieven!$A$2:$J$150, 10, FALSE), "0")</f>
        <v>0</v>
      </c>
      <c r="X86" s="138">
        <f>November!X85</f>
        <v>0</v>
      </c>
      <c r="Y86" s="398">
        <v>0.0</v>
      </c>
      <c r="Z86" s="329">
        <f t="shared" si="3"/>
        <v>0</v>
      </c>
      <c r="AA86" s="32">
        <f t="shared" si="4"/>
        <v>0</v>
      </c>
      <c r="AB86" s="32">
        <f t="shared" si="5"/>
        <v>0</v>
      </c>
      <c r="AC86" s="32">
        <f t="shared" si="6"/>
        <v>0</v>
      </c>
    </row>
    <row r="87" ht="22.5" customHeight="1">
      <c r="A87" s="331" t="str">
        <f>Rooster!A88</f>
        <v/>
      </c>
      <c r="B87" s="396" t="str">
        <f>Rooster!B88</f>
        <v/>
      </c>
      <c r="C87" s="15" t="str">
        <f>Rooster!C88</f>
        <v/>
      </c>
      <c r="D87" s="11" t="str">
        <f>Rooster!D88</f>
        <v/>
      </c>
      <c r="E87" s="77"/>
      <c r="F87" s="327" t="str">
        <f>Rooster!E88</f>
        <v/>
      </c>
      <c r="G87" s="319" t="str">
        <f>IFERROR(VLOOKUP(F87, Docenten!$A$2:$G$30, 7, FALSE), "0")</f>
        <v>0</v>
      </c>
      <c r="H87" s="320">
        <f t="shared" si="7"/>
        <v>0</v>
      </c>
      <c r="I87" s="327" t="str">
        <f>Rooster!H88</f>
        <v/>
      </c>
      <c r="J87" s="321" t="str">
        <f>IFERROR(VLOOKUP(I87, Locaties!$A$2:$G$15, 7, FALSE), "0")</f>
        <v>0</v>
      </c>
      <c r="K87" s="42">
        <f t="shared" si="2"/>
        <v>0</v>
      </c>
      <c r="L87" s="427" t="str">
        <f>November!L86</f>
        <v/>
      </c>
      <c r="M87" s="428" t="str">
        <f>November!M86</f>
        <v/>
      </c>
      <c r="N87" s="321" t="str">
        <f>IFERROR(VLOOKUP(M87, Tarieven!$A$1:$J$150, 10, FALSE), "0")</f>
        <v>0</v>
      </c>
      <c r="O87" s="429" t="str">
        <f>November!O86</f>
        <v/>
      </c>
      <c r="P87" s="430" t="str">
        <f>November!P86</f>
        <v/>
      </c>
      <c r="Q87" s="325" t="str">
        <f>IFERROR(VLOOKUP(P87, Tarieven!$A$2:$J$150, 10, FALSE), "0")</f>
        <v>0</v>
      </c>
      <c r="R87" s="444" t="str">
        <f>November!R86</f>
        <v/>
      </c>
      <c r="S87" s="428" t="str">
        <f>November!S86</f>
        <v/>
      </c>
      <c r="T87" s="325" t="str">
        <f>IFERROR(VLOOKUP(S87, Tarieven!$A$2:$J$150, 10, FALSE), "0")</f>
        <v>0</v>
      </c>
      <c r="U87" s="77" t="str">
        <f>November!U86</f>
        <v/>
      </c>
      <c r="V87" s="327" t="str">
        <f>November!V86</f>
        <v/>
      </c>
      <c r="W87" s="325" t="str">
        <f>IFERROR(VLOOKUP(V87, Tarieven!$A$2:$J$150, 10, FALSE), "0")</f>
        <v>0</v>
      </c>
      <c r="X87" s="138">
        <f>November!X86</f>
        <v>0</v>
      </c>
      <c r="Y87" s="398">
        <v>0.0</v>
      </c>
      <c r="Z87" s="329">
        <f t="shared" si="3"/>
        <v>0</v>
      </c>
      <c r="AA87" s="32">
        <f t="shared" si="4"/>
        <v>0</v>
      </c>
      <c r="AB87" s="32">
        <f t="shared" si="5"/>
        <v>0</v>
      </c>
      <c r="AC87" s="32">
        <f t="shared" si="6"/>
        <v>0</v>
      </c>
    </row>
    <row r="88" ht="22.5" customHeight="1">
      <c r="A88" s="331" t="str">
        <f>Rooster!A89</f>
        <v/>
      </c>
      <c r="B88" s="396" t="str">
        <f>Rooster!B89</f>
        <v/>
      </c>
      <c r="C88" s="15" t="str">
        <f>Rooster!C89</f>
        <v/>
      </c>
      <c r="D88" s="11" t="str">
        <f>Rooster!D89</f>
        <v/>
      </c>
      <c r="E88" s="77"/>
      <c r="F88" s="327" t="str">
        <f>Rooster!E89</f>
        <v/>
      </c>
      <c r="G88" s="319" t="str">
        <f>IFERROR(VLOOKUP(F88, Docenten!$A$2:$G$30, 7, FALSE), "0")</f>
        <v>0</v>
      </c>
      <c r="H88" s="320">
        <f t="shared" si="7"/>
        <v>0</v>
      </c>
      <c r="I88" s="327" t="str">
        <f>Rooster!H89</f>
        <v/>
      </c>
      <c r="J88" s="321" t="str">
        <f>IFERROR(VLOOKUP(I88, Locaties!$A$2:$G$15, 7, FALSE), "0")</f>
        <v>0</v>
      </c>
      <c r="K88" s="42">
        <f t="shared" si="2"/>
        <v>0</v>
      </c>
      <c r="L88" s="427" t="str">
        <f>November!L87</f>
        <v/>
      </c>
      <c r="M88" s="428" t="str">
        <f>November!M87</f>
        <v/>
      </c>
      <c r="N88" s="321" t="str">
        <f>IFERROR(VLOOKUP(M88, Tarieven!$A$1:$J$150, 10, FALSE), "0")</f>
        <v>0</v>
      </c>
      <c r="O88" s="429" t="str">
        <f>November!O87</f>
        <v/>
      </c>
      <c r="P88" s="430" t="str">
        <f>November!P87</f>
        <v/>
      </c>
      <c r="Q88" s="325" t="str">
        <f>IFERROR(VLOOKUP(P88, Tarieven!$A$2:$J$150, 10, FALSE), "0")</f>
        <v>0</v>
      </c>
      <c r="R88" s="444" t="str">
        <f>November!R87</f>
        <v/>
      </c>
      <c r="S88" s="428" t="str">
        <f>November!S87</f>
        <v/>
      </c>
      <c r="T88" s="325" t="str">
        <f>IFERROR(VLOOKUP(S88, Tarieven!$A$2:$J$150, 10, FALSE), "0")</f>
        <v>0</v>
      </c>
      <c r="U88" s="77" t="str">
        <f>November!U87</f>
        <v/>
      </c>
      <c r="V88" s="327" t="str">
        <f>November!V87</f>
        <v/>
      </c>
      <c r="W88" s="325" t="str">
        <f>IFERROR(VLOOKUP(V88, Tarieven!$A$2:$J$150, 10, FALSE), "0")</f>
        <v>0</v>
      </c>
      <c r="X88" s="138">
        <f>November!X87</f>
        <v>0</v>
      </c>
      <c r="Y88" s="398">
        <v>0.0</v>
      </c>
      <c r="Z88" s="329">
        <f t="shared" si="3"/>
        <v>0</v>
      </c>
      <c r="AA88" s="32">
        <f t="shared" si="4"/>
        <v>0</v>
      </c>
      <c r="AB88" s="32">
        <f t="shared" si="5"/>
        <v>0</v>
      </c>
      <c r="AC88" s="32">
        <f t="shared" si="6"/>
        <v>0</v>
      </c>
    </row>
    <row r="89" ht="22.5" customHeight="1">
      <c r="A89" s="331" t="str">
        <f>Rooster!A90</f>
        <v/>
      </c>
      <c r="B89" s="396" t="str">
        <f>Rooster!B90</f>
        <v/>
      </c>
      <c r="C89" s="15" t="str">
        <f>Rooster!C90</f>
        <v/>
      </c>
      <c r="D89" s="11" t="str">
        <f>Rooster!D90</f>
        <v/>
      </c>
      <c r="E89" s="77"/>
      <c r="F89" s="327" t="str">
        <f>Rooster!E90</f>
        <v/>
      </c>
      <c r="G89" s="319" t="str">
        <f>IFERROR(VLOOKUP(F89, Docenten!$A$2:$G$30, 7, FALSE), "0")</f>
        <v>0</v>
      </c>
      <c r="H89" s="320">
        <f t="shared" si="7"/>
        <v>0</v>
      </c>
      <c r="I89" s="327" t="str">
        <f>Rooster!H90</f>
        <v/>
      </c>
      <c r="J89" s="321" t="str">
        <f>IFERROR(VLOOKUP(I89, Locaties!$A$2:$G$15, 7, FALSE), "0")</f>
        <v>0</v>
      </c>
      <c r="K89" s="42">
        <f t="shared" si="2"/>
        <v>0</v>
      </c>
      <c r="L89" s="427" t="str">
        <f>November!L88</f>
        <v/>
      </c>
      <c r="M89" s="428" t="str">
        <f>November!M88</f>
        <v/>
      </c>
      <c r="N89" s="321" t="str">
        <f>IFERROR(VLOOKUP(M89, Tarieven!$A$1:$J$150, 10, FALSE), "0")</f>
        <v>0</v>
      </c>
      <c r="O89" s="429" t="str">
        <f>November!O88</f>
        <v/>
      </c>
      <c r="P89" s="430" t="str">
        <f>November!P88</f>
        <v/>
      </c>
      <c r="Q89" s="325" t="str">
        <f>IFERROR(VLOOKUP(P89, Tarieven!$A$2:$J$150, 10, FALSE), "0")</f>
        <v>0</v>
      </c>
      <c r="R89" s="444" t="str">
        <f>November!R88</f>
        <v/>
      </c>
      <c r="S89" s="428" t="str">
        <f>November!S88</f>
        <v/>
      </c>
      <c r="T89" s="325" t="str">
        <f>IFERROR(VLOOKUP(S89, Tarieven!$A$2:$J$150, 10, FALSE), "0")</f>
        <v>0</v>
      </c>
      <c r="U89" s="77" t="str">
        <f>November!U88</f>
        <v/>
      </c>
      <c r="V89" s="327" t="str">
        <f>November!V88</f>
        <v/>
      </c>
      <c r="W89" s="325" t="str">
        <f>IFERROR(VLOOKUP(V89, Tarieven!$A$2:$J$150, 10, FALSE), "0")</f>
        <v>0</v>
      </c>
      <c r="X89" s="138">
        <f>November!X88</f>
        <v>0</v>
      </c>
      <c r="Y89" s="398">
        <v>0.0</v>
      </c>
      <c r="Z89" s="329">
        <f t="shared" si="3"/>
        <v>0</v>
      </c>
      <c r="AA89" s="32">
        <f t="shared" si="4"/>
        <v>0</v>
      </c>
      <c r="AB89" s="32">
        <f t="shared" si="5"/>
        <v>0</v>
      </c>
      <c r="AC89" s="32">
        <f t="shared" si="6"/>
        <v>0</v>
      </c>
    </row>
    <row r="90" ht="22.5" customHeight="1">
      <c r="A90" s="331" t="str">
        <f>Rooster!A91</f>
        <v/>
      </c>
      <c r="B90" s="396" t="str">
        <f>Rooster!B91</f>
        <v/>
      </c>
      <c r="C90" s="15" t="str">
        <f>Rooster!C91</f>
        <v/>
      </c>
      <c r="D90" s="11" t="str">
        <f>Rooster!D91</f>
        <v/>
      </c>
      <c r="E90" s="77"/>
      <c r="F90" s="327" t="str">
        <f>Rooster!E91</f>
        <v/>
      </c>
      <c r="G90" s="319" t="str">
        <f>IFERROR(VLOOKUP(F90, Docenten!$A$2:$G$30, 7, FALSE), "0")</f>
        <v>0</v>
      </c>
      <c r="H90" s="320">
        <f t="shared" si="7"/>
        <v>0</v>
      </c>
      <c r="I90" s="327" t="str">
        <f>Rooster!H91</f>
        <v/>
      </c>
      <c r="J90" s="321" t="str">
        <f>IFERROR(VLOOKUP(I90, Locaties!$A$2:$G$15, 7, FALSE), "0")</f>
        <v>0</v>
      </c>
      <c r="K90" s="42">
        <f t="shared" si="2"/>
        <v>0</v>
      </c>
      <c r="L90" s="427" t="str">
        <f>November!L89</f>
        <v/>
      </c>
      <c r="M90" s="428" t="str">
        <f>November!M89</f>
        <v/>
      </c>
      <c r="N90" s="321" t="str">
        <f>IFERROR(VLOOKUP(M90, Tarieven!$A$1:$J$150, 10, FALSE), "0")</f>
        <v>0</v>
      </c>
      <c r="O90" s="429" t="str">
        <f>November!O89</f>
        <v/>
      </c>
      <c r="P90" s="430" t="str">
        <f>November!P89</f>
        <v/>
      </c>
      <c r="Q90" s="325" t="str">
        <f>IFERROR(VLOOKUP(P90, Tarieven!$A$2:$J$150, 10, FALSE), "0")</f>
        <v>0</v>
      </c>
      <c r="R90" s="444" t="str">
        <f>November!R89</f>
        <v/>
      </c>
      <c r="S90" s="428" t="str">
        <f>November!S89</f>
        <v/>
      </c>
      <c r="T90" s="325" t="str">
        <f>IFERROR(VLOOKUP(S90, Tarieven!$A$2:$J$150, 10, FALSE), "0")</f>
        <v>0</v>
      </c>
      <c r="U90" s="77" t="str">
        <f>November!U89</f>
        <v/>
      </c>
      <c r="V90" s="327" t="str">
        <f>November!V89</f>
        <v/>
      </c>
      <c r="W90" s="325" t="str">
        <f>IFERROR(VLOOKUP(V90, Tarieven!$A$2:$J$150, 10, FALSE), "0")</f>
        <v>0</v>
      </c>
      <c r="X90" s="138">
        <f>November!X89</f>
        <v>0</v>
      </c>
      <c r="Y90" s="398">
        <v>0.0</v>
      </c>
      <c r="Z90" s="329">
        <f t="shared" si="3"/>
        <v>0</v>
      </c>
      <c r="AA90" s="32">
        <f t="shared" si="4"/>
        <v>0</v>
      </c>
      <c r="AB90" s="32">
        <f t="shared" si="5"/>
        <v>0</v>
      </c>
      <c r="AC90" s="32">
        <f t="shared" si="6"/>
        <v>0</v>
      </c>
    </row>
    <row r="91" ht="22.5" customHeight="1">
      <c r="A91" s="331" t="str">
        <f>Rooster!A92</f>
        <v/>
      </c>
      <c r="B91" s="396" t="str">
        <f>Rooster!B92</f>
        <v/>
      </c>
      <c r="C91" s="15" t="str">
        <f>Rooster!C92</f>
        <v/>
      </c>
      <c r="D91" s="11" t="str">
        <f>Rooster!D92</f>
        <v/>
      </c>
      <c r="E91" s="77"/>
      <c r="F91" s="327" t="str">
        <f>Rooster!E92</f>
        <v/>
      </c>
      <c r="G91" s="319" t="str">
        <f>IFERROR(VLOOKUP(F91, Docenten!$A$2:$G$30, 7, FALSE), "0")</f>
        <v>0</v>
      </c>
      <c r="H91" s="320">
        <f t="shared" si="7"/>
        <v>0</v>
      </c>
      <c r="I91" s="327" t="str">
        <f>Rooster!H92</f>
        <v/>
      </c>
      <c r="J91" s="321" t="str">
        <f>IFERROR(VLOOKUP(I91, Locaties!$A$2:$G$15, 7, FALSE), "0")</f>
        <v>0</v>
      </c>
      <c r="K91" s="42">
        <f t="shared" si="2"/>
        <v>0</v>
      </c>
      <c r="L91" s="427" t="str">
        <f>November!L90</f>
        <v/>
      </c>
      <c r="M91" s="428" t="str">
        <f>November!M90</f>
        <v/>
      </c>
      <c r="N91" s="321" t="str">
        <f>IFERROR(VLOOKUP(M91, Tarieven!$A$1:$J$150, 10, FALSE), "0")</f>
        <v>0</v>
      </c>
      <c r="O91" s="429" t="str">
        <f>November!O90</f>
        <v/>
      </c>
      <c r="P91" s="430" t="str">
        <f>November!P90</f>
        <v/>
      </c>
      <c r="Q91" s="325" t="str">
        <f>IFERROR(VLOOKUP(P91, Tarieven!$A$2:$J$150, 10, FALSE), "0")</f>
        <v>0</v>
      </c>
      <c r="R91" s="444" t="str">
        <f>November!R90</f>
        <v/>
      </c>
      <c r="S91" s="428" t="str">
        <f>November!S90</f>
        <v/>
      </c>
      <c r="T91" s="325" t="str">
        <f>IFERROR(VLOOKUP(S91, Tarieven!$A$2:$J$150, 10, FALSE), "0")</f>
        <v>0</v>
      </c>
      <c r="U91" s="77" t="str">
        <f>November!U90</f>
        <v/>
      </c>
      <c r="V91" s="327" t="str">
        <f>November!V90</f>
        <v/>
      </c>
      <c r="W91" s="325" t="str">
        <f>IFERROR(VLOOKUP(V91, Tarieven!$A$2:$J$150, 10, FALSE), "0")</f>
        <v>0</v>
      </c>
      <c r="X91" s="138">
        <f>November!X90</f>
        <v>0</v>
      </c>
      <c r="Y91" s="398">
        <v>0.0</v>
      </c>
      <c r="Z91" s="329">
        <f t="shared" si="3"/>
        <v>0</v>
      </c>
      <c r="AA91" s="32">
        <f t="shared" si="4"/>
        <v>0</v>
      </c>
      <c r="AB91" s="32">
        <f t="shared" si="5"/>
        <v>0</v>
      </c>
      <c r="AC91" s="32">
        <f t="shared" si="6"/>
        <v>0</v>
      </c>
    </row>
    <row r="92" ht="22.5" customHeight="1">
      <c r="A92" s="331" t="str">
        <f>Rooster!A93</f>
        <v/>
      </c>
      <c r="B92" s="396" t="str">
        <f>Rooster!B93</f>
        <v/>
      </c>
      <c r="C92" s="15" t="str">
        <f>Rooster!C93</f>
        <v/>
      </c>
      <c r="D92" s="11" t="str">
        <f>Rooster!D93</f>
        <v/>
      </c>
      <c r="E92" s="77"/>
      <c r="F92" s="327" t="str">
        <f>Rooster!E93</f>
        <v/>
      </c>
      <c r="G92" s="319" t="str">
        <f>IFERROR(VLOOKUP(F92, Docenten!$A$2:$G$30, 7, FALSE), "0")</f>
        <v>0</v>
      </c>
      <c r="H92" s="320">
        <f t="shared" si="7"/>
        <v>0</v>
      </c>
      <c r="I92" s="327" t="str">
        <f>Rooster!H93</f>
        <v/>
      </c>
      <c r="J92" s="321" t="str">
        <f>IFERROR(VLOOKUP(I92, Locaties!$A$2:$G$15, 7, FALSE), "0")</f>
        <v>0</v>
      </c>
      <c r="K92" s="42">
        <f t="shared" si="2"/>
        <v>0</v>
      </c>
      <c r="L92" s="427" t="str">
        <f>November!L91</f>
        <v/>
      </c>
      <c r="M92" s="428" t="str">
        <f>November!M91</f>
        <v/>
      </c>
      <c r="N92" s="321" t="str">
        <f>IFERROR(VLOOKUP(M92, Tarieven!$A$1:$J$150, 10, FALSE), "0")</f>
        <v>0</v>
      </c>
      <c r="O92" s="429" t="str">
        <f>November!O91</f>
        <v/>
      </c>
      <c r="P92" s="430" t="str">
        <f>November!P91</f>
        <v/>
      </c>
      <c r="Q92" s="325" t="str">
        <f>IFERROR(VLOOKUP(P92, Tarieven!$A$2:$J$150, 10, FALSE), "0")</f>
        <v>0</v>
      </c>
      <c r="R92" s="444" t="str">
        <f>November!R91</f>
        <v/>
      </c>
      <c r="S92" s="428" t="str">
        <f>November!S91</f>
        <v/>
      </c>
      <c r="T92" s="325" t="str">
        <f>IFERROR(VLOOKUP(S92, Tarieven!$A$2:$J$150, 10, FALSE), "0")</f>
        <v>0</v>
      </c>
      <c r="U92" s="77" t="str">
        <f>November!U91</f>
        <v/>
      </c>
      <c r="V92" s="327" t="str">
        <f>November!V91</f>
        <v/>
      </c>
      <c r="W92" s="325" t="str">
        <f>IFERROR(VLOOKUP(V92, Tarieven!$A$2:$J$150, 10, FALSE), "0")</f>
        <v>0</v>
      </c>
      <c r="X92" s="138">
        <f>November!X91</f>
        <v>0</v>
      </c>
      <c r="Y92" s="398">
        <v>0.0</v>
      </c>
      <c r="Z92" s="329">
        <f t="shared" si="3"/>
        <v>0</v>
      </c>
      <c r="AA92" s="32">
        <f t="shared" si="4"/>
        <v>0</v>
      </c>
      <c r="AB92" s="32">
        <f t="shared" si="5"/>
        <v>0</v>
      </c>
      <c r="AC92" s="32">
        <f t="shared" si="6"/>
        <v>0</v>
      </c>
    </row>
    <row r="93" ht="22.5" customHeight="1">
      <c r="A93" s="331" t="str">
        <f>Rooster!A94</f>
        <v/>
      </c>
      <c r="B93" s="396" t="str">
        <f>Rooster!B94</f>
        <v/>
      </c>
      <c r="C93" s="15" t="str">
        <f>Rooster!C94</f>
        <v/>
      </c>
      <c r="D93" s="11" t="str">
        <f>Rooster!D94</f>
        <v/>
      </c>
      <c r="E93" s="77"/>
      <c r="F93" s="327" t="str">
        <f>Rooster!E94</f>
        <v/>
      </c>
      <c r="G93" s="319" t="str">
        <f>IFERROR(VLOOKUP(F93, Docenten!$A$2:$G$30, 7, FALSE), "0")</f>
        <v>0</v>
      </c>
      <c r="H93" s="320">
        <f t="shared" si="7"/>
        <v>0</v>
      </c>
      <c r="I93" s="327" t="str">
        <f>Rooster!H94</f>
        <v/>
      </c>
      <c r="J93" s="321" t="str">
        <f>IFERROR(VLOOKUP(I93, Locaties!$A$2:$G$15, 7, FALSE), "0")</f>
        <v>0</v>
      </c>
      <c r="K93" s="42">
        <f t="shared" si="2"/>
        <v>0</v>
      </c>
      <c r="L93" s="427" t="str">
        <f>November!L92</f>
        <v/>
      </c>
      <c r="M93" s="428" t="str">
        <f>November!M92</f>
        <v/>
      </c>
      <c r="N93" s="321" t="str">
        <f>IFERROR(VLOOKUP(M93, Tarieven!$A$1:$J$150, 10, FALSE), "0")</f>
        <v>0</v>
      </c>
      <c r="O93" s="429" t="str">
        <f>November!O92</f>
        <v/>
      </c>
      <c r="P93" s="430" t="str">
        <f>November!P92</f>
        <v/>
      </c>
      <c r="Q93" s="325" t="str">
        <f>IFERROR(VLOOKUP(P93, Tarieven!$A$2:$J$150, 10, FALSE), "0")</f>
        <v>0</v>
      </c>
      <c r="R93" s="444" t="str">
        <f>November!R92</f>
        <v/>
      </c>
      <c r="S93" s="428" t="str">
        <f>November!S92</f>
        <v/>
      </c>
      <c r="T93" s="325" t="str">
        <f>IFERROR(VLOOKUP(S93, Tarieven!$A$2:$J$150, 10, FALSE), "0")</f>
        <v>0</v>
      </c>
      <c r="U93" s="77" t="str">
        <f>November!U92</f>
        <v/>
      </c>
      <c r="V93" s="327" t="str">
        <f>November!V92</f>
        <v/>
      </c>
      <c r="W93" s="325" t="str">
        <f>IFERROR(VLOOKUP(V93, Tarieven!$A$2:$J$150, 10, FALSE), "0")</f>
        <v>0</v>
      </c>
      <c r="X93" s="138">
        <f>November!X92</f>
        <v>0</v>
      </c>
      <c r="Y93" s="398">
        <v>0.0</v>
      </c>
      <c r="Z93" s="329">
        <f t="shared" si="3"/>
        <v>0</v>
      </c>
      <c r="AA93" s="32">
        <f t="shared" si="4"/>
        <v>0</v>
      </c>
      <c r="AB93" s="32">
        <f t="shared" si="5"/>
        <v>0</v>
      </c>
      <c r="AC93" s="32">
        <f t="shared" si="6"/>
        <v>0</v>
      </c>
    </row>
    <row r="94" ht="22.5" customHeight="1">
      <c r="A94" s="331" t="str">
        <f>Rooster!A95</f>
        <v/>
      </c>
      <c r="B94" s="396" t="str">
        <f>Rooster!B95</f>
        <v/>
      </c>
      <c r="C94" s="15" t="str">
        <f>Rooster!C95</f>
        <v/>
      </c>
      <c r="D94" s="11" t="str">
        <f>Rooster!D95</f>
        <v/>
      </c>
      <c r="E94" s="77"/>
      <c r="F94" s="327" t="str">
        <f>Rooster!E95</f>
        <v/>
      </c>
      <c r="G94" s="319" t="str">
        <f>IFERROR(VLOOKUP(F94, Docenten!$A$2:$G$30, 7, FALSE), "0")</f>
        <v>0</v>
      </c>
      <c r="H94" s="320">
        <f t="shared" si="7"/>
        <v>0</v>
      </c>
      <c r="I94" s="327" t="str">
        <f>Rooster!H95</f>
        <v/>
      </c>
      <c r="J94" s="321" t="str">
        <f>IFERROR(VLOOKUP(I94, Locaties!$A$2:$G$15, 7, FALSE), "0")</f>
        <v>0</v>
      </c>
      <c r="K94" s="42">
        <f t="shared" si="2"/>
        <v>0</v>
      </c>
      <c r="L94" s="427" t="str">
        <f>November!L93</f>
        <v/>
      </c>
      <c r="M94" s="428" t="str">
        <f>November!M93</f>
        <v/>
      </c>
      <c r="N94" s="321" t="str">
        <f>IFERROR(VLOOKUP(M94, Tarieven!$A$1:$J$150, 10, FALSE), "0")</f>
        <v>0</v>
      </c>
      <c r="O94" s="429" t="str">
        <f>November!O93</f>
        <v/>
      </c>
      <c r="P94" s="430" t="str">
        <f>November!P93</f>
        <v/>
      </c>
      <c r="Q94" s="325" t="str">
        <f>IFERROR(VLOOKUP(P94, Tarieven!$A$2:$J$150, 10, FALSE), "0")</f>
        <v>0</v>
      </c>
      <c r="R94" s="444" t="str">
        <f>November!R93</f>
        <v/>
      </c>
      <c r="S94" s="428" t="str">
        <f>November!S93</f>
        <v/>
      </c>
      <c r="T94" s="325" t="str">
        <f>IFERROR(VLOOKUP(S94, Tarieven!$A$2:$J$150, 10, FALSE), "0")</f>
        <v>0</v>
      </c>
      <c r="U94" s="77" t="str">
        <f>November!U93</f>
        <v/>
      </c>
      <c r="V94" s="327" t="str">
        <f>November!V93</f>
        <v/>
      </c>
      <c r="W94" s="325" t="str">
        <f>IFERROR(VLOOKUP(V94, Tarieven!$A$2:$J$150, 10, FALSE), "0")</f>
        <v>0</v>
      </c>
      <c r="X94" s="138">
        <f>November!X93</f>
        <v>0</v>
      </c>
      <c r="Y94" s="398">
        <v>0.0</v>
      </c>
      <c r="Z94" s="329">
        <f t="shared" si="3"/>
        <v>0</v>
      </c>
      <c r="AA94" s="32">
        <f t="shared" si="4"/>
        <v>0</v>
      </c>
      <c r="AB94" s="32">
        <f t="shared" si="5"/>
        <v>0</v>
      </c>
      <c r="AC94" s="32">
        <f t="shared" si="6"/>
        <v>0</v>
      </c>
    </row>
    <row r="95" ht="22.5" customHeight="1">
      <c r="A95" s="331" t="str">
        <f>Rooster!A96</f>
        <v/>
      </c>
      <c r="B95" s="396" t="str">
        <f>Rooster!B96</f>
        <v/>
      </c>
      <c r="C95" s="15" t="str">
        <f>Rooster!C96</f>
        <v/>
      </c>
      <c r="D95" s="11" t="str">
        <f>Rooster!D96</f>
        <v/>
      </c>
      <c r="E95" s="77"/>
      <c r="F95" s="327" t="str">
        <f>Rooster!E96</f>
        <v/>
      </c>
      <c r="G95" s="319" t="str">
        <f>IFERROR(VLOOKUP(F95, Docenten!$A$2:$G$30, 7, FALSE), "0")</f>
        <v>0</v>
      </c>
      <c r="H95" s="320">
        <f t="shared" si="7"/>
        <v>0</v>
      </c>
      <c r="I95" s="327" t="str">
        <f>Rooster!H96</f>
        <v/>
      </c>
      <c r="J95" s="321" t="str">
        <f>IFERROR(VLOOKUP(I95, Locaties!$A$2:$G$15, 7, FALSE), "0")</f>
        <v>0</v>
      </c>
      <c r="K95" s="42">
        <f t="shared" si="2"/>
        <v>0</v>
      </c>
      <c r="L95" s="427" t="str">
        <f>November!L94</f>
        <v/>
      </c>
      <c r="M95" s="428" t="str">
        <f>November!M94</f>
        <v/>
      </c>
      <c r="N95" s="321" t="str">
        <f>IFERROR(VLOOKUP(M95, Tarieven!$A$1:$J$150, 10, FALSE), "0")</f>
        <v>0</v>
      </c>
      <c r="O95" s="429" t="str">
        <f>November!O94</f>
        <v/>
      </c>
      <c r="P95" s="430" t="str">
        <f>November!P94</f>
        <v/>
      </c>
      <c r="Q95" s="325" t="str">
        <f>IFERROR(VLOOKUP(P95, Tarieven!$A$2:$J$150, 10, FALSE), "0")</f>
        <v>0</v>
      </c>
      <c r="R95" s="444" t="str">
        <f>November!R94</f>
        <v/>
      </c>
      <c r="S95" s="428" t="str">
        <f>November!S94</f>
        <v/>
      </c>
      <c r="T95" s="325" t="str">
        <f>IFERROR(VLOOKUP(S95, Tarieven!$A$2:$J$150, 10, FALSE), "0")</f>
        <v>0</v>
      </c>
      <c r="U95" s="77" t="str">
        <f>November!U94</f>
        <v/>
      </c>
      <c r="V95" s="327" t="str">
        <f>November!V94</f>
        <v/>
      </c>
      <c r="W95" s="325" t="str">
        <f>IFERROR(VLOOKUP(V95, Tarieven!$A$2:$J$150, 10, FALSE), "0")</f>
        <v>0</v>
      </c>
      <c r="X95" s="138">
        <f>November!X94</f>
        <v>0</v>
      </c>
      <c r="Y95" s="398">
        <v>0.0</v>
      </c>
      <c r="Z95" s="329">
        <f t="shared" si="3"/>
        <v>0</v>
      </c>
      <c r="AA95" s="32">
        <f t="shared" si="4"/>
        <v>0</v>
      </c>
      <c r="AB95" s="32">
        <f t="shared" si="5"/>
        <v>0</v>
      </c>
      <c r="AC95" s="32">
        <f t="shared" si="6"/>
        <v>0</v>
      </c>
    </row>
    <row r="96" ht="22.5" customHeight="1">
      <c r="A96" s="331" t="str">
        <f>Rooster!A97</f>
        <v/>
      </c>
      <c r="B96" s="396" t="str">
        <f>Rooster!B97</f>
        <v/>
      </c>
      <c r="C96" s="15" t="str">
        <f>Rooster!C97</f>
        <v/>
      </c>
      <c r="D96" s="11" t="str">
        <f>Rooster!D97</f>
        <v/>
      </c>
      <c r="E96" s="77"/>
      <c r="F96" s="327" t="str">
        <f>Rooster!E97</f>
        <v/>
      </c>
      <c r="G96" s="319" t="str">
        <f>IFERROR(VLOOKUP(F96, Docenten!$A$2:$G$30, 7, FALSE), "0")</f>
        <v>0</v>
      </c>
      <c r="H96" s="320">
        <f t="shared" si="7"/>
        <v>0</v>
      </c>
      <c r="I96" s="327" t="str">
        <f>Rooster!H97</f>
        <v/>
      </c>
      <c r="J96" s="321" t="str">
        <f>IFERROR(VLOOKUP(I96, Locaties!$A$2:$G$15, 7, FALSE), "0")</f>
        <v>0</v>
      </c>
      <c r="K96" s="42">
        <f t="shared" si="2"/>
        <v>0</v>
      </c>
      <c r="L96" s="427" t="str">
        <f>November!L95</f>
        <v/>
      </c>
      <c r="M96" s="428" t="str">
        <f>November!M95</f>
        <v/>
      </c>
      <c r="N96" s="321" t="str">
        <f>IFERROR(VLOOKUP(M96, Tarieven!$A$1:$J$150, 10, FALSE), "0")</f>
        <v>0</v>
      </c>
      <c r="O96" s="429" t="str">
        <f>November!O95</f>
        <v/>
      </c>
      <c r="P96" s="430" t="str">
        <f>November!P95</f>
        <v/>
      </c>
      <c r="Q96" s="325" t="str">
        <f>IFERROR(VLOOKUP(P96, Tarieven!$A$2:$J$150, 10, FALSE), "0")</f>
        <v>0</v>
      </c>
      <c r="R96" s="444" t="str">
        <f>November!R95</f>
        <v/>
      </c>
      <c r="S96" s="428" t="str">
        <f>November!S95</f>
        <v/>
      </c>
      <c r="T96" s="325" t="str">
        <f>IFERROR(VLOOKUP(S96, Tarieven!$A$2:$J$150, 10, FALSE), "0")</f>
        <v>0</v>
      </c>
      <c r="U96" s="77" t="str">
        <f>November!U95</f>
        <v/>
      </c>
      <c r="V96" s="327" t="str">
        <f>November!V95</f>
        <v/>
      </c>
      <c r="W96" s="325" t="str">
        <f>IFERROR(VLOOKUP(V96, Tarieven!$A$2:$J$150, 10, FALSE), "0")</f>
        <v>0</v>
      </c>
      <c r="X96" s="138">
        <f>November!X95</f>
        <v>0</v>
      </c>
      <c r="Y96" s="398">
        <v>0.0</v>
      </c>
      <c r="Z96" s="329">
        <f t="shared" si="3"/>
        <v>0</v>
      </c>
      <c r="AA96" s="32">
        <f t="shared" si="4"/>
        <v>0</v>
      </c>
      <c r="AB96" s="32">
        <f t="shared" si="5"/>
        <v>0</v>
      </c>
      <c r="AC96" s="32">
        <f t="shared" si="6"/>
        <v>0</v>
      </c>
    </row>
    <row r="97" ht="22.5" customHeight="1">
      <c r="A97" s="331" t="str">
        <f>Rooster!A98</f>
        <v/>
      </c>
      <c r="B97" s="396" t="str">
        <f>Rooster!B98</f>
        <v/>
      </c>
      <c r="C97" s="15" t="str">
        <f>Rooster!C98</f>
        <v/>
      </c>
      <c r="D97" s="11" t="str">
        <f>Rooster!D98</f>
        <v/>
      </c>
      <c r="E97" s="77"/>
      <c r="F97" s="327" t="str">
        <f>Rooster!E98</f>
        <v/>
      </c>
      <c r="G97" s="319" t="str">
        <f>IFERROR(VLOOKUP(F97, Docenten!$A$2:$G$30, 7, FALSE), "0")</f>
        <v>0</v>
      </c>
      <c r="H97" s="320">
        <f t="shared" si="7"/>
        <v>0</v>
      </c>
      <c r="I97" s="327" t="str">
        <f>Rooster!H98</f>
        <v/>
      </c>
      <c r="J97" s="321" t="str">
        <f>IFERROR(VLOOKUP(I97, Locaties!$A$2:$G$15, 7, FALSE), "0")</f>
        <v>0</v>
      </c>
      <c r="K97" s="42">
        <f t="shared" si="2"/>
        <v>0</v>
      </c>
      <c r="L97" s="427" t="str">
        <f>November!L96</f>
        <v/>
      </c>
      <c r="M97" s="428" t="str">
        <f>November!M96</f>
        <v/>
      </c>
      <c r="N97" s="321" t="str">
        <f>IFERROR(VLOOKUP(M97, Tarieven!$A$1:$J$150, 10, FALSE), "0")</f>
        <v>0</v>
      </c>
      <c r="O97" s="429" t="str">
        <f>November!O96</f>
        <v/>
      </c>
      <c r="P97" s="430" t="str">
        <f>November!P96</f>
        <v/>
      </c>
      <c r="Q97" s="325" t="str">
        <f>IFERROR(VLOOKUP(P97, Tarieven!$A$2:$J$150, 10, FALSE), "0")</f>
        <v>0</v>
      </c>
      <c r="R97" s="444" t="str">
        <f>November!R96</f>
        <v/>
      </c>
      <c r="S97" s="428" t="str">
        <f>November!S96</f>
        <v/>
      </c>
      <c r="T97" s="325" t="str">
        <f>IFERROR(VLOOKUP(S97, Tarieven!$A$2:$J$150, 10, FALSE), "0")</f>
        <v>0</v>
      </c>
      <c r="U97" s="77" t="str">
        <f>November!U96</f>
        <v/>
      </c>
      <c r="V97" s="327" t="str">
        <f>November!V96</f>
        <v/>
      </c>
      <c r="W97" s="325" t="str">
        <f>IFERROR(VLOOKUP(V97, Tarieven!$A$2:$J$150, 10, FALSE), "0")</f>
        <v>0</v>
      </c>
      <c r="X97" s="138">
        <f>November!X96</f>
        <v>0</v>
      </c>
      <c r="Y97" s="398">
        <v>0.0</v>
      </c>
      <c r="Z97" s="329">
        <f t="shared" si="3"/>
        <v>0</v>
      </c>
      <c r="AA97" s="32">
        <f t="shared" si="4"/>
        <v>0</v>
      </c>
      <c r="AB97" s="32">
        <f t="shared" si="5"/>
        <v>0</v>
      </c>
      <c r="AC97" s="32">
        <f t="shared" si="6"/>
        <v>0</v>
      </c>
    </row>
    <row r="98" ht="22.5" customHeight="1">
      <c r="A98" s="331" t="str">
        <f>Rooster!A99</f>
        <v/>
      </c>
      <c r="B98" s="396" t="str">
        <f>Rooster!B99</f>
        <v/>
      </c>
      <c r="C98" s="15" t="str">
        <f>Rooster!C99</f>
        <v/>
      </c>
      <c r="D98" s="11" t="str">
        <f>Rooster!D99</f>
        <v/>
      </c>
      <c r="E98" s="77"/>
      <c r="F98" s="327" t="str">
        <f>Rooster!E99</f>
        <v/>
      </c>
      <c r="G98" s="319" t="str">
        <f>IFERROR(VLOOKUP(F98, Docenten!$A$2:$G$30, 7, FALSE), "0")</f>
        <v>0</v>
      </c>
      <c r="H98" s="320">
        <f t="shared" si="7"/>
        <v>0</v>
      </c>
      <c r="I98" s="327" t="str">
        <f>Rooster!H99</f>
        <v/>
      </c>
      <c r="J98" s="321" t="str">
        <f>IFERROR(VLOOKUP(I98, Locaties!$A$2:$G$15, 7, FALSE), "0")</f>
        <v>0</v>
      </c>
      <c r="K98" s="42">
        <f t="shared" si="2"/>
        <v>0</v>
      </c>
      <c r="L98" s="427" t="str">
        <f>November!L97</f>
        <v/>
      </c>
      <c r="M98" s="428" t="str">
        <f>November!M97</f>
        <v/>
      </c>
      <c r="N98" s="321" t="str">
        <f>IFERROR(VLOOKUP(M98, Tarieven!$A$1:$J$150, 10, FALSE), "0")</f>
        <v>0</v>
      </c>
      <c r="O98" s="429" t="str">
        <f>November!O97</f>
        <v/>
      </c>
      <c r="P98" s="430" t="str">
        <f>November!P97</f>
        <v/>
      </c>
      <c r="Q98" s="325" t="str">
        <f>IFERROR(VLOOKUP(P98, Tarieven!$A$2:$J$150, 10, FALSE), "0")</f>
        <v>0</v>
      </c>
      <c r="R98" s="444" t="str">
        <f>November!R97</f>
        <v/>
      </c>
      <c r="S98" s="428" t="str">
        <f>November!S97</f>
        <v/>
      </c>
      <c r="T98" s="325" t="str">
        <f>IFERROR(VLOOKUP(S98, Tarieven!$A$2:$J$150, 10, FALSE), "0")</f>
        <v>0</v>
      </c>
      <c r="U98" s="77" t="str">
        <f>November!U97</f>
        <v/>
      </c>
      <c r="V98" s="327" t="str">
        <f>November!V97</f>
        <v/>
      </c>
      <c r="W98" s="325" t="str">
        <f>IFERROR(VLOOKUP(V98, Tarieven!$A$2:$J$150, 10, FALSE), "0")</f>
        <v>0</v>
      </c>
      <c r="X98" s="138">
        <f>November!X97</f>
        <v>0</v>
      </c>
      <c r="Y98" s="398">
        <v>0.0</v>
      </c>
      <c r="Z98" s="329">
        <f t="shared" si="3"/>
        <v>0</v>
      </c>
      <c r="AA98" s="32">
        <f t="shared" si="4"/>
        <v>0</v>
      </c>
      <c r="AB98" s="32">
        <f t="shared" si="5"/>
        <v>0</v>
      </c>
      <c r="AC98" s="32">
        <f t="shared" si="6"/>
        <v>0</v>
      </c>
    </row>
    <row r="99" ht="22.5" customHeight="1">
      <c r="A99" s="331" t="str">
        <f>Rooster!A100</f>
        <v/>
      </c>
      <c r="B99" s="396" t="str">
        <f>Rooster!B100</f>
        <v/>
      </c>
      <c r="C99" s="15" t="str">
        <f>Rooster!C100</f>
        <v/>
      </c>
      <c r="D99" s="11" t="str">
        <f>Rooster!D100</f>
        <v/>
      </c>
      <c r="E99" s="77"/>
      <c r="F99" s="327" t="str">
        <f>Rooster!E100</f>
        <v/>
      </c>
      <c r="G99" s="319" t="str">
        <f>IFERROR(VLOOKUP(F99, Docenten!$A$2:$G$30, 7, FALSE), "0")</f>
        <v>0</v>
      </c>
      <c r="H99" s="320">
        <f t="shared" si="7"/>
        <v>0</v>
      </c>
      <c r="I99" s="327" t="str">
        <f>Rooster!H100</f>
        <v/>
      </c>
      <c r="J99" s="321" t="str">
        <f>IFERROR(VLOOKUP(I99, Locaties!$A$2:$G$15, 7, FALSE), "0")</f>
        <v>0</v>
      </c>
      <c r="K99" s="42">
        <f t="shared" si="2"/>
        <v>0</v>
      </c>
      <c r="L99" s="427" t="str">
        <f>November!L98</f>
        <v/>
      </c>
      <c r="M99" s="428" t="str">
        <f>November!M98</f>
        <v/>
      </c>
      <c r="N99" s="321" t="str">
        <f>IFERROR(VLOOKUP(M99, Tarieven!$A$1:$J$150, 10, FALSE), "0")</f>
        <v>0</v>
      </c>
      <c r="O99" s="429" t="str">
        <f>November!O98</f>
        <v/>
      </c>
      <c r="P99" s="430" t="str">
        <f>November!P98</f>
        <v/>
      </c>
      <c r="Q99" s="325" t="str">
        <f>IFERROR(VLOOKUP(P99, Tarieven!$A$2:$J$150, 10, FALSE), "0")</f>
        <v>0</v>
      </c>
      <c r="R99" s="444" t="str">
        <f>November!R98</f>
        <v/>
      </c>
      <c r="S99" s="428" t="str">
        <f>November!S98</f>
        <v/>
      </c>
      <c r="T99" s="325" t="str">
        <f>IFERROR(VLOOKUP(S99, Tarieven!$A$2:$J$150, 10, FALSE), "0")</f>
        <v>0</v>
      </c>
      <c r="U99" s="77" t="str">
        <f>November!U98</f>
        <v/>
      </c>
      <c r="V99" s="327" t="str">
        <f>November!V98</f>
        <v/>
      </c>
      <c r="W99" s="325" t="str">
        <f>IFERROR(VLOOKUP(V99, Tarieven!$A$2:$J$150, 10, FALSE), "0")</f>
        <v>0</v>
      </c>
      <c r="X99" s="138">
        <f>November!X98</f>
        <v>0</v>
      </c>
      <c r="Y99" s="398">
        <v>0.0</v>
      </c>
      <c r="Z99" s="329">
        <f t="shared" si="3"/>
        <v>0</v>
      </c>
      <c r="AA99" s="32">
        <f t="shared" si="4"/>
        <v>0</v>
      </c>
      <c r="AB99" s="32">
        <f t="shared" si="5"/>
        <v>0</v>
      </c>
      <c r="AC99" s="32">
        <f t="shared" si="6"/>
        <v>0</v>
      </c>
    </row>
    <row r="100" ht="22.5" customHeight="1">
      <c r="A100" s="331" t="str">
        <f>Rooster!A101</f>
        <v/>
      </c>
      <c r="B100" s="396" t="str">
        <f>Rooster!B101</f>
        <v/>
      </c>
      <c r="C100" s="15" t="str">
        <f>Rooster!C101</f>
        <v/>
      </c>
      <c r="D100" s="11" t="str">
        <f>Rooster!D101</f>
        <v/>
      </c>
      <c r="E100" s="77"/>
      <c r="F100" s="327" t="str">
        <f>Rooster!E101</f>
        <v/>
      </c>
      <c r="G100" s="319" t="str">
        <f>IFERROR(VLOOKUP(F100, Docenten!$A$2:$G$30, 7, FALSE), "0")</f>
        <v>0</v>
      </c>
      <c r="H100" s="320">
        <f t="shared" si="7"/>
        <v>0</v>
      </c>
      <c r="I100" s="327" t="str">
        <f>Rooster!H101</f>
        <v/>
      </c>
      <c r="J100" s="321" t="str">
        <f>IFERROR(VLOOKUP(I100, Locaties!$A$2:$G$15, 7, FALSE), "0")</f>
        <v>0</v>
      </c>
      <c r="K100" s="42">
        <f t="shared" si="2"/>
        <v>0</v>
      </c>
      <c r="L100" s="427" t="str">
        <f>November!L99</f>
        <v/>
      </c>
      <c r="M100" s="428" t="str">
        <f>November!M99</f>
        <v/>
      </c>
      <c r="N100" s="321" t="str">
        <f>IFERROR(VLOOKUP(M100, Tarieven!$A$1:$J$150, 10, FALSE), "0")</f>
        <v>0</v>
      </c>
      <c r="O100" s="429" t="str">
        <f>November!O99</f>
        <v/>
      </c>
      <c r="P100" s="430" t="str">
        <f>November!P99</f>
        <v/>
      </c>
      <c r="Q100" s="325" t="str">
        <f>IFERROR(VLOOKUP(P100, Tarieven!$A$2:$J$150, 10, FALSE), "0")</f>
        <v>0</v>
      </c>
      <c r="R100" s="444" t="str">
        <f>November!R99</f>
        <v/>
      </c>
      <c r="S100" s="428" t="str">
        <f>November!S99</f>
        <v/>
      </c>
      <c r="T100" s="325" t="str">
        <f>IFERROR(VLOOKUP(S100, Tarieven!$A$2:$J$150, 10, FALSE), "0")</f>
        <v>0</v>
      </c>
      <c r="U100" s="77" t="str">
        <f>November!U99</f>
        <v/>
      </c>
      <c r="V100" s="327" t="str">
        <f>November!V99</f>
        <v/>
      </c>
      <c r="W100" s="325" t="str">
        <f>IFERROR(VLOOKUP(V100, Tarieven!$A$2:$J$150, 10, FALSE), "0")</f>
        <v>0</v>
      </c>
      <c r="X100" s="138">
        <f>November!X99</f>
        <v>0</v>
      </c>
      <c r="Y100" s="398">
        <v>0.0</v>
      </c>
      <c r="Z100" s="329">
        <f t="shared" si="3"/>
        <v>0</v>
      </c>
      <c r="AA100" s="32">
        <f t="shared" si="4"/>
        <v>0</v>
      </c>
      <c r="AB100" s="32">
        <f t="shared" si="5"/>
        <v>0</v>
      </c>
      <c r="AC100" s="32">
        <f t="shared" si="6"/>
        <v>0</v>
      </c>
    </row>
    <row r="101" ht="22.5" customHeight="1">
      <c r="A101" s="331" t="str">
        <f>Rooster!A102</f>
        <v/>
      </c>
      <c r="B101" s="396" t="str">
        <f>Rooster!B102</f>
        <v/>
      </c>
      <c r="C101" s="15" t="str">
        <f>Rooster!C102</f>
        <v/>
      </c>
      <c r="D101" s="11" t="str">
        <f>Rooster!D102</f>
        <v/>
      </c>
      <c r="E101" s="426"/>
      <c r="F101" s="331" t="str">
        <f>Rooster!E102</f>
        <v/>
      </c>
      <c r="G101" s="319" t="str">
        <f>IFERROR(VLOOKUP(F101, Docenten!$A$2:$G$30, 7, FALSE), "0")</f>
        <v>0</v>
      </c>
      <c r="H101" s="320">
        <f t="shared" si="7"/>
        <v>0</v>
      </c>
      <c r="I101" s="331" t="str">
        <f>Rooster!H102</f>
        <v/>
      </c>
      <c r="J101" s="321" t="str">
        <f>IFERROR(VLOOKUP(I101, Locaties!$A$2:$G$15, 7, FALSE), "0")</f>
        <v>0</v>
      </c>
      <c r="K101" s="42">
        <f t="shared" si="2"/>
        <v>0</v>
      </c>
      <c r="L101" s="450">
        <f>SUM(L2:L100)</f>
        <v>108</v>
      </c>
      <c r="M101" s="451"/>
      <c r="N101" s="321" t="str">
        <f>IFERROR(VLOOKUP(M101, Tarieven!$A$1:$J$150, 10, FALSE), "0")</f>
        <v>0</v>
      </c>
      <c r="O101" s="450">
        <f>SUM(O2:O100)</f>
        <v>57</v>
      </c>
      <c r="P101" s="451"/>
      <c r="Q101" s="325" t="str">
        <f>IFERROR(VLOOKUP(P101, Tarieven!$A$2:$J$150, 10, FALSE), "0")</f>
        <v>0</v>
      </c>
      <c r="R101" s="452">
        <f>SUM(R2:R100)</f>
        <v>19</v>
      </c>
      <c r="S101" s="451"/>
      <c r="T101" s="325" t="str">
        <f>IFERROR(VLOOKUP(S101, Tarieven!$A$2:$J$150, 10, FALSE), "0")</f>
        <v>0</v>
      </c>
      <c r="U101" s="448">
        <f>SUM(U2:U100)</f>
        <v>7</v>
      </c>
      <c r="V101" s="85"/>
      <c r="W101" s="325" t="str">
        <f>IFERROR(VLOOKUP(V101, Tarieven!$A$2:$J$150, 10, FALSE), "0")</f>
        <v>0</v>
      </c>
      <c r="X101" s="413">
        <f>SUM(X2:X100)</f>
        <v>220</v>
      </c>
      <c r="Y101" s="398">
        <v>0.0</v>
      </c>
      <c r="Z101" s="329">
        <f>SUM(Z2:Z100)</f>
        <v>411</v>
      </c>
      <c r="AA101" s="32">
        <f t="shared" si="4"/>
        <v>0</v>
      </c>
      <c r="AB101" s="32">
        <f t="shared" si="5"/>
        <v>0</v>
      </c>
      <c r="AC101" s="32">
        <f t="shared" si="6"/>
        <v>0</v>
      </c>
    </row>
  </sheetData>
  <conditionalFormatting sqref="AG7">
    <cfRule type="cellIs" dxfId="7" priority="1" operator="lessThan">
      <formula>0</formula>
    </cfRule>
  </conditionalFormatting>
  <conditionalFormatting sqref="AC2:AC101">
    <cfRule type="cellIs" dxfId="7" priority="2" operator="lessThan">
      <formula>0</formula>
    </cfRule>
  </conditionalFormatting>
  <dataValidations>
    <dataValidation type="list" allowBlank="1" sqref="A2:A101">
      <formula1>"Maandag,Dinsdag,Woensdag,Donderdag,Vrijdag,Zaterdag,Zondag"</formula1>
    </dataValidation>
    <dataValidation type="custom" allowBlank="1" showDropDown="1" sqref="B2:B101">
      <formula1>OR(TIMEVALUE(TEXT(B2, "hh:mm:ss"))=B2, AND(ISNUMBER(B2), LEFT(CELL("format", B2))="D"))</formula1>
    </dataValidation>
    <dataValidation type="custom" allowBlank="1" showDropDown="1" sqref="L2:L101 N2:N101 AA2:AB101">
      <formula1>AND(ISNUMBER(L2),(NOT(OR(NOT(ISERROR(DATEVALUE(L2))), AND(ISNUMBER(L2), LEFT(CELL("format", L2))="D")))))</formula1>
    </dataValidation>
    <dataValidation type="list" allowBlank="1" sqref="F2:F101 I2:I101 M2:M101 P2:P101 S2:S101 V2:V101">
      <formula1>#REF!</formula1>
    </dataValidation>
    <dataValidation allowBlank="1" showDropDown="1" sqref="D2:D101"/>
    <dataValidation type="custom" allowBlank="1" showDropDown="1" sqref="C2:C101 E2:E101 G2:H101 J2:K101 O2:O101 Q2:R101 T2:U101 W2:Z101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5.33"/>
    <col customWidth="1" min="2" max="2" width="13.67"/>
    <col customWidth="1" min="3" max="3" width="14.22"/>
    <col customWidth="1" min="4" max="4" width="22.0"/>
    <col customWidth="1" min="5" max="5" width="18.44"/>
    <col customWidth="1" min="6" max="6" width="15.11"/>
    <col customWidth="1" hidden="1" min="7" max="7" width="15.11"/>
    <col customWidth="1" min="8" max="9" width="15.11"/>
    <col customWidth="1" hidden="1" min="10" max="10" width="15.44"/>
    <col customWidth="1" min="11" max="11" width="15.44"/>
    <col customWidth="1" min="12" max="12" width="17.56"/>
    <col customWidth="1" min="13" max="13" width="20.0"/>
    <col customWidth="1" min="14" max="14" width="16.78"/>
    <col customWidth="1" min="15" max="15" width="17.56"/>
    <col customWidth="1" min="16" max="16" width="20.0"/>
    <col customWidth="1" min="17" max="17" width="14.78"/>
    <col customWidth="1" min="18" max="18" width="17.56"/>
    <col customWidth="1" min="19" max="19" width="20.0"/>
    <col customWidth="1" min="20" max="20" width="13.78"/>
    <col customWidth="1" min="21" max="21" width="16.67"/>
    <col customWidth="1" min="22" max="22" width="18.56"/>
    <col customWidth="1" min="23" max="23" width="13.78"/>
    <col customWidth="1" min="24" max="24" width="23.11"/>
    <col customWidth="1" min="25" max="25" width="20.56"/>
    <col customWidth="1" min="26" max="26" width="18.0"/>
    <col customWidth="1" min="27" max="27" width="16.33"/>
    <col customWidth="1" min="28" max="28" width="19.22"/>
    <col customWidth="1" min="29" max="30" width="16.89"/>
    <col customWidth="1" min="31" max="31" width="16.78"/>
    <col customWidth="1" min="32" max="32" width="16.89"/>
    <col customWidth="1" min="33" max="34" width="17.0"/>
  </cols>
  <sheetData>
    <row r="1" ht="22.5" customHeight="1">
      <c r="A1" s="1" t="s">
        <v>94</v>
      </c>
      <c r="B1" s="1" t="s">
        <v>95</v>
      </c>
      <c r="C1" s="1" t="s">
        <v>273</v>
      </c>
      <c r="D1" s="1" t="s">
        <v>98</v>
      </c>
      <c r="E1" s="302" t="s">
        <v>274</v>
      </c>
      <c r="F1" s="302" t="s">
        <v>99</v>
      </c>
      <c r="G1" s="303" t="s">
        <v>100</v>
      </c>
      <c r="H1" s="303" t="s">
        <v>275</v>
      </c>
      <c r="I1" s="304" t="s">
        <v>102</v>
      </c>
      <c r="J1" s="304" t="s">
        <v>103</v>
      </c>
      <c r="K1" s="304" t="s">
        <v>104</v>
      </c>
      <c r="L1" s="422" t="s">
        <v>276</v>
      </c>
      <c r="M1" s="422" t="s">
        <v>298</v>
      </c>
      <c r="N1" s="306" t="s">
        <v>278</v>
      </c>
      <c r="O1" s="423" t="s">
        <v>279</v>
      </c>
      <c r="P1" s="392" t="s">
        <v>300</v>
      </c>
      <c r="Q1" s="308" t="s">
        <v>281</v>
      </c>
      <c r="R1" s="424" t="s">
        <v>282</v>
      </c>
      <c r="S1" s="424" t="s">
        <v>302</v>
      </c>
      <c r="T1" s="310" t="s">
        <v>284</v>
      </c>
      <c r="U1" s="393" t="s">
        <v>285</v>
      </c>
      <c r="V1" s="393" t="s">
        <v>304</v>
      </c>
      <c r="W1" s="311" t="s">
        <v>305</v>
      </c>
      <c r="X1" s="394" t="s">
        <v>306</v>
      </c>
      <c r="Y1" s="395" t="s">
        <v>307</v>
      </c>
      <c r="Z1" s="314" t="s">
        <v>294</v>
      </c>
      <c r="AA1" s="314" t="s">
        <v>295</v>
      </c>
      <c r="AB1" s="1" t="s">
        <v>308</v>
      </c>
      <c r="AC1" s="1" t="s">
        <v>297</v>
      </c>
    </row>
    <row r="2" ht="22.5" customHeight="1">
      <c r="A2" s="331" t="str">
        <f>Rooster!A3</f>
        <v/>
      </c>
      <c r="B2" s="396" t="str">
        <f>Rooster!B3</f>
        <v/>
      </c>
      <c r="C2" s="15" t="str">
        <f>Rooster!C3</f>
        <v/>
      </c>
      <c r="D2" s="11" t="str">
        <f>Rooster!D3</f>
        <v/>
      </c>
      <c r="E2" s="77"/>
      <c r="F2" s="327" t="str">
        <f>Rooster!E3</f>
        <v/>
      </c>
      <c r="G2" s="319" t="str">
        <f>IFERROR(VLOOKUP(F2, Docenten!$A$2:$G$30, 7, FALSE), "0")</f>
        <v>0</v>
      </c>
      <c r="H2" s="320">
        <f t="shared" ref="H2:H42" si="1">SUM(G2/60)*C2</f>
        <v>0</v>
      </c>
      <c r="I2" s="327" t="str">
        <f>Rooster!H3</f>
        <v/>
      </c>
      <c r="J2" s="321" t="str">
        <f>IFERROR(VLOOKUP(I2, Locaties!$A$2:$G$15, 7, FALSE), "0")</f>
        <v>0</v>
      </c>
      <c r="K2" s="42">
        <f t="shared" ref="K2:K101" si="2">SUM(J2/60)*C2</f>
        <v>0</v>
      </c>
      <c r="L2" s="427" t="str">
        <f>December!L2</f>
        <v/>
      </c>
      <c r="M2" s="428" t="str">
        <f>December!M2</f>
        <v/>
      </c>
      <c r="N2" s="321" t="str">
        <f>IFERROR(VLOOKUP(M2, Tarieven!$A$1:$J$150, 10, FALSE), "0")</f>
        <v>0</v>
      </c>
      <c r="O2" s="429" t="str">
        <f>December!O2</f>
        <v/>
      </c>
      <c r="P2" s="430" t="str">
        <f>December!P2</f>
        <v/>
      </c>
      <c r="Q2" s="325" t="str">
        <f>IFERROR(VLOOKUP(P2, Tarieven!$A$2:$J$150, 10, FALSE), "0")</f>
        <v>0</v>
      </c>
      <c r="R2" s="431" t="str">
        <f>December!R2</f>
        <v/>
      </c>
      <c r="S2" s="430" t="str">
        <f>December!S2</f>
        <v/>
      </c>
      <c r="T2" s="325" t="str">
        <f>IFERROR(VLOOKUP(S2, Tarieven!$A$2:$J$150, 10, FALSE), "0")</f>
        <v>0</v>
      </c>
      <c r="U2" s="77" t="str">
        <f>December!U2</f>
        <v/>
      </c>
      <c r="V2" s="327" t="str">
        <f>December!V2</f>
        <v/>
      </c>
      <c r="W2" s="325" t="str">
        <f>IFERROR(VLOOKUP(V2, Tarieven!$A$2:$J$150, 10, FALSE), "0")</f>
        <v>0</v>
      </c>
      <c r="X2" s="138">
        <f>December!X2</f>
        <v>0</v>
      </c>
      <c r="Y2" s="398">
        <v>0.0</v>
      </c>
      <c r="Z2" s="329">
        <f t="shared" ref="Z2:Z100" si="3">SUM(L2+O2+R2+U2+X2)</f>
        <v>0</v>
      </c>
      <c r="AA2" s="32">
        <f t="shared" ref="AA2:AA101" si="4">SUM(H2+K2)*E2</f>
        <v>0</v>
      </c>
      <c r="AB2" s="32">
        <f t="shared" ref="AB2:AB101" si="5">SUM((L2*N2)+(O2*Q2)+(R2*T2)+(U2*W2)+Y2)</f>
        <v>0</v>
      </c>
      <c r="AC2" s="32">
        <f t="shared" ref="AC2:AC101" si="6">SUM(AB2-AA2)</f>
        <v>0</v>
      </c>
      <c r="AE2" s="154" t="s">
        <v>309</v>
      </c>
      <c r="AF2" s="154" t="s">
        <v>310</v>
      </c>
      <c r="AG2" s="109" t="s">
        <v>311</v>
      </c>
    </row>
    <row r="3" ht="22.5" customHeight="1">
      <c r="A3" s="331" t="str">
        <f>Rooster!A4</f>
        <v/>
      </c>
      <c r="B3" s="396" t="str">
        <f>Rooster!B4</f>
        <v/>
      </c>
      <c r="C3" s="15" t="str">
        <f>Rooster!C4</f>
        <v/>
      </c>
      <c r="D3" s="11" t="str">
        <f>Rooster!D4</f>
        <v/>
      </c>
      <c r="E3" s="77"/>
      <c r="F3" s="327" t="str">
        <f>Rooster!E4</f>
        <v/>
      </c>
      <c r="G3" s="319" t="str">
        <f>IFERROR(VLOOKUP(F3, Docenten!$A$2:$G$30, 7, FALSE), "0")</f>
        <v>0</v>
      </c>
      <c r="H3" s="320">
        <f t="shared" si="1"/>
        <v>0</v>
      </c>
      <c r="I3" s="327" t="str">
        <f>Rooster!H4</f>
        <v/>
      </c>
      <c r="J3" s="321" t="str">
        <f>IFERROR(VLOOKUP(I3, Locaties!$A$2:$G$15, 7, FALSE), "0")</f>
        <v>0</v>
      </c>
      <c r="K3" s="42">
        <f t="shared" si="2"/>
        <v>0</v>
      </c>
      <c r="L3" s="427" t="str">
        <f>December!L3</f>
        <v/>
      </c>
      <c r="M3" s="428" t="str">
        <f>December!M3</f>
        <v/>
      </c>
      <c r="N3" s="321" t="str">
        <f>IFERROR(VLOOKUP(M3, Tarieven!$A$1:$J$150, 10, FALSE), "0")</f>
        <v>0</v>
      </c>
      <c r="O3" s="429" t="str">
        <f>December!O3</f>
        <v/>
      </c>
      <c r="P3" s="430" t="str">
        <f>December!P3</f>
        <v/>
      </c>
      <c r="Q3" s="325" t="str">
        <f>IFERROR(VLOOKUP(P3, Tarieven!$A$2:$J$150, 10, FALSE), "0")</f>
        <v>0</v>
      </c>
      <c r="R3" s="431" t="str">
        <f>December!R3</f>
        <v/>
      </c>
      <c r="S3" s="430" t="str">
        <f>December!S3</f>
        <v/>
      </c>
      <c r="T3" s="325" t="str">
        <f>IFERROR(VLOOKUP(S3, Tarieven!$A$2:$J$150, 10, FALSE), "0")</f>
        <v>0</v>
      </c>
      <c r="U3" s="77" t="str">
        <f>December!U3</f>
        <v/>
      </c>
      <c r="V3" s="327" t="str">
        <f>December!V3</f>
        <v/>
      </c>
      <c r="W3" s="325" t="str">
        <f>IFERROR(VLOOKUP(V3, Tarieven!$A$2:$J$150, 10, FALSE), "0")</f>
        <v>0</v>
      </c>
      <c r="X3" s="138">
        <f>December!X3</f>
        <v>0</v>
      </c>
      <c r="Y3" s="398">
        <v>0.0</v>
      </c>
      <c r="Z3" s="329">
        <f t="shared" si="3"/>
        <v>0</v>
      </c>
      <c r="AA3" s="32">
        <f t="shared" si="4"/>
        <v>0</v>
      </c>
      <c r="AB3" s="32">
        <f t="shared" si="5"/>
        <v>0</v>
      </c>
      <c r="AC3" s="32">
        <f t="shared" si="6"/>
        <v>0</v>
      </c>
      <c r="AD3" s="130"/>
      <c r="AE3" s="159" t="s">
        <v>312</v>
      </c>
      <c r="AF3" s="32">
        <f>SUM(AB2:AB101)</f>
        <v>9729.220333</v>
      </c>
      <c r="AG3" s="160"/>
    </row>
    <row r="4" ht="22.5" customHeight="1">
      <c r="A4" s="331" t="str">
        <f>Rooster!A5</f>
        <v>Maandag</v>
      </c>
      <c r="B4" s="396">
        <f>Rooster!B5</f>
        <v>0.625</v>
      </c>
      <c r="C4" s="15">
        <f>Rooster!C5</f>
        <v>60</v>
      </c>
      <c r="D4" s="11" t="str">
        <f>Rooster!D5</f>
        <v>Kleuterdans</v>
      </c>
      <c r="E4" s="77"/>
      <c r="F4" s="327" t="str">
        <f>Rooster!E5</f>
        <v>Lotte</v>
      </c>
      <c r="G4" s="319">
        <f>IFERROR(VLOOKUP(F4, Docenten!$A$2:$G$30, 7, FALSE), "0")</f>
        <v>22.5</v>
      </c>
      <c r="H4" s="320">
        <f t="shared" si="1"/>
        <v>22.5</v>
      </c>
      <c r="I4" s="327"/>
      <c r="J4" s="321" t="str">
        <f>IFERROR(VLOOKUP(I4, Locaties!$A$2:$G$15, 7, FALSE), "0")</f>
        <v>0</v>
      </c>
      <c r="K4" s="42">
        <f t="shared" si="2"/>
        <v>0</v>
      </c>
      <c r="L4" s="427" t="str">
        <f>December!L4</f>
        <v/>
      </c>
      <c r="M4" s="428" t="str">
        <f>December!M4</f>
        <v/>
      </c>
      <c r="N4" s="321" t="str">
        <f>IFERROR(VLOOKUP(M4, Tarieven!$A$1:$J$150, 10, FALSE), "0")</f>
        <v>0</v>
      </c>
      <c r="O4" s="429" t="str">
        <f>December!O4</f>
        <v/>
      </c>
      <c r="P4" s="430" t="str">
        <f>December!P4</f>
        <v/>
      </c>
      <c r="Q4" s="325" t="str">
        <f>IFERROR(VLOOKUP(P4, Tarieven!$A$2:$J$150, 10, FALSE), "0")</f>
        <v>0</v>
      </c>
      <c r="R4" s="431" t="str">
        <f>December!R4</f>
        <v/>
      </c>
      <c r="S4" s="430" t="str">
        <f>December!S4</f>
        <v/>
      </c>
      <c r="T4" s="325" t="str">
        <f>IFERROR(VLOOKUP(S4, Tarieven!$A$2:$J$150, 10, FALSE), "0")</f>
        <v>0</v>
      </c>
      <c r="U4" s="77" t="str">
        <f>December!U4</f>
        <v/>
      </c>
      <c r="V4" s="327" t="str">
        <f>December!V4</f>
        <v/>
      </c>
      <c r="W4" s="325" t="str">
        <f>IFERROR(VLOOKUP(V4, Tarieven!$A$2:$J$150, 10, FALSE), "0")</f>
        <v>0</v>
      </c>
      <c r="X4" s="138">
        <f>December!X4</f>
        <v>0</v>
      </c>
      <c r="Y4" s="398">
        <v>0.0</v>
      </c>
      <c r="Z4" s="329">
        <f t="shared" si="3"/>
        <v>0</v>
      </c>
      <c r="AA4" s="32">
        <f t="shared" si="4"/>
        <v>0</v>
      </c>
      <c r="AB4" s="32">
        <f t="shared" si="5"/>
        <v>0</v>
      </c>
      <c r="AC4" s="32">
        <f t="shared" si="6"/>
        <v>0</v>
      </c>
      <c r="AD4" s="130"/>
      <c r="AE4" s="159" t="s">
        <v>313</v>
      </c>
      <c r="AF4" s="32">
        <f>'Extra activiteiten'!K7</f>
        <v>425</v>
      </c>
      <c r="AG4" s="159"/>
    </row>
    <row r="5" ht="22.5" customHeight="1">
      <c r="A5" s="17" t="s">
        <v>112</v>
      </c>
      <c r="B5" s="396">
        <v>0.625</v>
      </c>
      <c r="C5" s="15">
        <v>60.0</v>
      </c>
      <c r="D5" s="11" t="s">
        <v>130</v>
      </c>
      <c r="E5" s="77">
        <v>0.0</v>
      </c>
      <c r="F5" s="327" t="str">
        <f>Rooster!E6</f>
        <v>Lotte</v>
      </c>
      <c r="G5" s="319">
        <f>IFERROR(VLOOKUP(F5, Docenten!$A$2:$G$30, 7, FALSE), "0")</f>
        <v>22.5</v>
      </c>
      <c r="H5" s="320">
        <f t="shared" si="1"/>
        <v>22.5</v>
      </c>
      <c r="I5" s="327" t="str">
        <f>Rooster!H6</f>
        <v>Santpoort Zuid</v>
      </c>
      <c r="J5" s="321"/>
      <c r="K5" s="42">
        <f t="shared" si="2"/>
        <v>0</v>
      </c>
      <c r="L5" s="427" t="str">
        <f>December!L5</f>
        <v/>
      </c>
      <c r="M5" s="428" t="str">
        <f>December!M5</f>
        <v/>
      </c>
      <c r="N5" s="321" t="str">
        <f>IFERROR(VLOOKUP(M5, Tarieven!$A$1:$J$150, 10, FALSE), "0")</f>
        <v>0</v>
      </c>
      <c r="O5" s="429" t="str">
        <f>December!O5</f>
        <v/>
      </c>
      <c r="P5" s="430" t="str">
        <f>December!P5</f>
        <v/>
      </c>
      <c r="Q5" s="325" t="str">
        <f>IFERROR(VLOOKUP(P5, Tarieven!$A$2:$J$150, 10, FALSE), "0")</f>
        <v>0</v>
      </c>
      <c r="R5" s="431" t="str">
        <f>December!R5</f>
        <v/>
      </c>
      <c r="S5" s="430" t="str">
        <f>December!S5</f>
        <v/>
      </c>
      <c r="T5" s="325" t="str">
        <f>IFERROR(VLOOKUP(S5, Tarieven!$A$2:$J$150, 10, FALSE), "0")</f>
        <v>0</v>
      </c>
      <c r="U5" s="77" t="str">
        <f>December!U5</f>
        <v/>
      </c>
      <c r="V5" s="327" t="str">
        <f>December!V5</f>
        <v/>
      </c>
      <c r="W5" s="325" t="str">
        <f>IFERROR(VLOOKUP(V5, Tarieven!$A$2:$J$150, 10, FALSE), "0")</f>
        <v>0</v>
      </c>
      <c r="X5" s="138">
        <f>December!X5</f>
        <v>0</v>
      </c>
      <c r="Y5" s="398">
        <v>0.0</v>
      </c>
      <c r="Z5" s="329">
        <f t="shared" si="3"/>
        <v>0</v>
      </c>
      <c r="AA5" s="32">
        <f t="shared" si="4"/>
        <v>0</v>
      </c>
      <c r="AB5" s="32">
        <f t="shared" si="5"/>
        <v>0</v>
      </c>
      <c r="AC5" s="32">
        <f t="shared" si="6"/>
        <v>0</v>
      </c>
      <c r="AE5" s="159" t="s">
        <v>314</v>
      </c>
      <c r="AF5" s="32">
        <f>SUM(Januari[Kosten per maand])</f>
        <v>4470.2</v>
      </c>
      <c r="AG5" s="159"/>
    </row>
    <row r="6" ht="22.5" customHeight="1">
      <c r="A6" s="331" t="str">
        <f>Rooster!A7</f>
        <v>Maandag</v>
      </c>
      <c r="B6" s="396">
        <f>Rooster!B7</f>
        <v>0.6666666667</v>
      </c>
      <c r="C6" s="15">
        <f>Rooster!C7</f>
        <v>60</v>
      </c>
      <c r="D6" s="11" t="str">
        <f>Rooster!D7</f>
        <v>Urban-Pop-Show 10+</v>
      </c>
      <c r="E6" s="77">
        <v>4.0</v>
      </c>
      <c r="F6" s="70" t="s">
        <v>318</v>
      </c>
      <c r="G6" s="319" t="str">
        <f>IFERROR(VLOOKUP(F6, Docenten!$A$2:$G$30, 7, FALSE), "0")</f>
        <v>0</v>
      </c>
      <c r="H6" s="320">
        <f t="shared" si="1"/>
        <v>0</v>
      </c>
      <c r="I6" s="327" t="str">
        <f>Rooster!H7</f>
        <v>Santpoort Zuid</v>
      </c>
      <c r="J6" s="321">
        <f>IFERROR(VLOOKUP(I6, Locaties!$A$2:$G$15, 7, FALSE), "0")</f>
        <v>18.9</v>
      </c>
      <c r="K6" s="42">
        <f t="shared" si="2"/>
        <v>18.9</v>
      </c>
      <c r="L6" s="440">
        <v>5.0</v>
      </c>
      <c r="M6" s="428" t="str">
        <f>December!M6</f>
        <v>1x per week abbo</v>
      </c>
      <c r="N6" s="321">
        <f>IFERROR(VLOOKUP(M6, Tarieven!$A$1:$J$150, 10, FALSE), "0")</f>
        <v>31</v>
      </c>
      <c r="O6" s="429">
        <f>December!O6</f>
        <v>1</v>
      </c>
      <c r="P6" s="430" t="str">
        <f>December!P6</f>
        <v>Cheer regulier +1 abbo</v>
      </c>
      <c r="Q6" s="325">
        <f>IFERROR(VLOOKUP(P6, Tarieven!$A$2:$J$150, 10, FALSE), "0")</f>
        <v>32.25</v>
      </c>
      <c r="R6" s="431">
        <f>December!R6</f>
        <v>1</v>
      </c>
      <c r="S6" s="430" t="str">
        <f>December!S6</f>
        <v>2x per week abbo</v>
      </c>
      <c r="T6" s="325">
        <f>IFERROR(VLOOKUP(S6, Tarieven!$A$2:$J$150, 10, FALSE), "0")</f>
        <v>28.55</v>
      </c>
      <c r="U6" s="77">
        <v>1.0</v>
      </c>
      <c r="V6" s="70" t="s">
        <v>157</v>
      </c>
      <c r="W6" s="432">
        <v>148.0</v>
      </c>
      <c r="X6" s="138">
        <f>December!X6</f>
        <v>4</v>
      </c>
      <c r="Y6" s="398">
        <v>0.0</v>
      </c>
      <c r="Z6" s="329">
        <f t="shared" si="3"/>
        <v>12</v>
      </c>
      <c r="AA6" s="32">
        <f t="shared" si="4"/>
        <v>75.6</v>
      </c>
      <c r="AB6" s="32">
        <f t="shared" si="5"/>
        <v>363.8</v>
      </c>
      <c r="AC6" s="32">
        <f t="shared" si="6"/>
        <v>288.2</v>
      </c>
      <c r="AD6" s="130"/>
      <c r="AE6" s="159" t="s">
        <v>315</v>
      </c>
      <c r="AF6" s="408">
        <f>Kosten!G69</f>
        <v>5648.32</v>
      </c>
      <c r="AG6" s="159" t="s">
        <v>316</v>
      </c>
    </row>
    <row r="7" ht="22.5" customHeight="1">
      <c r="A7" s="331" t="str">
        <f>Rooster!A8</f>
        <v>Maandag</v>
      </c>
      <c r="B7" s="396">
        <f>Rooster!B8</f>
        <v>0.7083333333</v>
      </c>
      <c r="C7" s="15">
        <f>Rooster!C8</f>
        <v>60</v>
      </c>
      <c r="D7" s="11" t="str">
        <f>Rooster!D8</f>
        <v>Urban-Pop-Show 12+</v>
      </c>
      <c r="E7" s="77">
        <v>4.0</v>
      </c>
      <c r="F7" s="327" t="str">
        <f>Rooster!E8</f>
        <v>Nova</v>
      </c>
      <c r="G7" s="319">
        <f>IFERROR(VLOOKUP(F7, Docenten!$A$2:$G$30, 7, FALSE), "0")</f>
        <v>22.5</v>
      </c>
      <c r="H7" s="320">
        <f t="shared" si="1"/>
        <v>22.5</v>
      </c>
      <c r="I7" s="327" t="str">
        <f>Rooster!H8</f>
        <v>Santpoort Zuid</v>
      </c>
      <c r="J7" s="321">
        <f>IFERROR(VLOOKUP(I7, Locaties!$A$2:$G$15, 7, FALSE), "0")</f>
        <v>18.9</v>
      </c>
      <c r="K7" s="42">
        <f t="shared" si="2"/>
        <v>18.9</v>
      </c>
      <c r="L7" s="427">
        <f>December!L7</f>
        <v>3</v>
      </c>
      <c r="M7" s="428" t="str">
        <f>December!M7</f>
        <v>2x per week abbo</v>
      </c>
      <c r="N7" s="321">
        <f>IFERROR(VLOOKUP(M7, Tarieven!$A$1:$J$150, 10, FALSE), "0")</f>
        <v>28.55</v>
      </c>
      <c r="O7" s="437">
        <v>1.0</v>
      </c>
      <c r="P7" s="438" t="s">
        <v>48</v>
      </c>
      <c r="Q7" s="432">
        <v>141.0</v>
      </c>
      <c r="R7" s="431">
        <f>December!R7</f>
        <v>1</v>
      </c>
      <c r="S7" s="430" t="str">
        <f>December!S7</f>
        <v>Cheer regulier +1 abbo</v>
      </c>
      <c r="T7" s="325">
        <f>IFERROR(VLOOKUP(S7, Tarieven!$A$2:$J$150, 10, FALSE), "0")</f>
        <v>32.25</v>
      </c>
      <c r="U7" s="77">
        <v>1.0</v>
      </c>
      <c r="V7" s="70" t="s">
        <v>48</v>
      </c>
      <c r="W7" s="432">
        <v>166.0</v>
      </c>
      <c r="X7" s="138">
        <f>December!X7</f>
        <v>11</v>
      </c>
      <c r="Y7" s="398">
        <v>0.0</v>
      </c>
      <c r="Z7" s="329">
        <f t="shared" si="3"/>
        <v>17</v>
      </c>
      <c r="AA7" s="32">
        <f t="shared" si="4"/>
        <v>165.6</v>
      </c>
      <c r="AB7" s="32">
        <f t="shared" si="5"/>
        <v>424.9</v>
      </c>
      <c r="AC7" s="32">
        <f t="shared" si="6"/>
        <v>259.3</v>
      </c>
      <c r="AD7" s="409"/>
      <c r="AE7" s="410" t="s">
        <v>317</v>
      </c>
      <c r="AF7" s="411">
        <f>SUM(AF3+AF4)-AF5-AF6</f>
        <v>35.70033333</v>
      </c>
      <c r="AG7" s="412">
        <f>'Doel vs Werkelijkheid'!B2</f>
        <v>3000</v>
      </c>
    </row>
    <row r="8" ht="22.5" customHeight="1">
      <c r="A8" s="331" t="str">
        <f>Rooster!A9</f>
        <v>Maandag</v>
      </c>
      <c r="B8" s="396">
        <f>Rooster!B9</f>
        <v>0.75</v>
      </c>
      <c r="C8" s="15">
        <f>Rooster!C9</f>
        <v>60</v>
      </c>
      <c r="D8" s="11" t="str">
        <f>Rooster!D9</f>
        <v>Selectie Show</v>
      </c>
      <c r="E8" s="77">
        <v>4.0</v>
      </c>
      <c r="F8" s="327" t="str">
        <f>Rooster!E9</f>
        <v>Nova</v>
      </c>
      <c r="G8" s="319">
        <f>IFERROR(VLOOKUP(F8, Docenten!$A$2:$G$30, 7, FALSE), "0")</f>
        <v>22.5</v>
      </c>
      <c r="H8" s="320">
        <f t="shared" si="1"/>
        <v>22.5</v>
      </c>
      <c r="I8" s="327" t="str">
        <f>Rooster!H9</f>
        <v>Santpoort Zuid</v>
      </c>
      <c r="J8" s="321">
        <f>IFERROR(VLOOKUP(I8, Locaties!$A$2:$G$15, 7, FALSE), "0")</f>
        <v>18.9</v>
      </c>
      <c r="K8" s="42">
        <f t="shared" si="2"/>
        <v>18.9</v>
      </c>
      <c r="L8" s="427" t="str">
        <f>December!L8</f>
        <v/>
      </c>
      <c r="M8" s="428" t="str">
        <f>December!M8</f>
        <v/>
      </c>
      <c r="N8" s="321" t="str">
        <f>IFERROR(VLOOKUP(M8, Tarieven!$A$1:$J$150, 10, FALSE), "0")</f>
        <v>0</v>
      </c>
      <c r="O8" s="429">
        <f>December!O8</f>
        <v>3</v>
      </c>
      <c r="P8" s="430" t="str">
        <f>December!P8</f>
        <v>2x per week abbo</v>
      </c>
      <c r="Q8" s="325">
        <f>IFERROR(VLOOKUP(P8, Tarieven!$A$2:$J$150, 10, FALSE), "0")</f>
        <v>28.55</v>
      </c>
      <c r="R8" s="431">
        <f>December!R8</f>
        <v>2</v>
      </c>
      <c r="S8" s="430" t="str">
        <f>December!S8</f>
        <v>3x per week abbo</v>
      </c>
      <c r="T8" s="325">
        <f>IFERROR(VLOOKUP(S8, Tarieven!$A$2:$J$150, 10, FALSE), "0")</f>
        <v>28.93333333</v>
      </c>
      <c r="U8" s="77">
        <f>December!U8</f>
        <v>3</v>
      </c>
      <c r="V8" s="327" t="str">
        <f>December!V8</f>
        <v>Onbeperkt abbo</v>
      </c>
      <c r="W8" s="325">
        <f>IFERROR(VLOOKUP(V8, Tarieven!$A$2:$J$150, 10, FALSE), "0")</f>
        <v>27</v>
      </c>
      <c r="X8" s="138">
        <f>December!X8</f>
        <v>4</v>
      </c>
      <c r="Y8" s="398">
        <v>0.0</v>
      </c>
      <c r="Z8" s="329">
        <f t="shared" si="3"/>
        <v>12</v>
      </c>
      <c r="AA8" s="32">
        <f t="shared" si="4"/>
        <v>165.6</v>
      </c>
      <c r="AB8" s="32">
        <f t="shared" si="5"/>
        <v>224.5166667</v>
      </c>
      <c r="AC8" s="32">
        <f t="shared" si="6"/>
        <v>58.91666667</v>
      </c>
      <c r="AE8" s="160"/>
      <c r="AF8" s="160"/>
      <c r="AG8" s="160"/>
    </row>
    <row r="9" ht="22.5" customHeight="1">
      <c r="A9" s="331" t="str">
        <f>Rooster!A10</f>
        <v>Maandag</v>
      </c>
      <c r="B9" s="396">
        <f>Rooster!B10</f>
        <v>0.7916666667</v>
      </c>
      <c r="C9" s="15">
        <f>Rooster!C10</f>
        <v>60</v>
      </c>
      <c r="D9" s="11" t="str">
        <f>Rooster!D10</f>
        <v>Commercial 16+</v>
      </c>
      <c r="E9" s="77">
        <v>4.0</v>
      </c>
      <c r="F9" s="327" t="str">
        <f>Rooster!E10</f>
        <v>Nova</v>
      </c>
      <c r="G9" s="319">
        <f>IFERROR(VLOOKUP(F9, Docenten!$A$2:$G$30, 7, FALSE), "0")</f>
        <v>22.5</v>
      </c>
      <c r="H9" s="320">
        <f t="shared" si="1"/>
        <v>22.5</v>
      </c>
      <c r="I9" s="327" t="str">
        <f>Rooster!H10</f>
        <v>Santpoort Zuid</v>
      </c>
      <c r="J9" s="321">
        <f>IFERROR(VLOOKUP(I9, Locaties!$A$2:$G$15, 7, FALSE), "0")</f>
        <v>18.9</v>
      </c>
      <c r="K9" s="42">
        <f t="shared" si="2"/>
        <v>18.9</v>
      </c>
      <c r="L9" s="427">
        <f>December!L9</f>
        <v>2</v>
      </c>
      <c r="M9" s="428" t="str">
        <f>December!M9</f>
        <v>3x per week abbo</v>
      </c>
      <c r="N9" s="321">
        <f>IFERROR(VLOOKUP(M9, Tarieven!$A$1:$J$150, 10, FALSE), "0")</f>
        <v>28.93333333</v>
      </c>
      <c r="O9" s="429">
        <f>December!O9</f>
        <v>3</v>
      </c>
      <c r="P9" s="430" t="str">
        <f>December!P9</f>
        <v>2x per week abbo</v>
      </c>
      <c r="Q9" s="325">
        <f>IFERROR(VLOOKUP(P9, Tarieven!$A$2:$J$150, 10, FALSE), "0")</f>
        <v>28.55</v>
      </c>
      <c r="R9" s="431">
        <f>December!R9</f>
        <v>2</v>
      </c>
      <c r="S9" s="430" t="str">
        <f>December!S9</f>
        <v>Onbeperkt abbo</v>
      </c>
      <c r="T9" s="325">
        <f>IFERROR(VLOOKUP(S9, Tarieven!$A$2:$J$150, 10, FALSE), "0")</f>
        <v>27</v>
      </c>
      <c r="U9" s="77">
        <v>2.0</v>
      </c>
      <c r="V9" s="327" t="str">
        <f>December!V9</f>
        <v>1x per week abbo</v>
      </c>
      <c r="W9" s="325">
        <f>IFERROR(VLOOKUP(V9, Tarieven!$A$2:$J$150, 10, FALSE), "0")</f>
        <v>31</v>
      </c>
      <c r="X9" s="138">
        <f>December!X9</f>
        <v>5</v>
      </c>
      <c r="Y9" s="398">
        <v>0.0</v>
      </c>
      <c r="Z9" s="329">
        <f t="shared" si="3"/>
        <v>14</v>
      </c>
      <c r="AA9" s="32">
        <f t="shared" si="4"/>
        <v>165.6</v>
      </c>
      <c r="AB9" s="32">
        <f t="shared" si="5"/>
        <v>259.5166667</v>
      </c>
      <c r="AC9" s="32">
        <f t="shared" si="6"/>
        <v>93.91666667</v>
      </c>
      <c r="AE9" s="159" t="s">
        <v>19</v>
      </c>
      <c r="AF9" s="413">
        <f>Z101</f>
        <v>459</v>
      </c>
      <c r="AG9" s="160"/>
    </row>
    <row r="10" ht="22.5" customHeight="1">
      <c r="A10" s="331" t="str">
        <f>Rooster!A11</f>
        <v>Maandag</v>
      </c>
      <c r="B10" s="396">
        <f>Rooster!B11</f>
        <v>0.8333333333</v>
      </c>
      <c r="C10" s="15">
        <f>Rooster!C11</f>
        <v>60</v>
      </c>
      <c r="D10" s="11" t="str">
        <f>Rooster!D11</f>
        <v>Commercial 20+</v>
      </c>
      <c r="E10" s="77">
        <v>4.0</v>
      </c>
      <c r="F10" s="327" t="str">
        <f>Rooster!E11</f>
        <v>Nova</v>
      </c>
      <c r="G10" s="319">
        <f>IFERROR(VLOOKUP(F10, Docenten!$A$2:$G$30, 7, FALSE), "0")</f>
        <v>22.5</v>
      </c>
      <c r="H10" s="320">
        <f t="shared" si="1"/>
        <v>22.5</v>
      </c>
      <c r="I10" s="327" t="str">
        <f>Rooster!H11</f>
        <v>Santpoort Zuid</v>
      </c>
      <c r="J10" s="321">
        <f>IFERROR(VLOOKUP(I10, Locaties!$A$2:$G$15, 7, FALSE), "0")</f>
        <v>18.9</v>
      </c>
      <c r="K10" s="42">
        <f t="shared" si="2"/>
        <v>18.9</v>
      </c>
      <c r="L10" s="427">
        <f>December!L10</f>
        <v>5</v>
      </c>
      <c r="M10" s="428" t="str">
        <f>December!M10</f>
        <v>Volwassenen 2x abbo</v>
      </c>
      <c r="N10" s="321">
        <f>IFERROR(VLOOKUP(M10, Tarieven!$A$1:$J$150, 10, FALSE), "0")</f>
        <v>27.255</v>
      </c>
      <c r="O10" s="429">
        <f>December!O10</f>
        <v>2</v>
      </c>
      <c r="P10" s="430" t="str">
        <f>December!P10</f>
        <v>Volwassenen 1x abbo</v>
      </c>
      <c r="Q10" s="325">
        <f>IFERROR(VLOOKUP(P10, Tarieven!$A$2:$J$150, 10, FALSE), "0")</f>
        <v>25.596</v>
      </c>
      <c r="R10" s="431" t="str">
        <f>December!R10</f>
        <v/>
      </c>
      <c r="S10" s="430" t="str">
        <f>December!S10</f>
        <v/>
      </c>
      <c r="T10" s="325" t="str">
        <f>IFERROR(VLOOKUP(S10, Tarieven!$A$2:$J$150, 10, FALSE), "0")</f>
        <v>0</v>
      </c>
      <c r="U10" s="77" t="str">
        <f>December!U10</f>
        <v/>
      </c>
      <c r="V10" s="327" t="str">
        <f>December!V10</f>
        <v/>
      </c>
      <c r="W10" s="325" t="str">
        <f>IFERROR(VLOOKUP(V10, Tarieven!$A$2:$J$150, 10, FALSE), "0")</f>
        <v>0</v>
      </c>
      <c r="X10" s="138">
        <f>December!X10</f>
        <v>8</v>
      </c>
      <c r="Y10" s="398">
        <v>0.0</v>
      </c>
      <c r="Z10" s="329">
        <f t="shared" si="3"/>
        <v>15</v>
      </c>
      <c r="AA10" s="32">
        <f t="shared" si="4"/>
        <v>165.6</v>
      </c>
      <c r="AB10" s="32">
        <f t="shared" si="5"/>
        <v>187.467</v>
      </c>
      <c r="AC10" s="32">
        <f t="shared" si="6"/>
        <v>21.867</v>
      </c>
      <c r="AE10" s="330"/>
      <c r="AF10" s="330"/>
    </row>
    <row r="11" ht="22.5" customHeight="1">
      <c r="A11" s="331" t="str">
        <f>Rooster!A12</f>
        <v>Maandag</v>
      </c>
      <c r="B11" s="396">
        <f>Rooster!B12</f>
        <v>0.875</v>
      </c>
      <c r="C11" s="15">
        <f>Rooster!C12</f>
        <v>60</v>
      </c>
      <c r="D11" s="11" t="str">
        <f>Rooster!D12</f>
        <v>Jazz 20+</v>
      </c>
      <c r="E11" s="77">
        <v>4.0</v>
      </c>
      <c r="F11" s="327" t="str">
        <f>Rooster!E12</f>
        <v>Nova</v>
      </c>
      <c r="G11" s="319">
        <f>IFERROR(VLOOKUP(F11, Docenten!$A$2:$G$30, 7, FALSE), "0")</f>
        <v>22.5</v>
      </c>
      <c r="H11" s="320">
        <f t="shared" si="1"/>
        <v>22.5</v>
      </c>
      <c r="I11" s="327" t="str">
        <f>Rooster!H12</f>
        <v>Santpoort Zuid</v>
      </c>
      <c r="J11" s="321">
        <f>IFERROR(VLOOKUP(I11, Locaties!$A$2:$G$15, 7, FALSE), "0")</f>
        <v>18.9</v>
      </c>
      <c r="K11" s="42">
        <f t="shared" si="2"/>
        <v>18.9</v>
      </c>
      <c r="L11" s="427">
        <f>December!L11</f>
        <v>4</v>
      </c>
      <c r="M11" s="428" t="str">
        <f>December!M11</f>
        <v>Volwassenen 2x abbo</v>
      </c>
      <c r="N11" s="321">
        <f>IFERROR(VLOOKUP(M11, Tarieven!$A$1:$J$150, 10, FALSE), "0")</f>
        <v>27.255</v>
      </c>
      <c r="O11" s="429" t="str">
        <f>December!O11</f>
        <v/>
      </c>
      <c r="P11" s="430" t="str">
        <f>December!P11</f>
        <v/>
      </c>
      <c r="Q11" s="325" t="str">
        <f>IFERROR(VLOOKUP(P11, Tarieven!$A$2:$J$150, 10, FALSE), "0")</f>
        <v>0</v>
      </c>
      <c r="R11" s="431" t="str">
        <f>December!R11</f>
        <v/>
      </c>
      <c r="S11" s="430" t="str">
        <f>December!S11</f>
        <v/>
      </c>
      <c r="T11" s="325" t="str">
        <f>IFERROR(VLOOKUP(S11, Tarieven!$A$2:$J$150, 10, FALSE), "0")</f>
        <v>0</v>
      </c>
      <c r="U11" s="77" t="str">
        <f>December!U11</f>
        <v/>
      </c>
      <c r="V11" s="327" t="str">
        <f>December!V11</f>
        <v/>
      </c>
      <c r="W11" s="325" t="str">
        <f>IFERROR(VLOOKUP(V11, Tarieven!$A$2:$J$150, 10, FALSE), "0")</f>
        <v>0</v>
      </c>
      <c r="X11" s="138">
        <f>December!X11</f>
        <v>4</v>
      </c>
      <c r="Y11" s="398">
        <v>0.0</v>
      </c>
      <c r="Z11" s="329">
        <f t="shared" si="3"/>
        <v>8</v>
      </c>
      <c r="AA11" s="32">
        <f t="shared" si="4"/>
        <v>165.6</v>
      </c>
      <c r="AB11" s="32">
        <f t="shared" si="5"/>
        <v>109.02</v>
      </c>
      <c r="AC11" s="32">
        <f t="shared" si="6"/>
        <v>-56.58</v>
      </c>
      <c r="AE11" s="330"/>
      <c r="AF11" s="330"/>
    </row>
    <row r="12" ht="22.5" customHeight="1">
      <c r="A12" s="331" t="str">
        <f>Rooster!A13</f>
        <v>Maandag</v>
      </c>
      <c r="B12" s="396">
        <f>Rooster!B13</f>
        <v>0.6666666667</v>
      </c>
      <c r="C12" s="15">
        <f>Rooster!C13</f>
        <v>60</v>
      </c>
      <c r="D12" s="11" t="str">
        <f>Rooster!D13</f>
        <v>Streetdance 6+</v>
      </c>
      <c r="E12" s="77">
        <v>4.0</v>
      </c>
      <c r="F12" s="327" t="str">
        <f>Rooster!E13</f>
        <v>Julia</v>
      </c>
      <c r="G12" s="319">
        <f>IFERROR(VLOOKUP(F12, Docenten!$A$2:$G$30, 7, FALSE), "0")</f>
        <v>15</v>
      </c>
      <c r="H12" s="320">
        <f t="shared" si="1"/>
        <v>15</v>
      </c>
      <c r="I12" s="327" t="str">
        <f>Rooster!H13</f>
        <v>Santpoort Noord</v>
      </c>
      <c r="J12" s="321">
        <f>IFERROR(VLOOKUP(I12, Locaties!$A$2:$G$15, 7, FALSE), "0")</f>
        <v>14.2</v>
      </c>
      <c r="K12" s="42">
        <f t="shared" si="2"/>
        <v>14.2</v>
      </c>
      <c r="L12" s="427">
        <f>December!L12</f>
        <v>2</v>
      </c>
      <c r="M12" s="428" t="str">
        <f>December!M12</f>
        <v>2x per week abbo</v>
      </c>
      <c r="N12" s="321">
        <f>IFERROR(VLOOKUP(M12, Tarieven!$A$1:$J$150, 10, FALSE), "0")</f>
        <v>28.55</v>
      </c>
      <c r="O12" s="437">
        <v>8.0</v>
      </c>
      <c r="P12" s="430" t="str">
        <f>December!P12</f>
        <v>1x per week abbo</v>
      </c>
      <c r="Q12" s="325">
        <f>IFERROR(VLOOKUP(P12, Tarieven!$A$2:$J$150, 10, FALSE), "0")</f>
        <v>31</v>
      </c>
      <c r="R12" s="441">
        <v>1.0</v>
      </c>
      <c r="S12" s="438" t="s">
        <v>48</v>
      </c>
      <c r="T12" s="432">
        <v>141.0</v>
      </c>
      <c r="U12" s="77" t="str">
        <f>December!U12</f>
        <v/>
      </c>
      <c r="V12" s="327" t="str">
        <f>December!V12</f>
        <v/>
      </c>
      <c r="W12" s="325" t="str">
        <f>IFERROR(VLOOKUP(V12, Tarieven!$A$2:$J$150, 10, FALSE), "0")</f>
        <v>0</v>
      </c>
      <c r="X12" s="138">
        <f>December!X12</f>
        <v>2</v>
      </c>
      <c r="Y12" s="398">
        <v>0.0</v>
      </c>
      <c r="Z12" s="329">
        <f t="shared" si="3"/>
        <v>13</v>
      </c>
      <c r="AA12" s="32">
        <f t="shared" si="4"/>
        <v>116.8</v>
      </c>
      <c r="AB12" s="32">
        <f t="shared" si="5"/>
        <v>446.1</v>
      </c>
      <c r="AC12" s="32">
        <f t="shared" si="6"/>
        <v>329.3</v>
      </c>
      <c r="AE12" s="330"/>
      <c r="AF12" s="330"/>
    </row>
    <row r="13" ht="22.5" customHeight="1">
      <c r="A13" s="331" t="str">
        <f>Rooster!A14</f>
        <v>Maandag</v>
      </c>
      <c r="B13" s="396">
        <f>Rooster!B14</f>
        <v>0.7083333333</v>
      </c>
      <c r="C13" s="15">
        <f>Rooster!C14</f>
        <v>60</v>
      </c>
      <c r="D13" s="11" t="str">
        <f>Rooster!D14</f>
        <v>Streetdance 8+</v>
      </c>
      <c r="E13" s="77">
        <v>4.0</v>
      </c>
      <c r="F13" s="327" t="str">
        <f>Rooster!E14</f>
        <v>Julia</v>
      </c>
      <c r="G13" s="319">
        <f>IFERROR(VLOOKUP(F13, Docenten!$A$2:$G$30, 7, FALSE), "0")</f>
        <v>15</v>
      </c>
      <c r="H13" s="320">
        <f t="shared" si="1"/>
        <v>15</v>
      </c>
      <c r="I13" s="327" t="str">
        <f>Rooster!H14</f>
        <v>Santpoort Noord</v>
      </c>
      <c r="J13" s="321">
        <f>IFERROR(VLOOKUP(I13, Locaties!$A$2:$G$15, 7, FALSE), "0")</f>
        <v>14.2</v>
      </c>
      <c r="K13" s="42">
        <f t="shared" si="2"/>
        <v>14.2</v>
      </c>
      <c r="L13" s="427">
        <f>December!L13</f>
        <v>1</v>
      </c>
      <c r="M13" s="428" t="str">
        <f>December!M13</f>
        <v>1x per week abbo</v>
      </c>
      <c r="N13" s="321">
        <f>IFERROR(VLOOKUP(M13, Tarieven!$A$1:$J$150, 10, FALSE), "0")</f>
        <v>31</v>
      </c>
      <c r="O13" s="429">
        <f>December!O13</f>
        <v>5</v>
      </c>
      <c r="P13" s="430" t="str">
        <f>December!P13</f>
        <v>2x per week abbo</v>
      </c>
      <c r="Q13" s="325">
        <f>IFERROR(VLOOKUP(P13, Tarieven!$A$2:$J$150, 10, FALSE), "0")</f>
        <v>28.55</v>
      </c>
      <c r="R13" s="431" t="str">
        <f>December!R13</f>
        <v/>
      </c>
      <c r="S13" s="430" t="str">
        <f>December!S13</f>
        <v/>
      </c>
      <c r="T13" s="325" t="str">
        <f>IFERROR(VLOOKUP(S13, Tarieven!$A$2:$J$150, 10, FALSE), "0")</f>
        <v>0</v>
      </c>
      <c r="U13" s="77" t="str">
        <f>December!U13</f>
        <v/>
      </c>
      <c r="V13" s="327" t="str">
        <f>December!V13</f>
        <v/>
      </c>
      <c r="W13" s="325" t="str">
        <f>IFERROR(VLOOKUP(V13, Tarieven!$A$2:$J$150, 10, FALSE), "0")</f>
        <v>0</v>
      </c>
      <c r="X13" s="138">
        <f>December!X13</f>
        <v>13</v>
      </c>
      <c r="Y13" s="398">
        <v>0.0</v>
      </c>
      <c r="Z13" s="329">
        <f t="shared" si="3"/>
        <v>19</v>
      </c>
      <c r="AA13" s="32">
        <f t="shared" si="4"/>
        <v>116.8</v>
      </c>
      <c r="AB13" s="32">
        <f t="shared" si="5"/>
        <v>173.75</v>
      </c>
      <c r="AC13" s="32">
        <f t="shared" si="6"/>
        <v>56.95</v>
      </c>
      <c r="AE13" s="330"/>
      <c r="AF13" s="330"/>
    </row>
    <row r="14" ht="22.5" customHeight="1">
      <c r="A14" s="331" t="str">
        <f>Rooster!A15</f>
        <v>Dinsdag</v>
      </c>
      <c r="B14" s="396">
        <f>Rooster!B15</f>
        <v>0.6666666667</v>
      </c>
      <c r="C14" s="15">
        <f>Rooster!C15</f>
        <v>60</v>
      </c>
      <c r="D14" s="11" t="str">
        <f>Rooster!D15</f>
        <v>Modern 8+</v>
      </c>
      <c r="E14" s="77">
        <v>4.0</v>
      </c>
      <c r="F14" s="327" t="str">
        <f>Rooster!E15</f>
        <v>Eigenaar</v>
      </c>
      <c r="G14" s="319">
        <f>IFERROR(VLOOKUP(F14, Docenten!$A$2:$G$30, 7, FALSE), "0")</f>
        <v>0</v>
      </c>
      <c r="H14" s="320">
        <f t="shared" si="1"/>
        <v>0</v>
      </c>
      <c r="I14" s="327" t="str">
        <f>Rooster!H15</f>
        <v>Santpoort Zuid</v>
      </c>
      <c r="J14" s="321">
        <f>IFERROR(VLOOKUP(I14, Locaties!$A$2:$G$15, 7, FALSE), "0")</f>
        <v>18.9</v>
      </c>
      <c r="K14" s="42">
        <f t="shared" si="2"/>
        <v>18.9</v>
      </c>
      <c r="L14" s="427">
        <f>December!L14</f>
        <v>5</v>
      </c>
      <c r="M14" s="428" t="str">
        <f>December!M14</f>
        <v>2x per week abbo</v>
      </c>
      <c r="N14" s="321">
        <f>IFERROR(VLOOKUP(M14, Tarieven!$A$1:$J$150, 10, FALSE), "0")</f>
        <v>28.55</v>
      </c>
      <c r="O14" s="429">
        <f>December!O14</f>
        <v>1</v>
      </c>
      <c r="P14" s="430" t="str">
        <f>December!P14</f>
        <v>1x per week abbo</v>
      </c>
      <c r="Q14" s="325">
        <f>IFERROR(VLOOKUP(P14, Tarieven!$A$2:$J$150, 10, FALSE), "0")</f>
        <v>31</v>
      </c>
      <c r="R14" s="431">
        <f>December!R14</f>
        <v>2</v>
      </c>
      <c r="S14" s="430" t="str">
        <f>December!S14</f>
        <v>Cheer regulier + onbeperkt abbo</v>
      </c>
      <c r="T14" s="325">
        <f>IFERROR(VLOOKUP(S14, Tarieven!$A$2:$J$150, 10, FALSE), "0")</f>
        <v>44.45</v>
      </c>
      <c r="U14" s="77">
        <f>December!U14</f>
        <v>1</v>
      </c>
      <c r="V14" s="327" t="str">
        <f>December!V14</f>
        <v>Cheer regulier +1 abbo</v>
      </c>
      <c r="W14" s="325">
        <f>IFERROR(VLOOKUP(V14, Tarieven!$A$2:$J$150, 10, FALSE), "0")</f>
        <v>32.25</v>
      </c>
      <c r="X14" s="138">
        <f>December!X14</f>
        <v>8</v>
      </c>
      <c r="Y14" s="398">
        <v>0.0</v>
      </c>
      <c r="Z14" s="329">
        <f t="shared" si="3"/>
        <v>17</v>
      </c>
      <c r="AA14" s="32">
        <f t="shared" si="4"/>
        <v>75.6</v>
      </c>
      <c r="AB14" s="32">
        <f t="shared" si="5"/>
        <v>294.9</v>
      </c>
      <c r="AC14" s="32">
        <f t="shared" si="6"/>
        <v>219.3</v>
      </c>
    </row>
    <row r="15" ht="22.5" customHeight="1">
      <c r="A15" s="331" t="str">
        <f>Rooster!A16</f>
        <v>Dinsdag</v>
      </c>
      <c r="B15" s="396">
        <f>Rooster!B16</f>
        <v>0.7083333333</v>
      </c>
      <c r="C15" s="15">
        <f>Rooster!C16</f>
        <v>60</v>
      </c>
      <c r="D15" s="11" t="str">
        <f>Rooster!D16</f>
        <v>Selectie show 8+</v>
      </c>
      <c r="E15" s="77">
        <v>4.0</v>
      </c>
      <c r="F15" s="327" t="str">
        <f>Rooster!E16</f>
        <v>Eigenaar</v>
      </c>
      <c r="G15" s="319">
        <f>IFERROR(VLOOKUP(F15, Docenten!$A$2:$G$30, 7, FALSE), "0")</f>
        <v>0</v>
      </c>
      <c r="H15" s="320">
        <f t="shared" si="1"/>
        <v>0</v>
      </c>
      <c r="I15" s="327" t="str">
        <f>Rooster!H16</f>
        <v>Santpoort Zuid</v>
      </c>
      <c r="J15" s="321">
        <f>IFERROR(VLOOKUP(I15, Locaties!$A$2:$G$15, 7, FALSE), "0")</f>
        <v>18.9</v>
      </c>
      <c r="K15" s="42">
        <f t="shared" si="2"/>
        <v>18.9</v>
      </c>
      <c r="L15" s="427">
        <f>December!L15</f>
        <v>2</v>
      </c>
      <c r="M15" s="428" t="str">
        <f>December!M15</f>
        <v>Cheer regulier + onbeperkt abbo</v>
      </c>
      <c r="N15" s="321">
        <f>IFERROR(VLOOKUP(M15, Tarieven!$A$1:$J$150, 10, FALSE), "0")</f>
        <v>44.45</v>
      </c>
      <c r="O15" s="429">
        <f>December!O15</f>
        <v>2</v>
      </c>
      <c r="P15" s="430" t="str">
        <f>December!P15</f>
        <v>2x per week abbo</v>
      </c>
      <c r="Q15" s="325">
        <f>IFERROR(VLOOKUP(P15, Tarieven!$A$2:$J$150, 10, FALSE), "0")</f>
        <v>28.55</v>
      </c>
      <c r="R15" s="431" t="str">
        <f>December!R15</f>
        <v/>
      </c>
      <c r="S15" s="430" t="str">
        <f>December!S15</f>
        <v/>
      </c>
      <c r="T15" s="325" t="str">
        <f>IFERROR(VLOOKUP(S15, Tarieven!$A$2:$J$150, 10, FALSE), "0")</f>
        <v>0</v>
      </c>
      <c r="U15" s="77">
        <f>December!U15</f>
        <v>1</v>
      </c>
      <c r="V15" s="327" t="str">
        <f>December!V15</f>
        <v>Cheer regulier +2 abbo</v>
      </c>
      <c r="W15" s="325">
        <f>IFERROR(VLOOKUP(V15, Tarieven!$A$2:$J$150, 10, FALSE), "0")</f>
        <v>29.03333333</v>
      </c>
      <c r="X15" s="138">
        <f>December!X15</f>
        <v>7</v>
      </c>
      <c r="Y15" s="398">
        <v>0.0</v>
      </c>
      <c r="Z15" s="329">
        <f t="shared" si="3"/>
        <v>12</v>
      </c>
      <c r="AA15" s="32">
        <f t="shared" si="4"/>
        <v>75.6</v>
      </c>
      <c r="AB15" s="32">
        <f t="shared" si="5"/>
        <v>175.0333333</v>
      </c>
      <c r="AC15" s="32">
        <f t="shared" si="6"/>
        <v>99.43333333</v>
      </c>
    </row>
    <row r="16" ht="22.5" customHeight="1">
      <c r="A16" s="331" t="str">
        <f>Rooster!A17</f>
        <v>Dinsdag</v>
      </c>
      <c r="B16" s="396">
        <f>Rooster!B17</f>
        <v>0.75</v>
      </c>
      <c r="C16" s="15">
        <f>Rooster!C17</f>
        <v>90</v>
      </c>
      <c r="D16" s="11" t="str">
        <f>Rooster!D17</f>
        <v>Selectie Cheer</v>
      </c>
      <c r="E16" s="77">
        <v>4.0</v>
      </c>
      <c r="F16" s="327" t="str">
        <f>Rooster!E17</f>
        <v>Eigenaar</v>
      </c>
      <c r="G16" s="319">
        <f>IFERROR(VLOOKUP(F16, Docenten!$A$2:$G$30, 7, FALSE), "0")</f>
        <v>0</v>
      </c>
      <c r="H16" s="320">
        <f t="shared" si="1"/>
        <v>0</v>
      </c>
      <c r="I16" s="327" t="str">
        <f>Rooster!H17</f>
        <v>Santpoort Zuid</v>
      </c>
      <c r="J16" s="321">
        <f>IFERROR(VLOOKUP(I16, Locaties!$A$2:$G$15, 7, FALSE), "0")</f>
        <v>18.9</v>
      </c>
      <c r="K16" s="42">
        <f t="shared" si="2"/>
        <v>28.35</v>
      </c>
      <c r="L16" s="427">
        <f>December!L16</f>
        <v>2</v>
      </c>
      <c r="M16" s="428" t="str">
        <f>December!M16</f>
        <v>Cheer selectie +2 abbo</v>
      </c>
      <c r="N16" s="321">
        <f>IFERROR(VLOOKUP(M16, Tarieven!$A$1:$J$150, 10, FALSE), "0")</f>
        <v>31.53333333</v>
      </c>
      <c r="O16" s="429">
        <f>December!O16</f>
        <v>1</v>
      </c>
      <c r="P16" s="430" t="str">
        <f>December!P16</f>
        <v>Cheer selectie +1 abbo</v>
      </c>
      <c r="Q16" s="325">
        <f>IFERROR(VLOOKUP(P16, Tarieven!$A$2:$J$150, 10, FALSE), "0")</f>
        <v>34.25</v>
      </c>
      <c r="R16" s="431" t="str">
        <f>December!R16</f>
        <v/>
      </c>
      <c r="S16" s="430" t="str">
        <f>December!S16</f>
        <v/>
      </c>
      <c r="T16" s="325" t="str">
        <f>IFERROR(VLOOKUP(S16, Tarieven!$A$2:$J$150, 10, FALSE), "0")</f>
        <v>0</v>
      </c>
      <c r="U16" s="77" t="str">
        <f>December!U16</f>
        <v/>
      </c>
      <c r="V16" s="327" t="str">
        <f>December!V16</f>
        <v/>
      </c>
      <c r="W16" s="325" t="str">
        <f>IFERROR(VLOOKUP(V16, Tarieven!$A$2:$J$150, 10, FALSE), "0")</f>
        <v>0</v>
      </c>
      <c r="X16" s="138">
        <f>December!X16</f>
        <v>8</v>
      </c>
      <c r="Y16" s="398">
        <v>0.0</v>
      </c>
      <c r="Z16" s="329">
        <f t="shared" si="3"/>
        <v>11</v>
      </c>
      <c r="AA16" s="32">
        <f t="shared" si="4"/>
        <v>113.4</v>
      </c>
      <c r="AB16" s="32">
        <f t="shared" si="5"/>
        <v>97.31666667</v>
      </c>
      <c r="AC16" s="32">
        <f t="shared" si="6"/>
        <v>-16.08333333</v>
      </c>
    </row>
    <row r="17" ht="22.5" customHeight="1">
      <c r="A17" s="331" t="str">
        <f>Rooster!A18</f>
        <v>Dinsdag</v>
      </c>
      <c r="B17" s="396">
        <f>Rooster!B18</f>
        <v>0.8125</v>
      </c>
      <c r="C17" s="15">
        <f>Rooster!C18</f>
        <v>60</v>
      </c>
      <c r="D17" s="11" t="str">
        <f>Rooster!D18</f>
        <v>Hiphop 15+</v>
      </c>
      <c r="E17" s="77">
        <v>4.0</v>
      </c>
      <c r="F17" s="327" t="str">
        <f>Rooster!E18</f>
        <v>Eigenaar</v>
      </c>
      <c r="G17" s="319">
        <f>IFERROR(VLOOKUP(F17, Docenten!$A$2:$G$30, 7, FALSE), "0")</f>
        <v>0</v>
      </c>
      <c r="H17" s="320">
        <f t="shared" si="1"/>
        <v>0</v>
      </c>
      <c r="I17" s="327" t="str">
        <f>Rooster!H18</f>
        <v>Santpoort Zuid</v>
      </c>
      <c r="J17" s="321">
        <f>IFERROR(VLOOKUP(I17, Locaties!$A$2:$G$15, 7, FALSE), "0")</f>
        <v>18.9</v>
      </c>
      <c r="K17" s="42">
        <f t="shared" si="2"/>
        <v>18.9</v>
      </c>
      <c r="L17" s="427">
        <f>December!L17</f>
        <v>4</v>
      </c>
      <c r="M17" s="428" t="str">
        <f>December!M17</f>
        <v>3x per week abbo</v>
      </c>
      <c r="N17" s="321">
        <f>IFERROR(VLOOKUP(M17, Tarieven!$A$1:$J$150, 10, FALSE), "0")</f>
        <v>28.93333333</v>
      </c>
      <c r="O17" s="429">
        <f>December!O17</f>
        <v>1</v>
      </c>
      <c r="P17" s="430" t="str">
        <f>December!P17</f>
        <v>2x per week abbo</v>
      </c>
      <c r="Q17" s="325">
        <f>IFERROR(VLOOKUP(P17, Tarieven!$A$2:$J$150, 10, FALSE), "0")</f>
        <v>28.55</v>
      </c>
      <c r="R17" s="441">
        <v>2.0</v>
      </c>
      <c r="S17" s="438" t="s">
        <v>54</v>
      </c>
      <c r="T17" s="325">
        <f>IFERROR(VLOOKUP(S17, Tarieven!$A$2:$J$150, 10, FALSE), "0")</f>
        <v>31</v>
      </c>
      <c r="U17" s="77" t="str">
        <f>December!U17</f>
        <v/>
      </c>
      <c r="V17" s="327" t="str">
        <f>December!V17</f>
        <v/>
      </c>
      <c r="W17" s="325" t="str">
        <f>IFERROR(VLOOKUP(V17, Tarieven!$A$2:$J$150, 10, FALSE), "0")</f>
        <v>0</v>
      </c>
      <c r="X17" s="138">
        <f>December!X17</f>
        <v>9</v>
      </c>
      <c r="Y17" s="398">
        <v>0.0</v>
      </c>
      <c r="Z17" s="329">
        <f t="shared" si="3"/>
        <v>16</v>
      </c>
      <c r="AA17" s="32">
        <f t="shared" si="4"/>
        <v>75.6</v>
      </c>
      <c r="AB17" s="32">
        <f t="shared" si="5"/>
        <v>206.2833333</v>
      </c>
      <c r="AC17" s="32">
        <f t="shared" si="6"/>
        <v>130.6833333</v>
      </c>
    </row>
    <row r="18" ht="22.5" customHeight="1">
      <c r="A18" s="331" t="str">
        <f>Rooster!A19</f>
        <v>Woensdag</v>
      </c>
      <c r="B18" s="396">
        <f>Rooster!B19</f>
        <v>0.6041666667</v>
      </c>
      <c r="C18" s="15">
        <f>Rooster!C19</f>
        <v>60</v>
      </c>
      <c r="D18" s="11" t="str">
        <f>Rooster!D19</f>
        <v>Streetdance 6+</v>
      </c>
      <c r="E18" s="77">
        <v>4.0</v>
      </c>
      <c r="F18" s="327" t="str">
        <f>Rooster!E19</f>
        <v>Julia</v>
      </c>
      <c r="G18" s="319">
        <f>IFERROR(VLOOKUP(F18, Docenten!$A$2:$G$30, 7, FALSE), "0")</f>
        <v>15</v>
      </c>
      <c r="H18" s="320">
        <f t="shared" si="1"/>
        <v>15</v>
      </c>
      <c r="I18" s="327" t="str">
        <f>Rooster!H19</f>
        <v>Santpoort Noord</v>
      </c>
      <c r="J18" s="321">
        <f>IFERROR(VLOOKUP(I18, Locaties!$A$2:$G$15, 7, FALSE), "0")</f>
        <v>14.2</v>
      </c>
      <c r="K18" s="42">
        <f t="shared" si="2"/>
        <v>14.2</v>
      </c>
      <c r="L18" s="427">
        <f>December!L18</f>
        <v>1</v>
      </c>
      <c r="M18" s="428" t="str">
        <f>December!M18</f>
        <v>2x per week abbo</v>
      </c>
      <c r="N18" s="321">
        <f>IFERROR(VLOOKUP(M18, Tarieven!$A$1:$J$150, 10, FALSE), "0")</f>
        <v>28.55</v>
      </c>
      <c r="O18" s="429">
        <f>December!O18</f>
        <v>2</v>
      </c>
      <c r="P18" s="430" t="str">
        <f>December!P18</f>
        <v>1x per week abbo</v>
      </c>
      <c r="Q18" s="325">
        <f>IFERROR(VLOOKUP(P18, Tarieven!$A$2:$J$150, 10, FALSE), "0")</f>
        <v>31</v>
      </c>
      <c r="R18" s="431" t="str">
        <f>December!R18</f>
        <v/>
      </c>
      <c r="S18" s="430" t="str">
        <f>December!S18</f>
        <v/>
      </c>
      <c r="T18" s="325" t="str">
        <f>IFERROR(VLOOKUP(S18, Tarieven!$A$2:$J$150, 10, FALSE), "0")</f>
        <v>0</v>
      </c>
      <c r="U18" s="77" t="str">
        <f>December!U18</f>
        <v/>
      </c>
      <c r="V18" s="327" t="str">
        <f>December!V18</f>
        <v/>
      </c>
      <c r="W18" s="325" t="str">
        <f>IFERROR(VLOOKUP(V18, Tarieven!$A$2:$J$150, 10, FALSE), "0")</f>
        <v>0</v>
      </c>
      <c r="X18" s="138">
        <f>December!X18</f>
        <v>9</v>
      </c>
      <c r="Y18" s="398">
        <v>0.0</v>
      </c>
      <c r="Z18" s="329">
        <f t="shared" si="3"/>
        <v>12</v>
      </c>
      <c r="AA18" s="32">
        <f t="shared" si="4"/>
        <v>116.8</v>
      </c>
      <c r="AB18" s="32">
        <f t="shared" si="5"/>
        <v>90.55</v>
      </c>
      <c r="AC18" s="32">
        <f t="shared" si="6"/>
        <v>-26.25</v>
      </c>
    </row>
    <row r="19" ht="22.5" customHeight="1">
      <c r="A19" s="331" t="str">
        <f>Rooster!A20</f>
        <v>Woensdag</v>
      </c>
      <c r="B19" s="396">
        <f>Rooster!B20</f>
        <v>0.6458333333</v>
      </c>
      <c r="C19" s="15">
        <f>Rooster!C20</f>
        <v>60</v>
      </c>
      <c r="D19" s="11" t="str">
        <f>Rooster!D20</f>
        <v>Streetdance 8+</v>
      </c>
      <c r="E19" s="77">
        <v>4.0</v>
      </c>
      <c r="F19" s="327" t="str">
        <f>Rooster!E20</f>
        <v>Julia</v>
      </c>
      <c r="G19" s="319">
        <f>IFERROR(VLOOKUP(F19, Docenten!$A$2:$G$30, 7, FALSE), "0")</f>
        <v>15</v>
      </c>
      <c r="H19" s="320">
        <f t="shared" si="1"/>
        <v>15</v>
      </c>
      <c r="I19" s="327" t="str">
        <f>Rooster!H20</f>
        <v>Santpoort Noord</v>
      </c>
      <c r="J19" s="321">
        <f>IFERROR(VLOOKUP(I19, Locaties!$A$2:$G$15, 7, FALSE), "0")</f>
        <v>14.2</v>
      </c>
      <c r="K19" s="42">
        <f t="shared" si="2"/>
        <v>14.2</v>
      </c>
      <c r="L19" s="427">
        <f>December!L19</f>
        <v>6</v>
      </c>
      <c r="M19" s="428" t="str">
        <f>December!M19</f>
        <v>1x per week abbo</v>
      </c>
      <c r="N19" s="321">
        <f>IFERROR(VLOOKUP(M19, Tarieven!$A$1:$J$150, 10, FALSE), "0")</f>
        <v>31</v>
      </c>
      <c r="O19" s="429">
        <f>December!O19</f>
        <v>1</v>
      </c>
      <c r="P19" s="430" t="str">
        <f>December!P19</f>
        <v>Cheer regulier +1 abbo</v>
      </c>
      <c r="Q19" s="325">
        <f>IFERROR(VLOOKUP(P19, Tarieven!$A$2:$J$150, 10, FALSE), "0")</f>
        <v>32.25</v>
      </c>
      <c r="R19" s="431">
        <f>December!R19</f>
        <v>1</v>
      </c>
      <c r="S19" s="430" t="str">
        <f>December!S19</f>
        <v>Cheer regulier + onbeperkt abbo</v>
      </c>
      <c r="T19" s="325">
        <f>IFERROR(VLOOKUP(S19, Tarieven!$A$2:$J$150, 10, FALSE), "0")</f>
        <v>44.45</v>
      </c>
      <c r="U19" s="77">
        <v>1.0</v>
      </c>
      <c r="V19" s="70" t="s">
        <v>48</v>
      </c>
      <c r="W19" s="432">
        <v>118.0</v>
      </c>
      <c r="X19" s="138">
        <f>December!X19</f>
        <v>11</v>
      </c>
      <c r="Y19" s="398">
        <v>0.0</v>
      </c>
      <c r="Z19" s="329">
        <f t="shared" si="3"/>
        <v>20</v>
      </c>
      <c r="AA19" s="32">
        <f t="shared" si="4"/>
        <v>116.8</v>
      </c>
      <c r="AB19" s="32">
        <f t="shared" si="5"/>
        <v>380.7</v>
      </c>
      <c r="AC19" s="32">
        <f t="shared" si="6"/>
        <v>263.9</v>
      </c>
    </row>
    <row r="20" ht="22.5" customHeight="1">
      <c r="A20" s="331" t="str">
        <f>Rooster!A21</f>
        <v>Woensdag</v>
      </c>
      <c r="B20" s="396">
        <f>Rooster!B21</f>
        <v>0.6875</v>
      </c>
      <c r="C20" s="15">
        <f>Rooster!C21</f>
        <v>60</v>
      </c>
      <c r="D20" s="11" t="str">
        <f>Rooster!D21</f>
        <v>Modern 11+</v>
      </c>
      <c r="E20" s="77">
        <v>4.0</v>
      </c>
      <c r="F20" s="327" t="str">
        <f>Rooster!E21</f>
        <v>Julia</v>
      </c>
      <c r="G20" s="319">
        <f>IFERROR(VLOOKUP(F20, Docenten!$A$2:$G$30, 7, FALSE), "0")</f>
        <v>15</v>
      </c>
      <c r="H20" s="320">
        <f t="shared" si="1"/>
        <v>15</v>
      </c>
      <c r="I20" s="327" t="str">
        <f>Rooster!H21</f>
        <v>Santpoort Noord</v>
      </c>
      <c r="J20" s="321">
        <f>IFERROR(VLOOKUP(I20, Locaties!$A$2:$G$15, 7, FALSE), "0")</f>
        <v>14.2</v>
      </c>
      <c r="K20" s="42">
        <f t="shared" si="2"/>
        <v>14.2</v>
      </c>
      <c r="L20" s="427">
        <f>December!L20</f>
        <v>3</v>
      </c>
      <c r="M20" s="428" t="str">
        <f>December!M20</f>
        <v>1x per week abbo</v>
      </c>
      <c r="N20" s="321">
        <f>IFERROR(VLOOKUP(M20, Tarieven!$A$1:$J$150, 10, FALSE), "0")</f>
        <v>31</v>
      </c>
      <c r="O20" s="429">
        <f>December!O20</f>
        <v>1</v>
      </c>
      <c r="P20" s="430" t="str">
        <f>December!P20</f>
        <v>Cheer regulier +1 abbo</v>
      </c>
      <c r="Q20" s="325">
        <f>IFERROR(VLOOKUP(P20, Tarieven!$A$2:$J$150, 10, FALSE), "0")</f>
        <v>32.25</v>
      </c>
      <c r="R20" s="431">
        <f>December!R20</f>
        <v>1</v>
      </c>
      <c r="S20" s="430" t="str">
        <f>December!S20</f>
        <v>Cheer regulier + onbeperkt abbo</v>
      </c>
      <c r="T20" s="325">
        <f>IFERROR(VLOOKUP(S20, Tarieven!$A$2:$J$150, 10, FALSE), "0")</f>
        <v>44.45</v>
      </c>
      <c r="U20" s="77" t="str">
        <f>December!U20</f>
        <v/>
      </c>
      <c r="V20" s="327" t="str">
        <f>December!V20</f>
        <v/>
      </c>
      <c r="W20" s="325" t="str">
        <f>IFERROR(VLOOKUP(V20, Tarieven!$A$2:$J$150, 10, FALSE), "0")</f>
        <v>0</v>
      </c>
      <c r="X20" s="138">
        <f>December!X20</f>
        <v>9</v>
      </c>
      <c r="Y20" s="398">
        <v>0.0</v>
      </c>
      <c r="Z20" s="329">
        <f t="shared" si="3"/>
        <v>14</v>
      </c>
      <c r="AA20" s="32">
        <f t="shared" si="4"/>
        <v>116.8</v>
      </c>
      <c r="AB20" s="32">
        <f t="shared" si="5"/>
        <v>169.7</v>
      </c>
      <c r="AC20" s="32">
        <f t="shared" si="6"/>
        <v>52.9</v>
      </c>
    </row>
    <row r="21" ht="22.5" customHeight="1">
      <c r="A21" s="331" t="str">
        <f>Rooster!A22</f>
        <v>Woensdag</v>
      </c>
      <c r="B21" s="396">
        <f>Rooster!B22</f>
        <v>0.7291666667</v>
      </c>
      <c r="C21" s="15">
        <f>Rooster!C22</f>
        <v>60</v>
      </c>
      <c r="D21" s="11" t="str">
        <f>Rooster!D22</f>
        <v>Selectie Hiphop 11+</v>
      </c>
      <c r="E21" s="77">
        <v>4.0</v>
      </c>
      <c r="F21" s="327" t="str">
        <f>Rooster!E22</f>
        <v>Eigenaar</v>
      </c>
      <c r="G21" s="319">
        <f>IFERROR(VLOOKUP(F21, Docenten!$A$2:$G$30, 7, FALSE), "0")</f>
        <v>0</v>
      </c>
      <c r="H21" s="320">
        <f t="shared" si="1"/>
        <v>0</v>
      </c>
      <c r="I21" s="327" t="str">
        <f>Rooster!H22</f>
        <v>Santpoort Noord</v>
      </c>
      <c r="J21" s="321">
        <f>IFERROR(VLOOKUP(I21, Locaties!$A$2:$G$15, 7, FALSE), "0")</f>
        <v>14.2</v>
      </c>
      <c r="K21" s="42">
        <f t="shared" si="2"/>
        <v>14.2</v>
      </c>
      <c r="L21" s="427">
        <f>December!L21</f>
        <v>1</v>
      </c>
      <c r="M21" s="428" t="str">
        <f>December!M21</f>
        <v>1x per week abbo</v>
      </c>
      <c r="N21" s="321">
        <f>IFERROR(VLOOKUP(M21, Tarieven!$A$1:$J$150, 10, FALSE), "0")</f>
        <v>31</v>
      </c>
      <c r="O21" s="429">
        <f>December!O21</f>
        <v>3</v>
      </c>
      <c r="P21" s="430" t="str">
        <f>December!P21</f>
        <v>2x per week abbo</v>
      </c>
      <c r="Q21" s="325">
        <f>IFERROR(VLOOKUP(P21, Tarieven!$A$2:$J$150, 10, FALSE), "0")</f>
        <v>28.55</v>
      </c>
      <c r="R21" s="431">
        <f>December!R21</f>
        <v>1</v>
      </c>
      <c r="S21" s="430" t="str">
        <f>December!S21</f>
        <v>Cheer regulier +1 abbo</v>
      </c>
      <c r="T21" s="325">
        <f>IFERROR(VLOOKUP(S21, Tarieven!$A$2:$J$150, 10, FALSE), "0")</f>
        <v>32.25</v>
      </c>
      <c r="U21" s="77" t="str">
        <f>December!U21</f>
        <v/>
      </c>
      <c r="V21" s="327" t="str">
        <f>December!V21</f>
        <v/>
      </c>
      <c r="W21" s="325" t="str">
        <f>IFERROR(VLOOKUP(V21, Tarieven!$A$2:$J$150, 10, FALSE), "0")</f>
        <v>0</v>
      </c>
      <c r="X21" s="138">
        <f>December!X21</f>
        <v>11</v>
      </c>
      <c r="Y21" s="398">
        <v>0.0</v>
      </c>
      <c r="Z21" s="329">
        <f t="shared" si="3"/>
        <v>16</v>
      </c>
      <c r="AA21" s="32">
        <f t="shared" si="4"/>
        <v>56.8</v>
      </c>
      <c r="AB21" s="32">
        <f t="shared" si="5"/>
        <v>148.9</v>
      </c>
      <c r="AC21" s="32">
        <f t="shared" si="6"/>
        <v>92.1</v>
      </c>
    </row>
    <row r="22" ht="22.5" customHeight="1">
      <c r="A22" s="331" t="str">
        <f>Rooster!A23</f>
        <v>Woensdag</v>
      </c>
      <c r="B22" s="396">
        <f>Rooster!B23</f>
        <v>0.7708333333</v>
      </c>
      <c r="C22" s="15">
        <f>Rooster!C23</f>
        <v>60</v>
      </c>
      <c r="D22" s="11" t="str">
        <f>Rooster!D23</f>
        <v>Show 12+</v>
      </c>
      <c r="E22" s="77">
        <v>4.0</v>
      </c>
      <c r="F22" s="327" t="str">
        <f>Rooster!E23</f>
        <v>Eigenaar</v>
      </c>
      <c r="G22" s="319">
        <f>IFERROR(VLOOKUP(F22, Docenten!$A$2:$G$30, 7, FALSE), "0")</f>
        <v>0</v>
      </c>
      <c r="H22" s="320">
        <f t="shared" si="1"/>
        <v>0</v>
      </c>
      <c r="I22" s="327" t="str">
        <f>Rooster!H23</f>
        <v>Santpoort Noord</v>
      </c>
      <c r="J22" s="321">
        <f>IFERROR(VLOOKUP(I22, Locaties!$A$2:$G$15, 7, FALSE), "0")</f>
        <v>14.2</v>
      </c>
      <c r="K22" s="42">
        <f t="shared" si="2"/>
        <v>14.2</v>
      </c>
      <c r="L22" s="427">
        <f>December!L22</f>
        <v>1</v>
      </c>
      <c r="M22" s="428" t="str">
        <f>December!M22</f>
        <v>Cheer selectie +1 abbo</v>
      </c>
      <c r="N22" s="321">
        <f>IFERROR(VLOOKUP(M22, Tarieven!$A$1:$J$150, 10, FALSE), "0")</f>
        <v>34.25</v>
      </c>
      <c r="O22" s="429" t="str">
        <f>December!O22</f>
        <v/>
      </c>
      <c r="P22" s="430" t="str">
        <f>December!P22</f>
        <v/>
      </c>
      <c r="Q22" s="325" t="str">
        <f>IFERROR(VLOOKUP(P22, Tarieven!$A$2:$J$150, 10, FALSE), "0")</f>
        <v>0</v>
      </c>
      <c r="R22" s="431" t="str">
        <f>December!R22</f>
        <v/>
      </c>
      <c r="S22" s="430" t="str">
        <f>December!S22</f>
        <v/>
      </c>
      <c r="T22" s="325" t="str">
        <f>IFERROR(VLOOKUP(S22, Tarieven!$A$2:$J$150, 10, FALSE), "0")</f>
        <v>0</v>
      </c>
      <c r="U22" s="77" t="str">
        <f>December!U22</f>
        <v/>
      </c>
      <c r="V22" s="327" t="str">
        <f>December!V22</f>
        <v/>
      </c>
      <c r="W22" s="325" t="str">
        <f>IFERROR(VLOOKUP(V22, Tarieven!$A$2:$J$150, 10, FALSE), "0")</f>
        <v>0</v>
      </c>
      <c r="X22" s="138">
        <f>December!X22</f>
        <v>9</v>
      </c>
      <c r="Y22" s="398">
        <v>0.0</v>
      </c>
      <c r="Z22" s="329">
        <f t="shared" si="3"/>
        <v>10</v>
      </c>
      <c r="AA22" s="32">
        <f t="shared" si="4"/>
        <v>56.8</v>
      </c>
      <c r="AB22" s="32">
        <f t="shared" si="5"/>
        <v>34.25</v>
      </c>
      <c r="AC22" s="32">
        <f t="shared" si="6"/>
        <v>-22.55</v>
      </c>
    </row>
    <row r="23" ht="22.5" customHeight="1">
      <c r="A23" s="331" t="str">
        <f>Rooster!A24</f>
        <v/>
      </c>
      <c r="B23" s="396" t="str">
        <f>Rooster!B24</f>
        <v/>
      </c>
      <c r="C23" s="15" t="str">
        <f>Rooster!C24</f>
        <v/>
      </c>
      <c r="D23" s="11" t="str">
        <f>Rooster!D24</f>
        <v/>
      </c>
      <c r="E23" s="77"/>
      <c r="F23" s="327" t="str">
        <f>Rooster!E24</f>
        <v/>
      </c>
      <c r="G23" s="319" t="str">
        <f>IFERROR(VLOOKUP(F23, Docenten!$A$2:$G$30, 7, FALSE), "0")</f>
        <v>0</v>
      </c>
      <c r="H23" s="320">
        <f t="shared" si="1"/>
        <v>0</v>
      </c>
      <c r="I23" s="327" t="str">
        <f>Rooster!H24</f>
        <v/>
      </c>
      <c r="J23" s="321" t="str">
        <f>IFERROR(VLOOKUP(I23, Locaties!$A$2:$G$15, 7, FALSE), "0")</f>
        <v>0</v>
      </c>
      <c r="K23" s="42">
        <f t="shared" si="2"/>
        <v>0</v>
      </c>
      <c r="L23" s="427" t="str">
        <f>December!L23</f>
        <v/>
      </c>
      <c r="M23" s="428" t="str">
        <f>December!M23</f>
        <v/>
      </c>
      <c r="N23" s="321" t="str">
        <f>IFERROR(VLOOKUP(M23, Tarieven!$A$1:$J$150, 10, FALSE), "0")</f>
        <v>0</v>
      </c>
      <c r="O23" s="429" t="str">
        <f>December!O23</f>
        <v/>
      </c>
      <c r="P23" s="430" t="str">
        <f>December!P23</f>
        <v/>
      </c>
      <c r="Q23" s="325" t="str">
        <f>IFERROR(VLOOKUP(P23, Tarieven!$A$2:$J$150, 10, FALSE), "0")</f>
        <v>0</v>
      </c>
      <c r="R23" s="431" t="str">
        <f>December!R23</f>
        <v/>
      </c>
      <c r="S23" s="430" t="str">
        <f>December!S23</f>
        <v/>
      </c>
      <c r="T23" s="325" t="str">
        <f>IFERROR(VLOOKUP(S23, Tarieven!$A$2:$J$150, 10, FALSE), "0")</f>
        <v>0</v>
      </c>
      <c r="U23" s="77" t="str">
        <f>December!U23</f>
        <v/>
      </c>
      <c r="V23" s="327" t="str">
        <f>December!V23</f>
        <v/>
      </c>
      <c r="W23" s="325" t="str">
        <f>IFERROR(VLOOKUP(V23, Tarieven!$A$2:$J$150, 10, FALSE), "0")</f>
        <v>0</v>
      </c>
      <c r="X23" s="138">
        <f>December!X23</f>
        <v>0</v>
      </c>
      <c r="Y23" s="398">
        <v>0.0</v>
      </c>
      <c r="Z23" s="329">
        <f t="shared" si="3"/>
        <v>0</v>
      </c>
      <c r="AA23" s="32">
        <f t="shared" si="4"/>
        <v>0</v>
      </c>
      <c r="AB23" s="32">
        <f t="shared" si="5"/>
        <v>0</v>
      </c>
      <c r="AC23" s="32">
        <f t="shared" si="6"/>
        <v>0</v>
      </c>
    </row>
    <row r="24" ht="22.5" customHeight="1">
      <c r="A24" s="331" t="str">
        <f>Rooster!A25</f>
        <v>Donderdag</v>
      </c>
      <c r="B24" s="396">
        <f>Rooster!B25</f>
        <v>0.6458333333</v>
      </c>
      <c r="C24" s="15">
        <f>Rooster!C25</f>
        <v>60</v>
      </c>
      <c r="D24" s="11" t="str">
        <f>Rooster!D25</f>
        <v>Showdance 6+</v>
      </c>
      <c r="E24" s="77">
        <v>4.0</v>
      </c>
      <c r="F24" s="70" t="s">
        <v>59</v>
      </c>
      <c r="G24" s="319">
        <f>IFERROR(VLOOKUP(F24, Docenten!$A$2:$G$30, 7, FALSE), "0")</f>
        <v>20</v>
      </c>
      <c r="H24" s="320">
        <f t="shared" si="1"/>
        <v>20</v>
      </c>
      <c r="I24" s="327" t="str">
        <f>Rooster!H25</f>
        <v>Santpoort Zuid</v>
      </c>
      <c r="J24" s="321">
        <f>IFERROR(VLOOKUP(I24, Locaties!$A$2:$G$15, 7, FALSE), "0")</f>
        <v>18.9</v>
      </c>
      <c r="K24" s="42">
        <f t="shared" si="2"/>
        <v>18.9</v>
      </c>
      <c r="L24" s="427">
        <f>December!L24</f>
        <v>5</v>
      </c>
      <c r="M24" s="428" t="str">
        <f>December!M24</f>
        <v>1x per week abbo</v>
      </c>
      <c r="N24" s="321">
        <f>IFERROR(VLOOKUP(M24, Tarieven!$A$1:$J$150, 10, FALSE), "0")</f>
        <v>31</v>
      </c>
      <c r="O24" s="429">
        <f>December!O24</f>
        <v>3</v>
      </c>
      <c r="P24" s="430" t="str">
        <f>December!P24</f>
        <v>2x per week abbo</v>
      </c>
      <c r="Q24" s="325">
        <f>IFERROR(VLOOKUP(P24, Tarieven!$A$2:$J$150, 10, FALSE), "0")</f>
        <v>28.55</v>
      </c>
      <c r="R24" s="431" t="str">
        <f>December!R24</f>
        <v/>
      </c>
      <c r="S24" s="430" t="str">
        <f>December!S24</f>
        <v/>
      </c>
      <c r="T24" s="325" t="str">
        <f>IFERROR(VLOOKUP(S24, Tarieven!$A$2:$J$150, 10, FALSE), "0")</f>
        <v>0</v>
      </c>
      <c r="U24" s="77" t="str">
        <f>December!U24</f>
        <v/>
      </c>
      <c r="V24" s="327" t="str">
        <f>December!V24</f>
        <v/>
      </c>
      <c r="W24" s="325" t="str">
        <f>IFERROR(VLOOKUP(V24, Tarieven!$A$2:$J$150, 10, FALSE), "0")</f>
        <v>0</v>
      </c>
      <c r="X24" s="138">
        <f>December!X24</f>
        <v>4</v>
      </c>
      <c r="Y24" s="398">
        <v>0.0</v>
      </c>
      <c r="Z24" s="329">
        <f t="shared" si="3"/>
        <v>12</v>
      </c>
      <c r="AA24" s="32">
        <f t="shared" si="4"/>
        <v>155.6</v>
      </c>
      <c r="AB24" s="32">
        <f t="shared" si="5"/>
        <v>240.65</v>
      </c>
      <c r="AC24" s="32">
        <f t="shared" si="6"/>
        <v>85.05</v>
      </c>
    </row>
    <row r="25" ht="22.5" customHeight="1">
      <c r="A25" s="331" t="str">
        <f>Rooster!A26</f>
        <v>Donderdag</v>
      </c>
      <c r="B25" s="396">
        <f>Rooster!B26</f>
        <v>0.6875</v>
      </c>
      <c r="C25" s="15">
        <f>Rooster!C26</f>
        <v>60</v>
      </c>
      <c r="D25" s="11" t="str">
        <f>Rooster!D26</f>
        <v>Showdance 8+</v>
      </c>
      <c r="E25" s="77">
        <v>4.0</v>
      </c>
      <c r="F25" s="70" t="s">
        <v>59</v>
      </c>
      <c r="G25" s="319">
        <f>IFERROR(VLOOKUP(F25, Docenten!$A$2:$G$30, 7, FALSE), "0")</f>
        <v>20</v>
      </c>
      <c r="H25" s="320">
        <f t="shared" si="1"/>
        <v>20</v>
      </c>
      <c r="I25" s="327" t="str">
        <f>Rooster!H26</f>
        <v>Santpoort Zuid</v>
      </c>
      <c r="J25" s="321">
        <f>IFERROR(VLOOKUP(I25, Locaties!$A$2:$G$15, 7, FALSE), "0")</f>
        <v>18.9</v>
      </c>
      <c r="K25" s="42">
        <f t="shared" si="2"/>
        <v>18.9</v>
      </c>
      <c r="L25" s="427">
        <f>December!L25</f>
        <v>4</v>
      </c>
      <c r="M25" s="428" t="str">
        <f>December!M25</f>
        <v>1x per week abbo</v>
      </c>
      <c r="N25" s="321">
        <f>IFERROR(VLOOKUP(M25, Tarieven!$A$1:$J$150, 10, FALSE), "0")</f>
        <v>31</v>
      </c>
      <c r="O25" s="429">
        <f>December!O25</f>
        <v>3</v>
      </c>
      <c r="P25" s="430" t="str">
        <f>December!P25</f>
        <v>2x per week abbo</v>
      </c>
      <c r="Q25" s="325">
        <f>IFERROR(VLOOKUP(P25, Tarieven!$A$2:$J$150, 10, FALSE), "0")</f>
        <v>28.55</v>
      </c>
      <c r="R25" s="431" t="str">
        <f>December!R25</f>
        <v/>
      </c>
      <c r="S25" s="430" t="str">
        <f>December!S25</f>
        <v/>
      </c>
      <c r="T25" s="325" t="str">
        <f>IFERROR(VLOOKUP(S25, Tarieven!$A$2:$J$150, 10, FALSE), "0")</f>
        <v>0</v>
      </c>
      <c r="U25" s="77" t="str">
        <f>December!U25</f>
        <v/>
      </c>
      <c r="V25" s="327" t="str">
        <f>December!V25</f>
        <v/>
      </c>
      <c r="W25" s="325" t="str">
        <f>IFERROR(VLOOKUP(V25, Tarieven!$A$2:$J$150, 10, FALSE), "0")</f>
        <v>0</v>
      </c>
      <c r="X25" s="138">
        <f>December!X25</f>
        <v>4</v>
      </c>
      <c r="Y25" s="398">
        <v>0.0</v>
      </c>
      <c r="Z25" s="329">
        <f t="shared" si="3"/>
        <v>11</v>
      </c>
      <c r="AA25" s="32">
        <f t="shared" si="4"/>
        <v>155.6</v>
      </c>
      <c r="AB25" s="32">
        <f t="shared" si="5"/>
        <v>209.65</v>
      </c>
      <c r="AC25" s="32">
        <f t="shared" si="6"/>
        <v>54.05</v>
      </c>
    </row>
    <row r="26" ht="22.5" customHeight="1">
      <c r="A26" s="331" t="str">
        <f>Rooster!A27</f>
        <v>Donderdag</v>
      </c>
      <c r="B26" s="396">
        <f>Rooster!B27</f>
        <v>0.7291666667</v>
      </c>
      <c r="C26" s="15">
        <f>Rooster!C27</f>
        <v>60</v>
      </c>
      <c r="D26" s="11" t="str">
        <f>Rooster!D27</f>
        <v>Modern 14+</v>
      </c>
      <c r="E26" s="77">
        <v>4.0</v>
      </c>
      <c r="F26" s="70" t="s">
        <v>59</v>
      </c>
      <c r="G26" s="319">
        <f>IFERROR(VLOOKUP(F26, Docenten!$A$2:$G$30, 7, FALSE), "0")</f>
        <v>20</v>
      </c>
      <c r="H26" s="320">
        <f t="shared" si="1"/>
        <v>20</v>
      </c>
      <c r="I26" s="327" t="str">
        <f>Rooster!H27</f>
        <v>Santpoort Zuid</v>
      </c>
      <c r="J26" s="321">
        <f>IFERROR(VLOOKUP(I26, Locaties!$A$2:$G$15, 7, FALSE), "0")</f>
        <v>18.9</v>
      </c>
      <c r="K26" s="42">
        <f t="shared" si="2"/>
        <v>18.9</v>
      </c>
      <c r="L26" s="427">
        <f>December!L26</f>
        <v>3</v>
      </c>
      <c r="M26" s="428" t="str">
        <f>December!M26</f>
        <v>3x per week abbo</v>
      </c>
      <c r="N26" s="321">
        <f>IFERROR(VLOOKUP(M26, Tarieven!$A$1:$J$150, 10, FALSE), "0")</f>
        <v>28.93333333</v>
      </c>
      <c r="O26" s="429">
        <f>December!O26</f>
        <v>1</v>
      </c>
      <c r="P26" s="430" t="str">
        <f>December!P26</f>
        <v>2x per week abbo</v>
      </c>
      <c r="Q26" s="325">
        <f>IFERROR(VLOOKUP(P26, Tarieven!$A$2:$J$150, 10, FALSE), "0")</f>
        <v>28.55</v>
      </c>
      <c r="R26" s="431">
        <f>December!R26</f>
        <v>2</v>
      </c>
      <c r="S26" s="430" t="str">
        <f>December!S26</f>
        <v>Cheer selectie +2 abbo</v>
      </c>
      <c r="T26" s="325">
        <f>IFERROR(VLOOKUP(S26, Tarieven!$A$2:$J$150, 10, FALSE), "0")</f>
        <v>31.53333333</v>
      </c>
      <c r="U26" s="77" t="str">
        <f>December!U26</f>
        <v/>
      </c>
      <c r="V26" s="327" t="str">
        <f>December!V26</f>
        <v/>
      </c>
      <c r="W26" s="325" t="str">
        <f>IFERROR(VLOOKUP(V26, Tarieven!$A$2:$J$150, 10, FALSE), "0")</f>
        <v>0</v>
      </c>
      <c r="X26" s="138">
        <f>December!X26</f>
        <v>7</v>
      </c>
      <c r="Y26" s="398">
        <v>0.0</v>
      </c>
      <c r="Z26" s="329">
        <f t="shared" si="3"/>
        <v>13</v>
      </c>
      <c r="AA26" s="32">
        <f t="shared" si="4"/>
        <v>155.6</v>
      </c>
      <c r="AB26" s="32">
        <f t="shared" si="5"/>
        <v>178.4166667</v>
      </c>
      <c r="AC26" s="32">
        <f t="shared" si="6"/>
        <v>22.81666667</v>
      </c>
    </row>
    <row r="27" ht="22.5" customHeight="1">
      <c r="A27" s="331" t="str">
        <f>Rooster!A28</f>
        <v>Donderdag</v>
      </c>
      <c r="B27" s="396">
        <f>Rooster!B28</f>
        <v>0.7708333333</v>
      </c>
      <c r="C27" s="15">
        <f>Rooster!C28</f>
        <v>60</v>
      </c>
      <c r="D27" s="11" t="str">
        <f>Rooster!D28</f>
        <v>Commercial 14+</v>
      </c>
      <c r="E27" s="77">
        <v>4.0</v>
      </c>
      <c r="F27" s="327" t="str">
        <f>Rooster!E28</f>
        <v>Nova</v>
      </c>
      <c r="G27" s="319">
        <f>IFERROR(VLOOKUP(F27, Docenten!$A$2:$G$30, 7, FALSE), "0")</f>
        <v>22.5</v>
      </c>
      <c r="H27" s="320">
        <f t="shared" si="1"/>
        <v>22.5</v>
      </c>
      <c r="I27" s="327" t="str">
        <f>Rooster!H28</f>
        <v>Santpoort Zuid</v>
      </c>
      <c r="J27" s="321">
        <f>IFERROR(VLOOKUP(I27, Locaties!$A$2:$G$15, 7, FALSE), "0")</f>
        <v>18.9</v>
      </c>
      <c r="K27" s="42">
        <f t="shared" si="2"/>
        <v>18.9</v>
      </c>
      <c r="L27" s="440">
        <v>5.0</v>
      </c>
      <c r="M27" s="428" t="str">
        <f>December!M27</f>
        <v>3x per week abbo</v>
      </c>
      <c r="N27" s="321">
        <f>IFERROR(VLOOKUP(M27, Tarieven!$A$1:$J$150, 10, FALSE), "0")</f>
        <v>28.93333333</v>
      </c>
      <c r="O27" s="429">
        <f>December!O27</f>
        <v>2</v>
      </c>
      <c r="P27" s="430" t="str">
        <f>December!P27</f>
        <v>2x per week abbo</v>
      </c>
      <c r="Q27" s="325">
        <f>IFERROR(VLOOKUP(P27, Tarieven!$A$2:$J$150, 10, FALSE), "0")</f>
        <v>28.55</v>
      </c>
      <c r="R27" s="431">
        <f>December!R27</f>
        <v>2</v>
      </c>
      <c r="S27" s="430" t="str">
        <f>December!S27</f>
        <v>Cheer selectie +2 abbo</v>
      </c>
      <c r="T27" s="325">
        <f>IFERROR(VLOOKUP(S27, Tarieven!$A$2:$J$150, 10, FALSE), "0")</f>
        <v>31.53333333</v>
      </c>
      <c r="U27" s="77">
        <f>December!U27</f>
        <v>1</v>
      </c>
      <c r="V27" s="327" t="str">
        <f>December!V27</f>
        <v>1x per week abbo</v>
      </c>
      <c r="W27" s="325">
        <f>IFERROR(VLOOKUP(V27, Tarieven!$A$2:$J$150, 10, FALSE), "0")</f>
        <v>31</v>
      </c>
      <c r="X27" s="138">
        <f>December!X27</f>
        <v>10</v>
      </c>
      <c r="Y27" s="398">
        <v>0.0</v>
      </c>
      <c r="Z27" s="329">
        <f t="shared" si="3"/>
        <v>20</v>
      </c>
      <c r="AA27" s="32">
        <f t="shared" si="4"/>
        <v>165.6</v>
      </c>
      <c r="AB27" s="32">
        <f t="shared" si="5"/>
        <v>295.8333333</v>
      </c>
      <c r="AC27" s="32">
        <f t="shared" si="6"/>
        <v>130.2333333</v>
      </c>
    </row>
    <row r="28" ht="22.5" customHeight="1">
      <c r="A28" s="331" t="str">
        <f>Rooster!A29</f>
        <v>Donderdag</v>
      </c>
      <c r="B28" s="396">
        <f>Rooster!B29</f>
        <v>0.8125</v>
      </c>
      <c r="C28" s="15">
        <f>Rooster!C29</f>
        <v>60</v>
      </c>
      <c r="D28" s="11" t="str">
        <f>Rooster!D29</f>
        <v>Selectie Hiphop 16+</v>
      </c>
      <c r="E28" s="77">
        <v>4.0</v>
      </c>
      <c r="F28" s="327" t="str">
        <f>Rooster!E29</f>
        <v>Nova</v>
      </c>
      <c r="G28" s="319">
        <f>IFERROR(VLOOKUP(F28, Docenten!$A$2:$G$30, 7, FALSE), "0")</f>
        <v>22.5</v>
      </c>
      <c r="H28" s="320">
        <f t="shared" si="1"/>
        <v>22.5</v>
      </c>
      <c r="I28" s="327" t="str">
        <f>Rooster!H29</f>
        <v>Santpoort Zuid</v>
      </c>
      <c r="J28" s="321">
        <f>IFERROR(VLOOKUP(I28, Locaties!$A$2:$G$15, 7, FALSE), "0")</f>
        <v>18.9</v>
      </c>
      <c r="K28" s="42">
        <f t="shared" si="2"/>
        <v>18.9</v>
      </c>
      <c r="L28" s="427">
        <f>December!L28</f>
        <v>2</v>
      </c>
      <c r="M28" s="428" t="str">
        <f>December!M28</f>
        <v>Cheer selectie +2 abbo</v>
      </c>
      <c r="N28" s="321">
        <f>IFERROR(VLOOKUP(M28, Tarieven!$A$1:$J$150, 10, FALSE), "0")</f>
        <v>31.53333333</v>
      </c>
      <c r="O28" s="429">
        <f>December!O28</f>
        <v>3</v>
      </c>
      <c r="P28" s="430" t="str">
        <f>December!P28</f>
        <v>3x per week abbo</v>
      </c>
      <c r="Q28" s="325">
        <f>IFERROR(VLOOKUP(P28, Tarieven!$A$2:$J$150, 10, FALSE), "0")</f>
        <v>28.93333333</v>
      </c>
      <c r="R28" s="431">
        <f>December!R28</f>
        <v>2</v>
      </c>
      <c r="S28" s="430" t="str">
        <f>December!S28</f>
        <v>2x per week abbo</v>
      </c>
      <c r="T28" s="325">
        <f>IFERROR(VLOOKUP(S28, Tarieven!$A$2:$J$150, 10, FALSE), "0")</f>
        <v>28.55</v>
      </c>
      <c r="U28" s="77" t="str">
        <f>December!U28</f>
        <v/>
      </c>
      <c r="V28" s="327" t="str">
        <f>December!V28</f>
        <v/>
      </c>
      <c r="W28" s="325" t="str">
        <f>IFERROR(VLOOKUP(V28, Tarieven!$A$2:$J$150, 10, FALSE), "0")</f>
        <v>0</v>
      </c>
      <c r="X28" s="138">
        <f>December!X28</f>
        <v>8</v>
      </c>
      <c r="Y28" s="398">
        <v>0.0</v>
      </c>
      <c r="Z28" s="329">
        <f t="shared" si="3"/>
        <v>15</v>
      </c>
      <c r="AA28" s="32">
        <f t="shared" si="4"/>
        <v>165.6</v>
      </c>
      <c r="AB28" s="32">
        <f t="shared" si="5"/>
        <v>206.9666667</v>
      </c>
      <c r="AC28" s="32">
        <f t="shared" si="6"/>
        <v>41.36666667</v>
      </c>
    </row>
    <row r="29" ht="22.5" customHeight="1">
      <c r="A29" s="331" t="str">
        <f>Rooster!A30</f>
        <v>Donderdag</v>
      </c>
      <c r="B29" s="396">
        <f>Rooster!B30</f>
        <v>0.8541666667</v>
      </c>
      <c r="C29" s="15">
        <f>Rooster!C30</f>
        <v>60</v>
      </c>
      <c r="D29" s="11" t="str">
        <f>Rooster!D30</f>
        <v>Modern 16+</v>
      </c>
      <c r="E29" s="77">
        <v>4.0</v>
      </c>
      <c r="F29" s="327" t="str">
        <f>Rooster!E30</f>
        <v>Nova</v>
      </c>
      <c r="G29" s="319">
        <f>IFERROR(VLOOKUP(F29, Docenten!$A$2:$G$30, 7, FALSE), "0")</f>
        <v>22.5</v>
      </c>
      <c r="H29" s="320">
        <f t="shared" si="1"/>
        <v>22.5</v>
      </c>
      <c r="I29" s="327" t="str">
        <f>Rooster!H30</f>
        <v>Santpoort Zuid</v>
      </c>
      <c r="J29" s="321">
        <f>IFERROR(VLOOKUP(I29, Locaties!$A$2:$G$15, 7, FALSE), "0")</f>
        <v>18.9</v>
      </c>
      <c r="K29" s="42">
        <f t="shared" si="2"/>
        <v>18.9</v>
      </c>
      <c r="L29" s="427">
        <f>December!L29</f>
        <v>1</v>
      </c>
      <c r="M29" s="428" t="str">
        <f>December!M29</f>
        <v>1x per week abbo</v>
      </c>
      <c r="N29" s="321">
        <f>IFERROR(VLOOKUP(M29, Tarieven!$A$1:$J$150, 10, FALSE), "0")</f>
        <v>31</v>
      </c>
      <c r="O29" s="437">
        <v>2.0</v>
      </c>
      <c r="P29" s="430" t="str">
        <f>December!P29</f>
        <v>3x per week abbo</v>
      </c>
      <c r="Q29" s="325">
        <f>IFERROR(VLOOKUP(P29, Tarieven!$A$2:$J$150, 10, FALSE), "0")</f>
        <v>28.93333333</v>
      </c>
      <c r="R29" s="431" t="str">
        <f>December!R29</f>
        <v/>
      </c>
      <c r="S29" s="430" t="str">
        <f>December!S29</f>
        <v/>
      </c>
      <c r="T29" s="325" t="str">
        <f>IFERROR(VLOOKUP(S29, Tarieven!$A$2:$J$150, 10, FALSE), "0")</f>
        <v>0</v>
      </c>
      <c r="U29" s="77" t="str">
        <f>December!U29</f>
        <v/>
      </c>
      <c r="V29" s="327" t="str">
        <f>December!V29</f>
        <v/>
      </c>
      <c r="W29" s="325" t="str">
        <f>IFERROR(VLOOKUP(V29, Tarieven!$A$2:$J$150, 10, FALSE), "0")</f>
        <v>0</v>
      </c>
      <c r="X29" s="138">
        <f>December!X29</f>
        <v>5</v>
      </c>
      <c r="Y29" s="398">
        <v>0.0</v>
      </c>
      <c r="Z29" s="329">
        <f t="shared" si="3"/>
        <v>8</v>
      </c>
      <c r="AA29" s="32">
        <f t="shared" si="4"/>
        <v>165.6</v>
      </c>
      <c r="AB29" s="32">
        <f t="shared" si="5"/>
        <v>88.86666667</v>
      </c>
      <c r="AC29" s="32">
        <f t="shared" si="6"/>
        <v>-76.73333333</v>
      </c>
    </row>
    <row r="30" ht="22.5" customHeight="1">
      <c r="A30" s="331" t="str">
        <f>Rooster!A31</f>
        <v>Vrijdag</v>
      </c>
      <c r="B30" s="396">
        <f>Rooster!B31</f>
        <v>0.625</v>
      </c>
      <c r="C30" s="15">
        <f>Rooster!C31</f>
        <v>60</v>
      </c>
      <c r="D30" s="11" t="str">
        <f>Rooster!D31</f>
        <v>Selectie Hiphop 8+</v>
      </c>
      <c r="E30" s="77">
        <v>4.0</v>
      </c>
      <c r="F30" s="327" t="str">
        <f>Rooster!E31</f>
        <v>Eigenaar</v>
      </c>
      <c r="G30" s="319">
        <f>IFERROR(VLOOKUP(F30, Docenten!$A$2:$G$30, 7, FALSE), "0")</f>
        <v>0</v>
      </c>
      <c r="H30" s="320">
        <f t="shared" si="1"/>
        <v>0</v>
      </c>
      <c r="I30" s="327" t="str">
        <f>Rooster!H31</f>
        <v>Santpoort Zuid</v>
      </c>
      <c r="J30" s="321">
        <f>IFERROR(VLOOKUP(I30, Locaties!$A$2:$G$15, 7, FALSE), "0")</f>
        <v>18.9</v>
      </c>
      <c r="K30" s="42">
        <f t="shared" si="2"/>
        <v>18.9</v>
      </c>
      <c r="L30" s="427">
        <f>December!L30</f>
        <v>5</v>
      </c>
      <c r="M30" s="428" t="str">
        <f>December!M30</f>
        <v>2x per week abbo</v>
      </c>
      <c r="N30" s="321">
        <f>IFERROR(VLOOKUP(M30, Tarieven!$A$1:$J$150, 10, FALSE), "0")</f>
        <v>28.55</v>
      </c>
      <c r="O30" s="429">
        <f>December!O30</f>
        <v>3</v>
      </c>
      <c r="P30" s="430" t="str">
        <f>December!P30</f>
        <v>Cheer regulier + onbeperkt abbo</v>
      </c>
      <c r="Q30" s="325">
        <f>IFERROR(VLOOKUP(P30, Tarieven!$A$2:$J$150, 10, FALSE), "0")</f>
        <v>44.45</v>
      </c>
      <c r="R30" s="431">
        <f>December!R30</f>
        <v>1</v>
      </c>
      <c r="S30" s="430" t="str">
        <f>December!S30</f>
        <v>Cheer regulier +2 abbo</v>
      </c>
      <c r="T30" s="325">
        <f>IFERROR(VLOOKUP(S30, Tarieven!$A$2:$J$150, 10, FALSE), "0")</f>
        <v>29.03333333</v>
      </c>
      <c r="U30" s="77" t="str">
        <f>December!U30</f>
        <v/>
      </c>
      <c r="V30" s="327" t="str">
        <f>December!V30</f>
        <v/>
      </c>
      <c r="W30" s="325" t="str">
        <f>IFERROR(VLOOKUP(V30, Tarieven!$A$2:$J$150, 10, FALSE), "0")</f>
        <v>0</v>
      </c>
      <c r="X30" s="138">
        <f>December!X30</f>
        <v>4</v>
      </c>
      <c r="Y30" s="398">
        <v>0.0</v>
      </c>
      <c r="Z30" s="329">
        <f t="shared" si="3"/>
        <v>13</v>
      </c>
      <c r="AA30" s="32">
        <f t="shared" si="4"/>
        <v>75.6</v>
      </c>
      <c r="AB30" s="32">
        <f t="shared" si="5"/>
        <v>305.1333333</v>
      </c>
      <c r="AC30" s="32">
        <f t="shared" si="6"/>
        <v>229.5333333</v>
      </c>
    </row>
    <row r="31" ht="22.5" customHeight="1">
      <c r="A31" s="331" t="str">
        <f>Rooster!A32</f>
        <v>Vrijdag</v>
      </c>
      <c r="B31" s="396">
        <f>Rooster!B32</f>
        <v>0.6666666667</v>
      </c>
      <c r="C31" s="15">
        <f>Rooster!C32</f>
        <v>60</v>
      </c>
      <c r="D31" s="11" t="str">
        <f>Rooster!D32</f>
        <v>Cheer 8+</v>
      </c>
      <c r="E31" s="77">
        <v>4.0</v>
      </c>
      <c r="F31" s="327" t="str">
        <f>Rooster!E32</f>
        <v>Eigenaar</v>
      </c>
      <c r="G31" s="319">
        <f>IFERROR(VLOOKUP(F31, Docenten!$A$2:$G$30, 7, FALSE), "0")</f>
        <v>0</v>
      </c>
      <c r="H31" s="320">
        <f t="shared" si="1"/>
        <v>0</v>
      </c>
      <c r="I31" s="327" t="str">
        <f>Rooster!H32</f>
        <v>Santpoort Zuid</v>
      </c>
      <c r="J31" s="321">
        <f>IFERROR(VLOOKUP(I31, Locaties!$A$2:$G$15, 7, FALSE), "0")</f>
        <v>18.9</v>
      </c>
      <c r="K31" s="42">
        <f t="shared" si="2"/>
        <v>18.9</v>
      </c>
      <c r="L31" s="427">
        <f>December!L31</f>
        <v>3</v>
      </c>
      <c r="M31" s="428" t="str">
        <f>December!M31</f>
        <v>Cheer regulier + onbeperkt abbo</v>
      </c>
      <c r="N31" s="321">
        <f>IFERROR(VLOOKUP(M31, Tarieven!$A$1:$J$150, 10, FALSE), "0")</f>
        <v>44.45</v>
      </c>
      <c r="O31" s="437">
        <v>5.0</v>
      </c>
      <c r="P31" s="430" t="str">
        <f>December!P31</f>
        <v>Cheer regulier +1 abbo</v>
      </c>
      <c r="Q31" s="325">
        <f>IFERROR(VLOOKUP(P31, Tarieven!$A$2:$J$150, 10, FALSE), "0")</f>
        <v>32.25</v>
      </c>
      <c r="R31" s="441">
        <v>1.0</v>
      </c>
      <c r="S31" s="438" t="s">
        <v>82</v>
      </c>
      <c r="T31" s="325">
        <f>IFERROR(VLOOKUP(S31, Tarieven!$A$2:$J$150, 10, FALSE), "0")</f>
        <v>33.5</v>
      </c>
      <c r="U31" s="77">
        <v>1.0</v>
      </c>
      <c r="V31" s="70" t="s">
        <v>81</v>
      </c>
      <c r="W31" s="432">
        <v>152.0</v>
      </c>
      <c r="X31" s="138">
        <f>December!X31</f>
        <v>11</v>
      </c>
      <c r="Y31" s="398">
        <v>0.0</v>
      </c>
      <c r="Z31" s="329">
        <f t="shared" si="3"/>
        <v>21</v>
      </c>
      <c r="AA31" s="32">
        <f t="shared" si="4"/>
        <v>75.6</v>
      </c>
      <c r="AB31" s="32">
        <f t="shared" si="5"/>
        <v>480.1</v>
      </c>
      <c r="AC31" s="32">
        <f t="shared" si="6"/>
        <v>404.5</v>
      </c>
    </row>
    <row r="32" ht="22.5" customHeight="1">
      <c r="A32" s="331" t="str">
        <f>Rooster!A33</f>
        <v>Vrijdag</v>
      </c>
      <c r="B32" s="396">
        <f>Rooster!B33</f>
        <v>0.7083333333</v>
      </c>
      <c r="C32" s="15">
        <f>Rooster!C33</f>
        <v>60</v>
      </c>
      <c r="D32" s="11" t="str">
        <f>Rooster!D33</f>
        <v>Cheer 12+</v>
      </c>
      <c r="E32" s="77">
        <v>4.0</v>
      </c>
      <c r="F32" s="327" t="str">
        <f>Rooster!E33</f>
        <v>Eigenaar</v>
      </c>
      <c r="G32" s="319">
        <f>IFERROR(VLOOKUP(F32, Docenten!$A$2:$G$30, 7, FALSE), "0")</f>
        <v>0</v>
      </c>
      <c r="H32" s="320">
        <f t="shared" si="1"/>
        <v>0</v>
      </c>
      <c r="I32" s="327" t="str">
        <f>Rooster!H33</f>
        <v>Santpoort Zuid</v>
      </c>
      <c r="J32" s="321">
        <f>IFERROR(VLOOKUP(I32, Locaties!$A$2:$G$15, 7, FALSE), "0")</f>
        <v>18.9</v>
      </c>
      <c r="K32" s="42">
        <f t="shared" si="2"/>
        <v>18.9</v>
      </c>
      <c r="L32" s="427">
        <f>December!L32</f>
        <v>4</v>
      </c>
      <c r="M32" s="428" t="str">
        <f>December!M32</f>
        <v>Cheer regulier +1 abbo</v>
      </c>
      <c r="N32" s="321">
        <f>IFERROR(VLOOKUP(M32, Tarieven!$A$1:$J$150, 10, FALSE), "0")</f>
        <v>32.25</v>
      </c>
      <c r="O32" s="429">
        <f>December!O32</f>
        <v>3</v>
      </c>
      <c r="P32" s="430" t="str">
        <f>December!P32</f>
        <v>Cheer regulier + onbeperkt abbo</v>
      </c>
      <c r="Q32" s="325">
        <f>IFERROR(VLOOKUP(P32, Tarieven!$A$2:$J$150, 10, FALSE), "0")</f>
        <v>44.45</v>
      </c>
      <c r="R32" s="431">
        <f>December!R32</f>
        <v>1</v>
      </c>
      <c r="S32" s="430" t="str">
        <f>December!S32</f>
        <v>Cheer regulier abbo</v>
      </c>
      <c r="T32" s="325">
        <f>IFERROR(VLOOKUP(S32, Tarieven!$A$2:$J$150, 10, FALSE), "0")</f>
        <v>33.5</v>
      </c>
      <c r="U32" s="77">
        <v>2.0</v>
      </c>
      <c r="V32" s="70" t="s">
        <v>54</v>
      </c>
      <c r="W32" s="325">
        <f>IFERROR(VLOOKUP(V32, Tarieven!$A$2:$J$150, 10, FALSE), "0")</f>
        <v>31</v>
      </c>
      <c r="X32" s="138">
        <f>December!X32</f>
        <v>5</v>
      </c>
      <c r="Y32" s="398">
        <v>0.0</v>
      </c>
      <c r="Z32" s="329">
        <f t="shared" si="3"/>
        <v>15</v>
      </c>
      <c r="AA32" s="32">
        <f t="shared" si="4"/>
        <v>75.6</v>
      </c>
      <c r="AB32" s="32">
        <f t="shared" si="5"/>
        <v>357.85</v>
      </c>
      <c r="AC32" s="32">
        <f t="shared" si="6"/>
        <v>282.25</v>
      </c>
    </row>
    <row r="33" ht="22.5" customHeight="1">
      <c r="A33" s="331" t="str">
        <f>Rooster!A34</f>
        <v>Vrijdag</v>
      </c>
      <c r="B33" s="396">
        <f>Rooster!B34</f>
        <v>0.75</v>
      </c>
      <c r="C33" s="15">
        <f>Rooster!C34</f>
        <v>60</v>
      </c>
      <c r="D33" s="11" t="str">
        <f>Rooster!D34</f>
        <v>Urban-pop-Show 11+</v>
      </c>
      <c r="E33" s="77">
        <v>4.0</v>
      </c>
      <c r="F33" s="327" t="str">
        <f>Rooster!E34</f>
        <v>Eigenaar</v>
      </c>
      <c r="G33" s="319">
        <f>IFERROR(VLOOKUP(F33, Docenten!$A$2:$G$30, 7, FALSE), "0")</f>
        <v>0</v>
      </c>
      <c r="H33" s="320">
        <f t="shared" si="1"/>
        <v>0</v>
      </c>
      <c r="I33" s="327" t="str">
        <f>Rooster!H34</f>
        <v>Santpoort Noord</v>
      </c>
      <c r="J33" s="321">
        <f>IFERROR(VLOOKUP(I33, Locaties!$A$2:$G$15, 7, FALSE), "0")</f>
        <v>14.2</v>
      </c>
      <c r="K33" s="42">
        <f t="shared" si="2"/>
        <v>14.2</v>
      </c>
      <c r="L33" s="427">
        <f>December!L33</f>
        <v>2</v>
      </c>
      <c r="M33" s="428" t="str">
        <f>December!M33</f>
        <v>Cheer regulier +1 abbo</v>
      </c>
      <c r="N33" s="321">
        <f>IFERROR(VLOOKUP(M33, Tarieven!$A$1:$J$150, 10, FALSE), "0")</f>
        <v>32.25</v>
      </c>
      <c r="O33" s="437">
        <v>2.0</v>
      </c>
      <c r="P33" s="438" t="s">
        <v>54</v>
      </c>
      <c r="Q33" s="325"/>
      <c r="R33" s="431" t="str">
        <f>December!R33</f>
        <v/>
      </c>
      <c r="S33" s="430" t="str">
        <f>December!S33</f>
        <v/>
      </c>
      <c r="T33" s="325" t="str">
        <f>IFERROR(VLOOKUP(S33, Tarieven!$A$2:$J$150, 10, FALSE), "0")</f>
        <v>0</v>
      </c>
      <c r="U33" s="77">
        <v>1.0</v>
      </c>
      <c r="V33" s="70" t="s">
        <v>48</v>
      </c>
      <c r="W33" s="432">
        <v>106.0</v>
      </c>
      <c r="X33" s="138">
        <f>December!X33</f>
        <v>8</v>
      </c>
      <c r="Y33" s="398">
        <v>0.0</v>
      </c>
      <c r="Z33" s="329">
        <f t="shared" si="3"/>
        <v>13</v>
      </c>
      <c r="AA33" s="32">
        <f t="shared" si="4"/>
        <v>56.8</v>
      </c>
      <c r="AB33" s="32">
        <f t="shared" si="5"/>
        <v>170.5</v>
      </c>
      <c r="AC33" s="32">
        <f t="shared" si="6"/>
        <v>113.7</v>
      </c>
    </row>
    <row r="34" ht="22.5" customHeight="1">
      <c r="A34" s="331" t="str">
        <f>Rooster!A35</f>
        <v>Zaterdag</v>
      </c>
      <c r="B34" s="396">
        <f>Rooster!B35</f>
        <v>0.375</v>
      </c>
      <c r="C34" s="15">
        <f>Rooster!C35</f>
        <v>60</v>
      </c>
      <c r="D34" s="11" t="str">
        <f>Rooster!D35</f>
        <v>Peuters</v>
      </c>
      <c r="E34" s="77">
        <v>5.0</v>
      </c>
      <c r="F34" s="327" t="str">
        <f>Rooster!E35</f>
        <v>Frederique</v>
      </c>
      <c r="G34" s="319">
        <f>IFERROR(VLOOKUP(F34, Docenten!$A$2:$G$30, 7, FALSE), "0")</f>
        <v>12.5</v>
      </c>
      <c r="H34" s="320">
        <f t="shared" si="1"/>
        <v>12.5</v>
      </c>
      <c r="I34" s="327" t="str">
        <f>Rooster!H35</f>
        <v>Santpoort Noord</v>
      </c>
      <c r="J34" s="321">
        <f>IFERROR(VLOOKUP(I34, Locaties!$A$2:$G$15, 7, FALSE), "0")</f>
        <v>14.2</v>
      </c>
      <c r="K34" s="42">
        <f t="shared" si="2"/>
        <v>14.2</v>
      </c>
      <c r="L34" s="440">
        <v>10.0</v>
      </c>
      <c r="M34" s="428" t="str">
        <f>December!M34</f>
        <v>1x per week abbo</v>
      </c>
      <c r="N34" s="321">
        <f>IFERROR(VLOOKUP(M34, Tarieven!$A$1:$J$150, 10, FALSE), "0")</f>
        <v>31</v>
      </c>
      <c r="O34" s="429">
        <f>December!O34</f>
        <v>1</v>
      </c>
      <c r="P34" s="430" t="str">
        <f>December!P34</f>
        <v/>
      </c>
      <c r="Q34" s="325" t="str">
        <f>IFERROR(VLOOKUP(P34, Tarieven!$A$2:$J$150, 10, FALSE), "0")</f>
        <v>0</v>
      </c>
      <c r="R34" s="431" t="str">
        <f>December!R34</f>
        <v/>
      </c>
      <c r="S34" s="430" t="str">
        <f>December!S34</f>
        <v/>
      </c>
      <c r="T34" s="325" t="str">
        <f>IFERROR(VLOOKUP(S34, Tarieven!$A$2:$J$150, 10, FALSE), "0")</f>
        <v>0</v>
      </c>
      <c r="U34" s="77" t="str">
        <f>December!U34</f>
        <v/>
      </c>
      <c r="V34" s="327" t="str">
        <f>December!V34</f>
        <v/>
      </c>
      <c r="W34" s="325" t="str">
        <f>IFERROR(VLOOKUP(V34, Tarieven!$A$2:$J$150, 10, FALSE), "0")</f>
        <v>0</v>
      </c>
      <c r="X34" s="138">
        <f>December!X34</f>
        <v>4</v>
      </c>
      <c r="Y34" s="398">
        <v>0.0</v>
      </c>
      <c r="Z34" s="329">
        <f t="shared" si="3"/>
        <v>15</v>
      </c>
      <c r="AA34" s="32">
        <f t="shared" si="4"/>
        <v>133.5</v>
      </c>
      <c r="AB34" s="32">
        <f t="shared" si="5"/>
        <v>310</v>
      </c>
      <c r="AC34" s="32">
        <f t="shared" si="6"/>
        <v>176.5</v>
      </c>
    </row>
    <row r="35" ht="22.5" customHeight="1">
      <c r="A35" s="331" t="str">
        <f>Rooster!A36</f>
        <v>Zaterdag</v>
      </c>
      <c r="B35" s="396">
        <f>Rooster!B36</f>
        <v>0.40625</v>
      </c>
      <c r="C35" s="15">
        <f>Rooster!C36</f>
        <v>60</v>
      </c>
      <c r="D35" s="11" t="str">
        <f>Rooster!D36</f>
        <v>Kleuters</v>
      </c>
      <c r="E35" s="77">
        <v>5.0</v>
      </c>
      <c r="F35" s="327" t="str">
        <f>Rooster!E36</f>
        <v>Frederique</v>
      </c>
      <c r="G35" s="319">
        <f>IFERROR(VLOOKUP(F35, Docenten!$A$2:$G$30, 7, FALSE), "0")</f>
        <v>12.5</v>
      </c>
      <c r="H35" s="320">
        <f t="shared" si="1"/>
        <v>12.5</v>
      </c>
      <c r="I35" s="327" t="str">
        <f>Rooster!H36</f>
        <v>Santpoort Noord</v>
      </c>
      <c r="J35" s="321">
        <f>IFERROR(VLOOKUP(I35, Locaties!$A$2:$G$15, 7, FALSE), "0")</f>
        <v>14.2</v>
      </c>
      <c r="K35" s="42">
        <f t="shared" si="2"/>
        <v>14.2</v>
      </c>
      <c r="L35" s="440">
        <v>11.0</v>
      </c>
      <c r="M35" s="428" t="str">
        <f>December!M35</f>
        <v>1x per week abbo</v>
      </c>
      <c r="N35" s="321">
        <f>IFERROR(VLOOKUP(M35, Tarieven!$A$1:$J$150, 10, FALSE), "0")</f>
        <v>31</v>
      </c>
      <c r="O35" s="429" t="str">
        <f>December!O35</f>
        <v/>
      </c>
      <c r="P35" s="430" t="str">
        <f>December!P35</f>
        <v/>
      </c>
      <c r="Q35" s="325"/>
      <c r="R35" s="431" t="str">
        <f>December!R35</f>
        <v/>
      </c>
      <c r="S35" s="430" t="str">
        <f>December!S35</f>
        <v/>
      </c>
      <c r="T35" s="325" t="str">
        <f>IFERROR(VLOOKUP(S35, Tarieven!$A$2:$J$150, 10, FALSE), "0")</f>
        <v>0</v>
      </c>
      <c r="U35" s="77" t="str">
        <f>December!U35</f>
        <v/>
      </c>
      <c r="V35" s="327" t="str">
        <f>December!V35</f>
        <v/>
      </c>
      <c r="W35" s="325" t="str">
        <f>IFERROR(VLOOKUP(V35, Tarieven!$A$2:$J$150, 10, FALSE), "0")</f>
        <v>0</v>
      </c>
      <c r="X35" s="138">
        <f>December!X35</f>
        <v>5</v>
      </c>
      <c r="Y35" s="398">
        <v>0.0</v>
      </c>
      <c r="Z35" s="329">
        <f t="shared" si="3"/>
        <v>16</v>
      </c>
      <c r="AA35" s="32">
        <f t="shared" si="4"/>
        <v>133.5</v>
      </c>
      <c r="AB35" s="32">
        <f t="shared" si="5"/>
        <v>341</v>
      </c>
      <c r="AC35" s="32">
        <f t="shared" si="6"/>
        <v>207.5</v>
      </c>
    </row>
    <row r="36" ht="22.5" customHeight="1">
      <c r="A36" s="331" t="str">
        <f>Rooster!A37</f>
        <v>Zaterdag</v>
      </c>
      <c r="B36" s="396">
        <f>Rooster!B37</f>
        <v>0.4375</v>
      </c>
      <c r="C36" s="15">
        <f>Rooster!C37</f>
        <v>60</v>
      </c>
      <c r="D36" s="11" t="str">
        <f>Rooster!D37</f>
        <v>Showdance 5-6</v>
      </c>
      <c r="E36" s="77">
        <v>5.0</v>
      </c>
      <c r="F36" s="327" t="str">
        <f>Rooster!E37</f>
        <v>Frederique</v>
      </c>
      <c r="G36" s="319">
        <f>IFERROR(VLOOKUP(F36, Docenten!$A$2:$G$30, 7, FALSE), "0")</f>
        <v>12.5</v>
      </c>
      <c r="H36" s="320">
        <f t="shared" si="1"/>
        <v>12.5</v>
      </c>
      <c r="I36" s="327" t="str">
        <f>Rooster!H37</f>
        <v>Santpoort Noord</v>
      </c>
      <c r="J36" s="321">
        <f>IFERROR(VLOOKUP(I36, Locaties!$A$2:$G$15, 7, FALSE), "0")</f>
        <v>14.2</v>
      </c>
      <c r="K36" s="42">
        <f t="shared" si="2"/>
        <v>14.2</v>
      </c>
      <c r="L36" s="440">
        <v>1.0</v>
      </c>
      <c r="M36" s="428" t="str">
        <f>December!M36</f>
        <v>1x per week abbo</v>
      </c>
      <c r="N36" s="321">
        <f>IFERROR(VLOOKUP(M36, Tarieven!$A$1:$J$150, 10, FALSE), "0")</f>
        <v>31</v>
      </c>
      <c r="O36" s="429" t="str">
        <f>December!O36</f>
        <v/>
      </c>
      <c r="P36" s="430" t="str">
        <f>December!P36</f>
        <v/>
      </c>
      <c r="Q36" s="325" t="str">
        <f>IFERROR(VLOOKUP(P36, Tarieven!$A$2:$J$150, 10, FALSE), "0")</f>
        <v>0</v>
      </c>
      <c r="R36" s="431" t="str">
        <f>December!R36</f>
        <v/>
      </c>
      <c r="S36" s="430" t="str">
        <f>December!S36</f>
        <v/>
      </c>
      <c r="T36" s="325" t="str">
        <f>IFERROR(VLOOKUP(S36, Tarieven!$A$2:$J$150, 10, FALSE), "0")</f>
        <v>0</v>
      </c>
      <c r="U36" s="77" t="str">
        <f>December!U36</f>
        <v/>
      </c>
      <c r="V36" s="327" t="str">
        <f>December!V36</f>
        <v/>
      </c>
      <c r="W36" s="325" t="str">
        <f>IFERROR(VLOOKUP(V36, Tarieven!$A$2:$J$150, 10, FALSE), "0")</f>
        <v>0</v>
      </c>
      <c r="X36" s="138">
        <f>December!X36</f>
        <v>9</v>
      </c>
      <c r="Y36" s="398">
        <v>0.0</v>
      </c>
      <c r="Z36" s="329">
        <f t="shared" si="3"/>
        <v>10</v>
      </c>
      <c r="AA36" s="32">
        <f t="shared" si="4"/>
        <v>133.5</v>
      </c>
      <c r="AB36" s="32">
        <f t="shared" si="5"/>
        <v>31</v>
      </c>
      <c r="AC36" s="32">
        <f t="shared" si="6"/>
        <v>-102.5</v>
      </c>
    </row>
    <row r="37" ht="22.5" customHeight="1">
      <c r="A37" s="331" t="str">
        <f>Rooster!A38</f>
        <v>Zaterdag</v>
      </c>
      <c r="B37" s="396">
        <f>Rooster!B38</f>
        <v>0.4791666667</v>
      </c>
      <c r="C37" s="15">
        <f>Rooster!C38</f>
        <v>60</v>
      </c>
      <c r="D37" s="11" t="str">
        <f>Rooster!D38</f>
        <v>Showdance 7+</v>
      </c>
      <c r="E37" s="77">
        <v>5.0</v>
      </c>
      <c r="F37" s="327" t="str">
        <f>Rooster!E38</f>
        <v>Frederique</v>
      </c>
      <c r="G37" s="319">
        <f>IFERROR(VLOOKUP(F37, Docenten!$A$2:$G$30, 7, FALSE), "0")</f>
        <v>12.5</v>
      </c>
      <c r="H37" s="320">
        <f t="shared" si="1"/>
        <v>12.5</v>
      </c>
      <c r="I37" s="327" t="str">
        <f>Rooster!H38</f>
        <v>Santpoort Noord</v>
      </c>
      <c r="J37" s="321">
        <f>IFERROR(VLOOKUP(I37, Locaties!$A$2:$G$15, 7, FALSE), "0")</f>
        <v>14.2</v>
      </c>
      <c r="K37" s="42">
        <f t="shared" si="2"/>
        <v>14.2</v>
      </c>
      <c r="L37" s="440">
        <v>6.0</v>
      </c>
      <c r="M37" s="428" t="str">
        <f>December!M37</f>
        <v>1x per week abbo</v>
      </c>
      <c r="N37" s="321">
        <f>IFERROR(VLOOKUP(M37, Tarieven!$A$1:$J$150, 10, FALSE), "0")</f>
        <v>31</v>
      </c>
      <c r="O37" s="429">
        <f>December!O37</f>
        <v>1</v>
      </c>
      <c r="P37" s="430" t="str">
        <f>December!P37</f>
        <v>2x per week abbo</v>
      </c>
      <c r="Q37" s="325">
        <f>IFERROR(VLOOKUP(P37, Tarieven!$A$2:$J$150, 10, FALSE), "0")</f>
        <v>28.55</v>
      </c>
      <c r="R37" s="431" t="str">
        <f>December!R37</f>
        <v/>
      </c>
      <c r="S37" s="430" t="str">
        <f>December!S37</f>
        <v/>
      </c>
      <c r="T37" s="325" t="str">
        <f>IFERROR(VLOOKUP(S37, Tarieven!$A$2:$J$150, 10, FALSE), "0")</f>
        <v>0</v>
      </c>
      <c r="U37" s="77" t="str">
        <f>December!U37</f>
        <v/>
      </c>
      <c r="V37" s="327" t="str">
        <f>December!V37</f>
        <v/>
      </c>
      <c r="W37" s="325" t="str">
        <f>IFERROR(VLOOKUP(V37, Tarieven!$A$2:$J$150, 10, FALSE), "0")</f>
        <v>0</v>
      </c>
      <c r="X37" s="138">
        <f>December!X37</f>
        <v>4</v>
      </c>
      <c r="Y37" s="398">
        <v>0.0</v>
      </c>
      <c r="Z37" s="329">
        <f t="shared" si="3"/>
        <v>11</v>
      </c>
      <c r="AA37" s="32">
        <f t="shared" si="4"/>
        <v>133.5</v>
      </c>
      <c r="AB37" s="32">
        <f t="shared" si="5"/>
        <v>214.55</v>
      </c>
      <c r="AC37" s="32">
        <f t="shared" si="6"/>
        <v>81.05</v>
      </c>
    </row>
    <row r="38" ht="22.5" customHeight="1">
      <c r="A38" s="331" t="str">
        <f>Rooster!A39</f>
        <v>Zaterdag</v>
      </c>
      <c r="B38" s="396">
        <f>Rooster!B39</f>
        <v>0.4166666667</v>
      </c>
      <c r="C38" s="15">
        <f>Rooster!C39</f>
        <v>60</v>
      </c>
      <c r="D38" s="11" t="str">
        <f>Rooster!D39</f>
        <v>Peuters</v>
      </c>
      <c r="E38" s="77">
        <v>1.0</v>
      </c>
      <c r="F38" s="327" t="str">
        <f>Rooster!E39</f>
        <v>Tess</v>
      </c>
      <c r="G38" s="319">
        <f>IFERROR(VLOOKUP(F38, Docenten!$A$2:$G$30, 7, FALSE), "0")</f>
        <v>17.5</v>
      </c>
      <c r="H38" s="320">
        <f t="shared" si="1"/>
        <v>17.5</v>
      </c>
      <c r="I38" s="327" t="str">
        <f>Rooster!H39</f>
        <v>Santpoort Zuid</v>
      </c>
      <c r="J38" s="321">
        <f>IFERROR(VLOOKUP(I38, Locaties!$A$2:$G$15, 7, FALSE), "0")</f>
        <v>18.9</v>
      </c>
      <c r="K38" s="42">
        <f t="shared" si="2"/>
        <v>18.9</v>
      </c>
      <c r="L38" s="440"/>
      <c r="M38" s="439"/>
      <c r="N38" s="321" t="str">
        <f>IFERROR(VLOOKUP(M38, Tarieven!$A$1:$J$150, 10, FALSE), "0")</f>
        <v>0</v>
      </c>
      <c r="O38" s="429" t="str">
        <f>December!O38</f>
        <v/>
      </c>
      <c r="P38" s="430" t="str">
        <f>December!P38</f>
        <v/>
      </c>
      <c r="Q38" s="325" t="str">
        <f>IFERROR(VLOOKUP(P38, Tarieven!$A$2:$J$150, 10, FALSE), "0")</f>
        <v>0</v>
      </c>
      <c r="R38" s="431" t="str">
        <f>December!R38</f>
        <v/>
      </c>
      <c r="S38" s="430" t="str">
        <f>December!S38</f>
        <v/>
      </c>
      <c r="T38" s="325" t="str">
        <f>IFERROR(VLOOKUP(S38, Tarieven!$A$2:$J$150, 10, FALSE), "0")</f>
        <v>0</v>
      </c>
      <c r="U38" s="77" t="str">
        <f>December!U38</f>
        <v/>
      </c>
      <c r="V38" s="327" t="str">
        <f>December!V38</f>
        <v/>
      </c>
      <c r="W38" s="325" t="str">
        <f>IFERROR(VLOOKUP(V38, Tarieven!$A$2:$J$150, 10, FALSE), "0")</f>
        <v>0</v>
      </c>
      <c r="X38" s="138">
        <f>December!X38</f>
        <v>0</v>
      </c>
      <c r="Y38" s="398">
        <v>0.0</v>
      </c>
      <c r="Z38" s="329">
        <f t="shared" si="3"/>
        <v>0</v>
      </c>
      <c r="AA38" s="32">
        <f t="shared" si="4"/>
        <v>36.4</v>
      </c>
      <c r="AB38" s="32">
        <f t="shared" si="5"/>
        <v>0</v>
      </c>
      <c r="AC38" s="32">
        <f t="shared" si="6"/>
        <v>-36.4</v>
      </c>
    </row>
    <row r="39" ht="22.5" customHeight="1">
      <c r="A39" s="331" t="str">
        <f>Rooster!A40</f>
        <v>Zaterdag</v>
      </c>
      <c r="B39" s="396">
        <f>Rooster!B40</f>
        <v>0.4479166667</v>
      </c>
      <c r="C39" s="15">
        <f>Rooster!C40</f>
        <v>60</v>
      </c>
      <c r="D39" s="11" t="str">
        <f>Rooster!D40</f>
        <v>Kleuters</v>
      </c>
      <c r="E39" s="77">
        <v>4.0</v>
      </c>
      <c r="F39" s="327" t="str">
        <f>Rooster!E40</f>
        <v>Tess</v>
      </c>
      <c r="G39" s="319">
        <f>IFERROR(VLOOKUP(F39, Docenten!$A$2:$G$30, 7, FALSE), "0")</f>
        <v>17.5</v>
      </c>
      <c r="H39" s="320">
        <f t="shared" si="1"/>
        <v>17.5</v>
      </c>
      <c r="I39" s="327" t="str">
        <f>Rooster!H40</f>
        <v>Santpoort Zuid</v>
      </c>
      <c r="J39" s="321">
        <f>IFERROR(VLOOKUP(I39, Locaties!$A$2:$G$15, 7, FALSE), "0")</f>
        <v>18.9</v>
      </c>
      <c r="K39" s="42">
        <f t="shared" si="2"/>
        <v>18.9</v>
      </c>
      <c r="L39" s="440">
        <v>7.0</v>
      </c>
      <c r="M39" s="439" t="s">
        <v>54</v>
      </c>
      <c r="N39" s="321">
        <f>IFERROR(VLOOKUP(M39, Tarieven!$A$1:$J$150, 10, FALSE), "0")</f>
        <v>31</v>
      </c>
      <c r="O39" s="429">
        <f>December!O39</f>
        <v>2</v>
      </c>
      <c r="P39" s="430" t="str">
        <f>December!P39</f>
        <v>1x per week abbo</v>
      </c>
      <c r="Q39" s="325">
        <f>IFERROR(VLOOKUP(P39, Tarieven!$A$2:$J$150, 10, FALSE), "0")</f>
        <v>31</v>
      </c>
      <c r="R39" s="441">
        <v>1.0</v>
      </c>
      <c r="S39" s="438" t="s">
        <v>48</v>
      </c>
      <c r="T39" s="432">
        <v>133.0</v>
      </c>
      <c r="U39" s="77">
        <v>1.0</v>
      </c>
      <c r="V39" s="70" t="s">
        <v>46</v>
      </c>
      <c r="W39" s="432">
        <v>20.0</v>
      </c>
      <c r="X39" s="138">
        <f>December!X39</f>
        <v>0</v>
      </c>
      <c r="Y39" s="398">
        <v>0.0</v>
      </c>
      <c r="Z39" s="329">
        <f t="shared" si="3"/>
        <v>11</v>
      </c>
      <c r="AA39" s="32">
        <f t="shared" si="4"/>
        <v>145.6</v>
      </c>
      <c r="AB39" s="32">
        <f t="shared" si="5"/>
        <v>432</v>
      </c>
      <c r="AC39" s="32">
        <f t="shared" si="6"/>
        <v>286.4</v>
      </c>
    </row>
    <row r="40" ht="22.5" customHeight="1">
      <c r="A40" s="331" t="str">
        <f>Rooster!A41</f>
        <v/>
      </c>
      <c r="B40" s="396" t="str">
        <f>Rooster!B41</f>
        <v/>
      </c>
      <c r="C40" s="15" t="str">
        <f>Rooster!C41</f>
        <v/>
      </c>
      <c r="D40" s="11" t="str">
        <f>Rooster!D41</f>
        <v/>
      </c>
      <c r="E40" s="77"/>
      <c r="F40" s="327" t="str">
        <f>Rooster!E41</f>
        <v/>
      </c>
      <c r="G40" s="319" t="str">
        <f>IFERROR(VLOOKUP(F40, Docenten!$A$2:$G$30, 7, FALSE), "0")</f>
        <v>0</v>
      </c>
      <c r="H40" s="320">
        <f t="shared" si="1"/>
        <v>0</v>
      </c>
      <c r="I40" s="327" t="str">
        <f>Rooster!H41</f>
        <v/>
      </c>
      <c r="J40" s="321" t="str">
        <f>IFERROR(VLOOKUP(I40, Locaties!$A$2:$G$15, 7, FALSE), "0")</f>
        <v>0</v>
      </c>
      <c r="K40" s="42">
        <f t="shared" si="2"/>
        <v>0</v>
      </c>
      <c r="L40" s="427" t="str">
        <f>December!L40</f>
        <v/>
      </c>
      <c r="M40" s="428" t="str">
        <f>December!M40</f>
        <v/>
      </c>
      <c r="N40" s="321" t="str">
        <f>IFERROR(VLOOKUP(M40, Tarieven!$A$1:$J$150, 10, FALSE), "0")</f>
        <v>0</v>
      </c>
      <c r="O40" s="429" t="str">
        <f>December!O40</f>
        <v/>
      </c>
      <c r="P40" s="430" t="str">
        <f>December!P40</f>
        <v/>
      </c>
      <c r="Q40" s="325" t="str">
        <f>IFERROR(VLOOKUP(P40, Tarieven!$A$2:$J$150, 10, FALSE), "0")</f>
        <v>0</v>
      </c>
      <c r="R40" s="431" t="str">
        <f>December!R40</f>
        <v/>
      </c>
      <c r="S40" s="430" t="str">
        <f>December!S40</f>
        <v/>
      </c>
      <c r="T40" s="325" t="str">
        <f>IFERROR(VLOOKUP(S40, Tarieven!$A$2:$J$150, 10, FALSE), "0")</f>
        <v>0</v>
      </c>
      <c r="U40" s="77" t="str">
        <f>December!U40</f>
        <v/>
      </c>
      <c r="V40" s="327" t="str">
        <f>December!V40</f>
        <v/>
      </c>
      <c r="W40" s="325" t="str">
        <f>IFERROR(VLOOKUP(V40, Tarieven!$A$2:$J$150, 10, FALSE), "0")</f>
        <v>0</v>
      </c>
      <c r="X40" s="138">
        <f>December!X40</f>
        <v>0</v>
      </c>
      <c r="Y40" s="398">
        <v>0.0</v>
      </c>
      <c r="Z40" s="329">
        <f t="shared" si="3"/>
        <v>0</v>
      </c>
      <c r="AA40" s="32">
        <f t="shared" si="4"/>
        <v>0</v>
      </c>
      <c r="AB40" s="32">
        <f t="shared" si="5"/>
        <v>0</v>
      </c>
      <c r="AC40" s="32">
        <f t="shared" si="6"/>
        <v>0</v>
      </c>
    </row>
    <row r="41" ht="22.5" customHeight="1">
      <c r="A41" s="331" t="str">
        <f>Rooster!A42</f>
        <v/>
      </c>
      <c r="B41" s="396" t="str">
        <f>Rooster!B42</f>
        <v/>
      </c>
      <c r="C41" s="15" t="str">
        <f>Rooster!C42</f>
        <v/>
      </c>
      <c r="D41" s="11" t="str">
        <f>Rooster!D42</f>
        <v/>
      </c>
      <c r="E41" s="77"/>
      <c r="F41" s="327" t="str">
        <f>Rooster!E42</f>
        <v/>
      </c>
      <c r="G41" s="319" t="str">
        <f>IFERROR(VLOOKUP(F41, Docenten!$A$2:$G$30, 7, FALSE), "0")</f>
        <v>0</v>
      </c>
      <c r="H41" s="320">
        <f t="shared" si="1"/>
        <v>0</v>
      </c>
      <c r="I41" s="327" t="str">
        <f>Rooster!H42</f>
        <v/>
      </c>
      <c r="J41" s="321" t="str">
        <f>IFERROR(VLOOKUP(I41, Locaties!$A$2:$G$15, 7, FALSE), "0")</f>
        <v>0</v>
      </c>
      <c r="K41" s="42">
        <f t="shared" si="2"/>
        <v>0</v>
      </c>
      <c r="L41" s="427" t="str">
        <f>December!L41</f>
        <v/>
      </c>
      <c r="M41" s="428" t="str">
        <f>December!M41</f>
        <v/>
      </c>
      <c r="N41" s="321" t="str">
        <f>IFERROR(VLOOKUP(M41, Tarieven!$A$1:$J$150, 10, FALSE), "0")</f>
        <v>0</v>
      </c>
      <c r="O41" s="429" t="str">
        <f>December!O41</f>
        <v/>
      </c>
      <c r="P41" s="430" t="str">
        <f>December!P41</f>
        <v/>
      </c>
      <c r="Q41" s="325" t="str">
        <f>IFERROR(VLOOKUP(P41, Tarieven!$A$2:$J$150, 10, FALSE), "0")</f>
        <v>0</v>
      </c>
      <c r="R41" s="431" t="str">
        <f>December!R41</f>
        <v/>
      </c>
      <c r="S41" s="430" t="str">
        <f>December!S41</f>
        <v/>
      </c>
      <c r="T41" s="325" t="str">
        <f>IFERROR(VLOOKUP(S41, Tarieven!$A$2:$J$150, 10, FALSE), "0")</f>
        <v>0</v>
      </c>
      <c r="U41" s="77" t="str">
        <f>December!U41</f>
        <v/>
      </c>
      <c r="V41" s="327" t="str">
        <f>December!V41</f>
        <v/>
      </c>
      <c r="W41" s="325" t="str">
        <f>IFERROR(VLOOKUP(V41, Tarieven!$A$2:$J$150, 10, FALSE), "0")</f>
        <v>0</v>
      </c>
      <c r="X41" s="138">
        <f>December!X41</f>
        <v>0</v>
      </c>
      <c r="Y41" s="398">
        <v>0.0</v>
      </c>
      <c r="Z41" s="329">
        <f t="shared" si="3"/>
        <v>0</v>
      </c>
      <c r="AA41" s="32">
        <f t="shared" si="4"/>
        <v>0</v>
      </c>
      <c r="AB41" s="32">
        <f t="shared" si="5"/>
        <v>0</v>
      </c>
      <c r="AC41" s="32">
        <f t="shared" si="6"/>
        <v>0</v>
      </c>
    </row>
    <row r="42" ht="22.5" customHeight="1">
      <c r="A42" s="331" t="str">
        <f>Rooster!A43</f>
        <v>Maandag</v>
      </c>
      <c r="B42" s="396">
        <f>Rooster!B43</f>
        <v>0.3958333333</v>
      </c>
      <c r="C42" s="15">
        <f>Rooster!C43</f>
        <v>60</v>
      </c>
      <c r="D42" s="11" t="str">
        <f>Rooster!D43</f>
        <v>Kinderopvang</v>
      </c>
      <c r="E42" s="77">
        <v>4.0</v>
      </c>
      <c r="F42" s="327" t="str">
        <f>Rooster!E43</f>
        <v>Opvang T</v>
      </c>
      <c r="G42" s="319">
        <f>IFERROR(VLOOKUP(F42, Docenten!$A$2:$G$30, 7, FALSE), "0")</f>
        <v>45</v>
      </c>
      <c r="H42" s="320">
        <f t="shared" si="1"/>
        <v>45</v>
      </c>
      <c r="I42" s="327" t="str">
        <f>Rooster!H43</f>
        <v/>
      </c>
      <c r="J42" s="321" t="str">
        <f>IFERROR(VLOOKUP(I42, Locaties!$A$2:$G$15, 7, FALSE), "0")</f>
        <v>0</v>
      </c>
      <c r="K42" s="42">
        <f t="shared" si="2"/>
        <v>0</v>
      </c>
      <c r="L42" s="427">
        <f>December!L42</f>
        <v>1</v>
      </c>
      <c r="M42" s="428" t="str">
        <f>December!M42</f>
        <v>Aangepast tarief</v>
      </c>
      <c r="N42" s="442">
        <v>320.0</v>
      </c>
      <c r="O42" s="429" t="str">
        <f>December!O42</f>
        <v/>
      </c>
      <c r="P42" s="430" t="str">
        <f>December!P42</f>
        <v/>
      </c>
      <c r="Q42" s="325" t="str">
        <f>IFERROR(VLOOKUP(P42, Tarieven!$A$2:$J$150, 10, FALSE), "0")</f>
        <v>0</v>
      </c>
      <c r="R42" s="431" t="str">
        <f>December!R42</f>
        <v/>
      </c>
      <c r="S42" s="430" t="str">
        <f>December!S42</f>
        <v/>
      </c>
      <c r="T42" s="325" t="str">
        <f>IFERROR(VLOOKUP(S42, Tarieven!$A$2:$J$150, 10, FALSE), "0")</f>
        <v>0</v>
      </c>
      <c r="U42" s="77" t="str">
        <f>December!U42</f>
        <v/>
      </c>
      <c r="V42" s="327" t="str">
        <f>December!V42</f>
        <v/>
      </c>
      <c r="W42" s="325" t="str">
        <f>IFERROR(VLOOKUP(V42, Tarieven!$A$2:$J$150, 10, FALSE), "0")</f>
        <v>0</v>
      </c>
      <c r="X42" s="138">
        <f>December!X42</f>
        <v>0</v>
      </c>
      <c r="Y42" s="398">
        <v>0.0</v>
      </c>
      <c r="Z42" s="329">
        <f t="shared" si="3"/>
        <v>1</v>
      </c>
      <c r="AA42" s="32">
        <f t="shared" si="4"/>
        <v>180</v>
      </c>
      <c r="AB42" s="32">
        <f t="shared" si="5"/>
        <v>320</v>
      </c>
      <c r="AC42" s="32">
        <f t="shared" si="6"/>
        <v>140</v>
      </c>
    </row>
    <row r="43" ht="22.5" customHeight="1">
      <c r="A43" s="331" t="str">
        <f>Rooster!A44</f>
        <v>Vrijdag</v>
      </c>
      <c r="B43" s="396">
        <f>Rooster!B44</f>
        <v>0.7916666667</v>
      </c>
      <c r="C43" s="15">
        <v>60.0</v>
      </c>
      <c r="D43" s="11" t="str">
        <f>Rooster!D44</f>
        <v>Prive training</v>
      </c>
      <c r="E43" s="77"/>
      <c r="F43" s="327"/>
      <c r="G43" s="319"/>
      <c r="H43" s="320"/>
      <c r="I43" s="70"/>
      <c r="J43" s="321" t="str">
        <f>IFERROR(VLOOKUP(I43, Locaties!$A$2:$G$15, 7, FALSE), "0")</f>
        <v>0</v>
      </c>
      <c r="K43" s="42">
        <f t="shared" si="2"/>
        <v>0</v>
      </c>
      <c r="L43" s="427" t="str">
        <f>December!L43</f>
        <v/>
      </c>
      <c r="M43" s="428" t="str">
        <f>December!M43</f>
        <v/>
      </c>
      <c r="N43" s="321" t="str">
        <f>IFERROR(VLOOKUP(M43, Tarieven!$A$1:$J$150, 10, FALSE), "0")</f>
        <v>0</v>
      </c>
      <c r="O43" s="429" t="str">
        <f>December!O43</f>
        <v/>
      </c>
      <c r="P43" s="430" t="str">
        <f>December!P43</f>
        <v/>
      </c>
      <c r="Q43" s="325" t="str">
        <f>IFERROR(VLOOKUP(P43, Tarieven!$A$2:$J$150, 10, FALSE), "0")</f>
        <v>0</v>
      </c>
      <c r="R43" s="431" t="str">
        <f>December!R43</f>
        <v/>
      </c>
      <c r="S43" s="430" t="str">
        <f>December!S43</f>
        <v/>
      </c>
      <c r="T43" s="325" t="str">
        <f>IFERROR(VLOOKUP(S43, Tarieven!$A$2:$J$150, 10, FALSE), "0")</f>
        <v>0</v>
      </c>
      <c r="U43" s="77" t="str">
        <f>December!U43</f>
        <v/>
      </c>
      <c r="V43" s="327" t="str">
        <f>December!V43</f>
        <v/>
      </c>
      <c r="W43" s="325" t="str">
        <f>IFERROR(VLOOKUP(V43, Tarieven!$A$2:$J$150, 10, FALSE), "0")</f>
        <v>0</v>
      </c>
      <c r="X43" s="138">
        <f>December!X43</f>
        <v>0</v>
      </c>
      <c r="Y43" s="398">
        <v>0.0</v>
      </c>
      <c r="Z43" s="329">
        <f t="shared" si="3"/>
        <v>0</v>
      </c>
      <c r="AA43" s="32">
        <f t="shared" si="4"/>
        <v>0</v>
      </c>
      <c r="AB43" s="32">
        <f t="shared" si="5"/>
        <v>0</v>
      </c>
      <c r="AC43" s="32">
        <f t="shared" si="6"/>
        <v>0</v>
      </c>
    </row>
    <row r="44" ht="22.5" customHeight="1">
      <c r="A44" s="331" t="str">
        <f>Rooster!A45</f>
        <v>Zaterdag</v>
      </c>
      <c r="B44" s="396">
        <f>Rooster!B45</f>
        <v>0.5625</v>
      </c>
      <c r="C44" s="15">
        <v>60.0</v>
      </c>
      <c r="D44" s="11" t="str">
        <f>Rooster!D45</f>
        <v>Prive training</v>
      </c>
      <c r="E44" s="77"/>
      <c r="F44" s="327"/>
      <c r="G44" s="319"/>
      <c r="H44" s="320"/>
      <c r="I44" s="70"/>
      <c r="J44" s="321" t="str">
        <f>IFERROR(VLOOKUP(I44, Locaties!$A$2:$G$15, 7, FALSE), "0")</f>
        <v>0</v>
      </c>
      <c r="K44" s="42">
        <f t="shared" si="2"/>
        <v>0</v>
      </c>
      <c r="L44" s="427" t="str">
        <f>December!L44</f>
        <v/>
      </c>
      <c r="M44" s="428" t="str">
        <f>December!M44</f>
        <v/>
      </c>
      <c r="N44" s="321" t="str">
        <f>IFERROR(VLOOKUP(M44, Tarieven!$A$1:$J$150, 10, FALSE), "0")</f>
        <v>0</v>
      </c>
      <c r="O44" s="429" t="str">
        <f>December!O44</f>
        <v/>
      </c>
      <c r="P44" s="430" t="str">
        <f>December!P44</f>
        <v/>
      </c>
      <c r="Q44" s="325" t="str">
        <f>IFERROR(VLOOKUP(P44, Tarieven!$A$2:$J$150, 10, FALSE), "0")</f>
        <v>0</v>
      </c>
      <c r="R44" s="431" t="str">
        <f>December!R44</f>
        <v/>
      </c>
      <c r="S44" s="430" t="str">
        <f>December!S44</f>
        <v/>
      </c>
      <c r="T44" s="325" t="str">
        <f>IFERROR(VLOOKUP(S44, Tarieven!$A$2:$J$150, 10, FALSE), "0")</f>
        <v>0</v>
      </c>
      <c r="U44" s="77" t="str">
        <f>December!U44</f>
        <v/>
      </c>
      <c r="V44" s="327" t="str">
        <f>December!V44</f>
        <v/>
      </c>
      <c r="W44" s="325" t="str">
        <f>IFERROR(VLOOKUP(V44, Tarieven!$A$2:$J$150, 10, FALSE), "0")</f>
        <v>0</v>
      </c>
      <c r="X44" s="138">
        <f>December!X44</f>
        <v>0</v>
      </c>
      <c r="Y44" s="398">
        <v>0.0</v>
      </c>
      <c r="Z44" s="329">
        <f t="shared" si="3"/>
        <v>0</v>
      </c>
      <c r="AA44" s="32">
        <f t="shared" si="4"/>
        <v>0</v>
      </c>
      <c r="AB44" s="32">
        <f t="shared" si="5"/>
        <v>0</v>
      </c>
      <c r="AC44" s="32">
        <f t="shared" si="6"/>
        <v>0</v>
      </c>
    </row>
    <row r="45" ht="22.5" customHeight="1">
      <c r="A45" s="331" t="str">
        <f>Rooster!A46</f>
        <v/>
      </c>
      <c r="B45" s="396" t="str">
        <f>Rooster!B46</f>
        <v/>
      </c>
      <c r="C45" s="15" t="str">
        <f>Rooster!C46</f>
        <v/>
      </c>
      <c r="D45" s="11" t="str">
        <f>Rooster!D46</f>
        <v/>
      </c>
      <c r="E45" s="77"/>
      <c r="F45" s="327" t="str">
        <f>Rooster!E46</f>
        <v/>
      </c>
      <c r="G45" s="319" t="str">
        <f>IFERROR(VLOOKUP(F45, Docenten!$A$2:$G$30, 7, FALSE), "0")</f>
        <v>0</v>
      </c>
      <c r="H45" s="320">
        <f t="shared" ref="H45:H101" si="7">SUM(G45/60)*C45</f>
        <v>0</v>
      </c>
      <c r="I45" s="327" t="str">
        <f>Rooster!H46</f>
        <v/>
      </c>
      <c r="J45" s="321" t="str">
        <f>IFERROR(VLOOKUP(I45, Locaties!$A$2:$G$15, 7, FALSE), "0")</f>
        <v>0</v>
      </c>
      <c r="K45" s="42">
        <f t="shared" si="2"/>
        <v>0</v>
      </c>
      <c r="L45" s="427" t="str">
        <f>December!L45</f>
        <v/>
      </c>
      <c r="M45" s="428" t="str">
        <f>December!M45</f>
        <v/>
      </c>
      <c r="N45" s="321" t="str">
        <f>IFERROR(VLOOKUP(M45, Tarieven!$A$1:$J$150, 10, FALSE), "0")</f>
        <v>0</v>
      </c>
      <c r="O45" s="429" t="str">
        <f>December!O45</f>
        <v/>
      </c>
      <c r="P45" s="430" t="str">
        <f>December!P45</f>
        <v/>
      </c>
      <c r="Q45" s="325" t="str">
        <f>IFERROR(VLOOKUP(P45, Tarieven!$A$2:$J$150, 10, FALSE), "0")</f>
        <v>0</v>
      </c>
      <c r="R45" s="431" t="str">
        <f>December!R45</f>
        <v/>
      </c>
      <c r="S45" s="430" t="str">
        <f>December!S45</f>
        <v/>
      </c>
      <c r="T45" s="325" t="str">
        <f>IFERROR(VLOOKUP(S45, Tarieven!$A$2:$J$150, 10, FALSE), "0")</f>
        <v>0</v>
      </c>
      <c r="U45" s="77" t="str">
        <f>December!U45</f>
        <v/>
      </c>
      <c r="V45" s="327" t="str">
        <f>December!V45</f>
        <v/>
      </c>
      <c r="W45" s="325" t="str">
        <f>IFERROR(VLOOKUP(V45, Tarieven!$A$2:$J$150, 10, FALSE), "0")</f>
        <v>0</v>
      </c>
      <c r="X45" s="138">
        <f>December!X45</f>
        <v>0</v>
      </c>
      <c r="Y45" s="398">
        <v>0.0</v>
      </c>
      <c r="Z45" s="329">
        <f t="shared" si="3"/>
        <v>0</v>
      </c>
      <c r="AA45" s="32">
        <f t="shared" si="4"/>
        <v>0</v>
      </c>
      <c r="AB45" s="32">
        <f t="shared" si="5"/>
        <v>0</v>
      </c>
      <c r="AC45" s="32">
        <f t="shared" si="6"/>
        <v>0</v>
      </c>
    </row>
    <row r="46" ht="22.5" customHeight="1">
      <c r="A46" s="331" t="str">
        <f>Rooster!A47</f>
        <v/>
      </c>
      <c r="B46" s="396" t="str">
        <f>Rooster!B47</f>
        <v/>
      </c>
      <c r="C46" s="15" t="str">
        <f>Rooster!C47</f>
        <v/>
      </c>
      <c r="D46" s="11" t="str">
        <f>Rooster!D47</f>
        <v/>
      </c>
      <c r="E46" s="77"/>
      <c r="F46" s="327" t="str">
        <f>Rooster!E47</f>
        <v/>
      </c>
      <c r="G46" s="319" t="str">
        <f>IFERROR(VLOOKUP(F46, Docenten!$A$2:$G$30, 7, FALSE), "0")</f>
        <v>0</v>
      </c>
      <c r="H46" s="320">
        <f t="shared" si="7"/>
        <v>0</v>
      </c>
      <c r="I46" s="327" t="str">
        <f>Rooster!H47</f>
        <v/>
      </c>
      <c r="J46" s="321" t="str">
        <f>IFERROR(VLOOKUP(I46, Locaties!$A$2:$G$15, 7, FALSE), "0")</f>
        <v>0</v>
      </c>
      <c r="K46" s="42">
        <f t="shared" si="2"/>
        <v>0</v>
      </c>
      <c r="L46" s="427" t="str">
        <f>December!L46</f>
        <v/>
      </c>
      <c r="M46" s="428" t="str">
        <f>December!M46</f>
        <v/>
      </c>
      <c r="N46" s="321" t="str">
        <f>IFERROR(VLOOKUP(M46, Tarieven!$A$1:$J$150, 10, FALSE), "0")</f>
        <v>0</v>
      </c>
      <c r="O46" s="429" t="str">
        <f>December!O46</f>
        <v/>
      </c>
      <c r="P46" s="430" t="str">
        <f>December!P46</f>
        <v/>
      </c>
      <c r="Q46" s="325" t="str">
        <f>IFERROR(VLOOKUP(P46, Tarieven!$A$2:$J$150, 10, FALSE), "0")</f>
        <v>0</v>
      </c>
      <c r="R46" s="431" t="str">
        <f>December!R46</f>
        <v/>
      </c>
      <c r="S46" s="430" t="str">
        <f>December!S46</f>
        <v/>
      </c>
      <c r="T46" s="325" t="str">
        <f>IFERROR(VLOOKUP(S46, Tarieven!$A$2:$J$150, 10, FALSE), "0")</f>
        <v>0</v>
      </c>
      <c r="U46" s="77" t="str">
        <f>December!U46</f>
        <v/>
      </c>
      <c r="V46" s="327" t="str">
        <f>December!V46</f>
        <v/>
      </c>
      <c r="W46" s="325" t="str">
        <f>IFERROR(VLOOKUP(V46, Tarieven!$A$2:$J$150, 10, FALSE), "0")</f>
        <v>0</v>
      </c>
      <c r="X46" s="138">
        <f>December!X46</f>
        <v>0</v>
      </c>
      <c r="Y46" s="398">
        <v>0.0</v>
      </c>
      <c r="Z46" s="329">
        <f t="shared" si="3"/>
        <v>0</v>
      </c>
      <c r="AA46" s="32">
        <f t="shared" si="4"/>
        <v>0</v>
      </c>
      <c r="AB46" s="32">
        <f t="shared" si="5"/>
        <v>0</v>
      </c>
      <c r="AC46" s="32">
        <f t="shared" si="6"/>
        <v>0</v>
      </c>
    </row>
    <row r="47" ht="22.5" customHeight="1">
      <c r="A47" s="331" t="str">
        <f>Rooster!A48</f>
        <v>Donderdag</v>
      </c>
      <c r="B47" s="396">
        <f>Rooster!B48</f>
        <v>0.75</v>
      </c>
      <c r="C47" s="15">
        <f>Rooster!C48</f>
        <v>60</v>
      </c>
      <c r="D47" s="11" t="str">
        <f>Rooster!D48</f>
        <v>Turnen 6+</v>
      </c>
      <c r="E47" s="77">
        <v>4.0</v>
      </c>
      <c r="F47" s="327" t="str">
        <f>Rooster!E48</f>
        <v>Dion + 3</v>
      </c>
      <c r="G47" s="319">
        <f>IFERROR(VLOOKUP(F47, Docenten!$A$2:$G$30, 7, FALSE), "0")</f>
        <v>34</v>
      </c>
      <c r="H47" s="320">
        <f t="shared" si="7"/>
        <v>34</v>
      </c>
      <c r="I47" s="327" t="str">
        <f>Rooster!H48</f>
        <v>Santpoort Noord</v>
      </c>
      <c r="J47" s="321">
        <f>IFERROR(VLOOKUP(I47, Locaties!$A$2:$G$15, 7, FALSE), "0")</f>
        <v>14.2</v>
      </c>
      <c r="K47" s="42">
        <f t="shared" si="2"/>
        <v>14.2</v>
      </c>
      <c r="L47" s="440">
        <v>10.0</v>
      </c>
      <c r="M47" s="428" t="str">
        <f>December!M47</f>
        <v>Aangepast tarief</v>
      </c>
      <c r="N47" s="442">
        <v>110.0</v>
      </c>
      <c r="O47" s="429" t="str">
        <f>December!O47</f>
        <v/>
      </c>
      <c r="P47" s="430" t="str">
        <f>December!P47</f>
        <v/>
      </c>
      <c r="Q47" s="325" t="str">
        <f>IFERROR(VLOOKUP(P47, Tarieven!$A$2:$J$150, 10, FALSE), "0")</f>
        <v>0</v>
      </c>
      <c r="R47" s="431" t="str">
        <f>December!R47</f>
        <v/>
      </c>
      <c r="S47" s="430" t="str">
        <f>December!S47</f>
        <v/>
      </c>
      <c r="T47" s="325" t="str">
        <f>IFERROR(VLOOKUP(S47, Tarieven!$A$2:$J$150, 10, FALSE), "0")</f>
        <v>0</v>
      </c>
      <c r="U47" s="77" t="str">
        <f>December!U47</f>
        <v/>
      </c>
      <c r="V47" s="327" t="str">
        <f>December!V47</f>
        <v/>
      </c>
      <c r="W47" s="325" t="str">
        <f>IFERROR(VLOOKUP(V47, Tarieven!$A$2:$J$150, 10, FALSE), "0")</f>
        <v>0</v>
      </c>
      <c r="X47" s="138">
        <f>December!X47</f>
        <v>0</v>
      </c>
      <c r="Y47" s="398">
        <v>0.0</v>
      </c>
      <c r="Z47" s="329">
        <f t="shared" si="3"/>
        <v>10</v>
      </c>
      <c r="AA47" s="32">
        <f t="shared" si="4"/>
        <v>192.8</v>
      </c>
      <c r="AB47" s="32">
        <f t="shared" si="5"/>
        <v>1100</v>
      </c>
      <c r="AC47" s="32">
        <f t="shared" si="6"/>
        <v>907.2</v>
      </c>
    </row>
    <row r="48" ht="22.5" customHeight="1">
      <c r="A48" s="331" t="str">
        <f>Rooster!A49</f>
        <v>Donderdag</v>
      </c>
      <c r="B48" s="396">
        <f>Rooster!B49</f>
        <v>0.7916666667</v>
      </c>
      <c r="C48" s="15">
        <f>Rooster!C49</f>
        <v>60</v>
      </c>
      <c r="D48" s="11" t="str">
        <f>Rooster!D49</f>
        <v>Turnen 12+</v>
      </c>
      <c r="E48" s="77">
        <v>4.0</v>
      </c>
      <c r="F48" s="327" t="str">
        <f>Rooster!E49</f>
        <v>Dion + 3</v>
      </c>
      <c r="G48" s="319">
        <f>IFERROR(VLOOKUP(F48, Docenten!$A$2:$G$30, 7, FALSE), "0")</f>
        <v>34</v>
      </c>
      <c r="H48" s="320">
        <f t="shared" si="7"/>
        <v>34</v>
      </c>
      <c r="I48" s="327" t="str">
        <f>Rooster!H49</f>
        <v>Santpoort Noord</v>
      </c>
      <c r="J48" s="321">
        <f>IFERROR(VLOOKUP(I48, Locaties!$A$2:$G$15, 7, FALSE), "0")</f>
        <v>14.2</v>
      </c>
      <c r="K48" s="42">
        <f t="shared" si="2"/>
        <v>14.2</v>
      </c>
      <c r="L48" s="440">
        <v>6.0</v>
      </c>
      <c r="M48" s="428" t="str">
        <f>December!M48</f>
        <v>Aangepast tarief</v>
      </c>
      <c r="N48" s="442">
        <v>110.0</v>
      </c>
      <c r="O48" s="429" t="str">
        <f>December!O48</f>
        <v/>
      </c>
      <c r="P48" s="430" t="str">
        <f>December!P48</f>
        <v/>
      </c>
      <c r="Q48" s="325" t="str">
        <f>IFERROR(VLOOKUP(P48, Tarieven!$A$2:$J$150, 10, FALSE), "0")</f>
        <v>0</v>
      </c>
      <c r="R48" s="431" t="str">
        <f>December!R48</f>
        <v/>
      </c>
      <c r="S48" s="430" t="str">
        <f>December!S48</f>
        <v/>
      </c>
      <c r="T48" s="325" t="str">
        <f>IFERROR(VLOOKUP(S48, Tarieven!$A$2:$J$150, 10, FALSE), "0")</f>
        <v>0</v>
      </c>
      <c r="U48" s="77" t="str">
        <f>December!U48</f>
        <v/>
      </c>
      <c r="V48" s="327" t="str">
        <f>December!V48</f>
        <v/>
      </c>
      <c r="W48" s="325" t="str">
        <f>IFERROR(VLOOKUP(V48, Tarieven!$A$2:$J$150, 10, FALSE), "0")</f>
        <v>0</v>
      </c>
      <c r="X48" s="138">
        <f>December!X48</f>
        <v>0</v>
      </c>
      <c r="Y48" s="398">
        <v>0.0</v>
      </c>
      <c r="Z48" s="329">
        <f t="shared" si="3"/>
        <v>6</v>
      </c>
      <c r="AA48" s="32">
        <f t="shared" si="4"/>
        <v>192.8</v>
      </c>
      <c r="AB48" s="32">
        <f t="shared" si="5"/>
        <v>660</v>
      </c>
      <c r="AC48" s="32">
        <f t="shared" si="6"/>
        <v>467.2</v>
      </c>
    </row>
    <row r="49" ht="22.5" customHeight="1">
      <c r="A49" s="331" t="str">
        <f>Rooster!A50</f>
        <v/>
      </c>
      <c r="B49" s="396" t="str">
        <f>Rooster!B50</f>
        <v/>
      </c>
      <c r="C49" s="15" t="str">
        <f>Rooster!C50</f>
        <v/>
      </c>
      <c r="D49" s="11" t="str">
        <f>Rooster!D50</f>
        <v/>
      </c>
      <c r="E49" s="77"/>
      <c r="F49" s="327" t="str">
        <f>Rooster!E50</f>
        <v/>
      </c>
      <c r="G49" s="319" t="str">
        <f>IFERROR(VLOOKUP(F49, Docenten!$A$2:$G$30, 7, FALSE), "0")</f>
        <v>0</v>
      </c>
      <c r="H49" s="320">
        <f t="shared" si="7"/>
        <v>0</v>
      </c>
      <c r="I49" s="327" t="str">
        <f>Rooster!H50</f>
        <v/>
      </c>
      <c r="J49" s="321" t="str">
        <f>IFERROR(VLOOKUP(I49, Locaties!$A$2:$G$15, 7, FALSE), "0")</f>
        <v>0</v>
      </c>
      <c r="K49" s="42">
        <f t="shared" si="2"/>
        <v>0</v>
      </c>
      <c r="L49" s="427" t="str">
        <f>December!L49</f>
        <v/>
      </c>
      <c r="M49" s="428" t="str">
        <f>December!M49</f>
        <v/>
      </c>
      <c r="N49" s="321" t="str">
        <f>IFERROR(VLOOKUP(M49, Tarieven!$A$1:$J$150, 10, FALSE), "0")</f>
        <v>0</v>
      </c>
      <c r="O49" s="429" t="str">
        <f>December!O49</f>
        <v/>
      </c>
      <c r="P49" s="430" t="str">
        <f>December!P49</f>
        <v/>
      </c>
      <c r="Q49" s="325" t="str">
        <f>IFERROR(VLOOKUP(P49, Tarieven!$A$2:$J$150, 10, FALSE), "0")</f>
        <v>0</v>
      </c>
      <c r="R49" s="431" t="str">
        <f>December!R49</f>
        <v/>
      </c>
      <c r="S49" s="430" t="str">
        <f>December!S49</f>
        <v/>
      </c>
      <c r="T49" s="325" t="str">
        <f>IFERROR(VLOOKUP(S49, Tarieven!$A$2:$J$150, 10, FALSE), "0")</f>
        <v>0</v>
      </c>
      <c r="U49" s="77" t="str">
        <f>December!U49</f>
        <v/>
      </c>
      <c r="V49" s="327" t="str">
        <f>December!V49</f>
        <v/>
      </c>
      <c r="W49" s="325" t="str">
        <f>IFERROR(VLOOKUP(V49, Tarieven!$A$2:$J$150, 10, FALSE), "0")</f>
        <v>0</v>
      </c>
      <c r="X49" s="138">
        <f>December!X49</f>
        <v>0</v>
      </c>
      <c r="Y49" s="398">
        <v>0.0</v>
      </c>
      <c r="Z49" s="329">
        <f t="shared" si="3"/>
        <v>0</v>
      </c>
      <c r="AA49" s="32">
        <f t="shared" si="4"/>
        <v>0</v>
      </c>
      <c r="AB49" s="32">
        <f t="shared" si="5"/>
        <v>0</v>
      </c>
      <c r="AC49" s="32">
        <f t="shared" si="6"/>
        <v>0</v>
      </c>
    </row>
    <row r="50" ht="22.5" customHeight="1">
      <c r="A50" s="331" t="str">
        <f>Rooster!A51</f>
        <v/>
      </c>
      <c r="B50" s="396" t="str">
        <f>Rooster!B51</f>
        <v/>
      </c>
      <c r="C50" s="15" t="str">
        <f>Rooster!C51</f>
        <v/>
      </c>
      <c r="D50" s="11" t="str">
        <f>Rooster!D51</f>
        <v/>
      </c>
      <c r="E50" s="77"/>
      <c r="F50" s="327" t="str">
        <f>Rooster!E51</f>
        <v/>
      </c>
      <c r="G50" s="319" t="str">
        <f>IFERROR(VLOOKUP(F50, Docenten!$A$2:$G$30, 7, FALSE), "0")</f>
        <v>0</v>
      </c>
      <c r="H50" s="320">
        <f t="shared" si="7"/>
        <v>0</v>
      </c>
      <c r="I50" s="327" t="str">
        <f>Rooster!H51</f>
        <v/>
      </c>
      <c r="J50" s="321" t="str">
        <f>IFERROR(VLOOKUP(I50, Locaties!$A$2:$G$15, 7, FALSE), "0")</f>
        <v>0</v>
      </c>
      <c r="K50" s="42">
        <f t="shared" si="2"/>
        <v>0</v>
      </c>
      <c r="L50" s="427" t="str">
        <f>December!L50</f>
        <v/>
      </c>
      <c r="M50" s="428" t="str">
        <f>December!M50</f>
        <v/>
      </c>
      <c r="N50" s="321" t="str">
        <f>IFERROR(VLOOKUP(M50, Tarieven!$A$1:$J$150, 10, FALSE), "0")</f>
        <v>0</v>
      </c>
      <c r="O50" s="429" t="str">
        <f>December!O50</f>
        <v/>
      </c>
      <c r="P50" s="430" t="str">
        <f>December!P50</f>
        <v/>
      </c>
      <c r="Q50" s="325" t="str">
        <f>IFERROR(VLOOKUP(P50, Tarieven!$A$2:$J$150, 10, FALSE), "0")</f>
        <v>0</v>
      </c>
      <c r="R50" s="431" t="str">
        <f>December!R50</f>
        <v/>
      </c>
      <c r="S50" s="430" t="str">
        <f>December!S50</f>
        <v/>
      </c>
      <c r="T50" s="325" t="str">
        <f>IFERROR(VLOOKUP(S50, Tarieven!$A$2:$J$150, 10, FALSE), "0")</f>
        <v>0</v>
      </c>
      <c r="U50" s="77" t="str">
        <f>December!U50</f>
        <v/>
      </c>
      <c r="V50" s="327" t="str">
        <f>December!V50</f>
        <v/>
      </c>
      <c r="W50" s="325" t="str">
        <f>IFERROR(VLOOKUP(V50, Tarieven!$A$2:$J$150, 10, FALSE), "0")</f>
        <v>0</v>
      </c>
      <c r="X50" s="138">
        <f>December!X50</f>
        <v>0</v>
      </c>
      <c r="Y50" s="398">
        <v>0.0</v>
      </c>
      <c r="Z50" s="329">
        <f t="shared" si="3"/>
        <v>0</v>
      </c>
      <c r="AA50" s="32">
        <f t="shared" si="4"/>
        <v>0</v>
      </c>
      <c r="AB50" s="32">
        <f t="shared" si="5"/>
        <v>0</v>
      </c>
      <c r="AC50" s="32">
        <f t="shared" si="6"/>
        <v>0</v>
      </c>
    </row>
    <row r="51" ht="22.5" customHeight="1">
      <c r="A51" s="331" t="str">
        <f>Rooster!A52</f>
        <v/>
      </c>
      <c r="B51" s="396" t="str">
        <f>Rooster!B52</f>
        <v/>
      </c>
      <c r="C51" s="15" t="str">
        <f>Rooster!C52</f>
        <v/>
      </c>
      <c r="D51" s="11" t="str">
        <f>Rooster!D52</f>
        <v/>
      </c>
      <c r="E51" s="77"/>
      <c r="F51" s="327" t="str">
        <f>Rooster!E52</f>
        <v/>
      </c>
      <c r="G51" s="319" t="str">
        <f>IFERROR(VLOOKUP(F51, Docenten!$A$2:$G$30, 7, FALSE), "0")</f>
        <v>0</v>
      </c>
      <c r="H51" s="320">
        <f t="shared" si="7"/>
        <v>0</v>
      </c>
      <c r="I51" s="327" t="str">
        <f>Rooster!H52</f>
        <v/>
      </c>
      <c r="J51" s="321" t="str">
        <f>IFERROR(VLOOKUP(I51, Locaties!$A$2:$G$15, 7, FALSE), "0")</f>
        <v>0</v>
      </c>
      <c r="K51" s="42">
        <f t="shared" si="2"/>
        <v>0</v>
      </c>
      <c r="L51" s="427" t="str">
        <f>December!L51</f>
        <v/>
      </c>
      <c r="M51" s="428" t="str">
        <f>December!M51</f>
        <v/>
      </c>
      <c r="N51" s="321" t="str">
        <f>IFERROR(VLOOKUP(M51, Tarieven!$A$1:$J$150, 10, FALSE), "0")</f>
        <v>0</v>
      </c>
      <c r="O51" s="429" t="str">
        <f>December!O51</f>
        <v/>
      </c>
      <c r="P51" s="430" t="str">
        <f>December!P51</f>
        <v/>
      </c>
      <c r="Q51" s="325" t="str">
        <f>IFERROR(VLOOKUP(P51, Tarieven!$A$2:$J$150, 10, FALSE), "0")</f>
        <v>0</v>
      </c>
      <c r="R51" s="431" t="str">
        <f>December!R51</f>
        <v/>
      </c>
      <c r="S51" s="430" t="str">
        <f>December!S51</f>
        <v/>
      </c>
      <c r="T51" s="325" t="str">
        <f>IFERROR(VLOOKUP(S51, Tarieven!$A$2:$J$150, 10, FALSE), "0")</f>
        <v>0</v>
      </c>
      <c r="U51" s="77" t="str">
        <f>December!U51</f>
        <v/>
      </c>
      <c r="V51" s="327" t="str">
        <f>December!V51</f>
        <v/>
      </c>
      <c r="W51" s="325" t="str">
        <f>IFERROR(VLOOKUP(V51, Tarieven!$A$2:$J$150, 10, FALSE), "0")</f>
        <v>0</v>
      </c>
      <c r="X51" s="138">
        <f>December!X51</f>
        <v>0</v>
      </c>
      <c r="Y51" s="398">
        <v>0.0</v>
      </c>
      <c r="Z51" s="329">
        <f t="shared" si="3"/>
        <v>0</v>
      </c>
      <c r="AA51" s="32">
        <f t="shared" si="4"/>
        <v>0</v>
      </c>
      <c r="AB51" s="32">
        <f t="shared" si="5"/>
        <v>0</v>
      </c>
      <c r="AC51" s="32">
        <f t="shared" si="6"/>
        <v>0</v>
      </c>
    </row>
    <row r="52" ht="22.5" customHeight="1">
      <c r="A52" s="331" t="str">
        <f>Rooster!A53</f>
        <v/>
      </c>
      <c r="B52" s="396" t="str">
        <f>Rooster!B53</f>
        <v/>
      </c>
      <c r="C52" s="15" t="str">
        <f>Rooster!C53</f>
        <v/>
      </c>
      <c r="D52" s="11" t="str">
        <f>Rooster!D53</f>
        <v/>
      </c>
      <c r="E52" s="77"/>
      <c r="F52" s="327" t="str">
        <f>Rooster!E53</f>
        <v/>
      </c>
      <c r="G52" s="319" t="str">
        <f>IFERROR(VLOOKUP(F52, Docenten!$A$2:$G$30, 7, FALSE), "0")</f>
        <v>0</v>
      </c>
      <c r="H52" s="320">
        <f t="shared" si="7"/>
        <v>0</v>
      </c>
      <c r="I52" s="327" t="str">
        <f>Rooster!H53</f>
        <v/>
      </c>
      <c r="J52" s="321" t="str">
        <f>IFERROR(VLOOKUP(I52, Locaties!$A$2:$G$15, 7, FALSE), "0")</f>
        <v>0</v>
      </c>
      <c r="K52" s="42">
        <f t="shared" si="2"/>
        <v>0</v>
      </c>
      <c r="L52" s="427" t="str">
        <f>December!L52</f>
        <v/>
      </c>
      <c r="M52" s="428" t="str">
        <f>December!M52</f>
        <v/>
      </c>
      <c r="N52" s="321" t="str">
        <f>IFERROR(VLOOKUP(M52, Tarieven!$A$1:$J$150, 10, FALSE), "0")</f>
        <v>0</v>
      </c>
      <c r="O52" s="429" t="str">
        <f>December!O52</f>
        <v/>
      </c>
      <c r="P52" s="430" t="str">
        <f>December!P52</f>
        <v/>
      </c>
      <c r="Q52" s="325" t="str">
        <f>IFERROR(VLOOKUP(P52, Tarieven!$A$2:$J$150, 10, FALSE), "0")</f>
        <v>0</v>
      </c>
      <c r="R52" s="431" t="str">
        <f>December!R52</f>
        <v/>
      </c>
      <c r="S52" s="430" t="str">
        <f>December!S52</f>
        <v/>
      </c>
      <c r="T52" s="325" t="str">
        <f>IFERROR(VLOOKUP(S52, Tarieven!$A$2:$J$150, 10, FALSE), "0")</f>
        <v>0</v>
      </c>
      <c r="U52" s="77" t="str">
        <f>December!U52</f>
        <v/>
      </c>
      <c r="V52" s="327" t="str">
        <f>December!V52</f>
        <v/>
      </c>
      <c r="W52" s="325" t="str">
        <f>IFERROR(VLOOKUP(V52, Tarieven!$A$2:$J$150, 10, FALSE), "0")</f>
        <v>0</v>
      </c>
      <c r="X52" s="138">
        <f>December!X52</f>
        <v>0</v>
      </c>
      <c r="Y52" s="398">
        <v>0.0</v>
      </c>
      <c r="Z52" s="329">
        <f t="shared" si="3"/>
        <v>0</v>
      </c>
      <c r="AA52" s="32">
        <f t="shared" si="4"/>
        <v>0</v>
      </c>
      <c r="AB52" s="32">
        <f t="shared" si="5"/>
        <v>0</v>
      </c>
      <c r="AC52" s="32">
        <f t="shared" si="6"/>
        <v>0</v>
      </c>
    </row>
    <row r="53" ht="22.5" customHeight="1">
      <c r="A53" s="331" t="str">
        <f>Rooster!A54</f>
        <v/>
      </c>
      <c r="B53" s="396" t="str">
        <f>Rooster!B54</f>
        <v/>
      </c>
      <c r="C53" s="15" t="str">
        <f>Rooster!C54</f>
        <v/>
      </c>
      <c r="D53" s="11" t="str">
        <f>Rooster!D54</f>
        <v/>
      </c>
      <c r="E53" s="77"/>
      <c r="F53" s="327" t="str">
        <f>Rooster!E54</f>
        <v/>
      </c>
      <c r="G53" s="319" t="str">
        <f>IFERROR(VLOOKUP(F53, Docenten!$A$2:$G$30, 7, FALSE), "0")</f>
        <v>0</v>
      </c>
      <c r="H53" s="320">
        <f t="shared" si="7"/>
        <v>0</v>
      </c>
      <c r="I53" s="327" t="str">
        <f>Rooster!H54</f>
        <v/>
      </c>
      <c r="J53" s="321" t="str">
        <f>IFERROR(VLOOKUP(I53, Locaties!$A$2:$G$15, 7, FALSE), "0")</f>
        <v>0</v>
      </c>
      <c r="K53" s="42">
        <f t="shared" si="2"/>
        <v>0</v>
      </c>
      <c r="L53" s="427" t="str">
        <f>December!L53</f>
        <v/>
      </c>
      <c r="M53" s="428" t="str">
        <f>December!M53</f>
        <v/>
      </c>
      <c r="N53" s="321" t="str">
        <f>IFERROR(VLOOKUP(M53, Tarieven!$A$1:$J$150, 10, FALSE), "0")</f>
        <v>0</v>
      </c>
      <c r="O53" s="429" t="str">
        <f>December!O53</f>
        <v/>
      </c>
      <c r="P53" s="430" t="str">
        <f>December!P53</f>
        <v/>
      </c>
      <c r="Q53" s="325" t="str">
        <f>IFERROR(VLOOKUP(P53, Tarieven!$A$2:$J$150, 10, FALSE), "0")</f>
        <v>0</v>
      </c>
      <c r="R53" s="431" t="str">
        <f>December!R53</f>
        <v/>
      </c>
      <c r="S53" s="430" t="str">
        <f>December!S53</f>
        <v/>
      </c>
      <c r="T53" s="325" t="str">
        <f>IFERROR(VLOOKUP(S53, Tarieven!$A$2:$J$150, 10, FALSE), "0")</f>
        <v>0</v>
      </c>
      <c r="U53" s="77" t="str">
        <f>December!U53</f>
        <v/>
      </c>
      <c r="V53" s="327" t="str">
        <f>December!V53</f>
        <v/>
      </c>
      <c r="W53" s="325" t="str">
        <f>IFERROR(VLOOKUP(V53, Tarieven!$A$2:$J$150, 10, FALSE), "0")</f>
        <v>0</v>
      </c>
      <c r="X53" s="138">
        <f>December!X53</f>
        <v>0</v>
      </c>
      <c r="Y53" s="398">
        <v>0.0</v>
      </c>
      <c r="Z53" s="329">
        <f t="shared" si="3"/>
        <v>0</v>
      </c>
      <c r="AA53" s="32">
        <f t="shared" si="4"/>
        <v>0</v>
      </c>
      <c r="AB53" s="32">
        <f t="shared" si="5"/>
        <v>0</v>
      </c>
      <c r="AC53" s="32">
        <f t="shared" si="6"/>
        <v>0</v>
      </c>
    </row>
    <row r="54" ht="22.5" customHeight="1">
      <c r="A54" s="331" t="str">
        <f>Rooster!A55</f>
        <v/>
      </c>
      <c r="B54" s="396" t="str">
        <f>Rooster!B55</f>
        <v/>
      </c>
      <c r="C54" s="15" t="str">
        <f>Rooster!C55</f>
        <v/>
      </c>
      <c r="D54" s="11" t="str">
        <f>Rooster!D55</f>
        <v/>
      </c>
      <c r="E54" s="77"/>
      <c r="F54" s="327" t="str">
        <f>Rooster!E55</f>
        <v/>
      </c>
      <c r="G54" s="319" t="str">
        <f>IFERROR(VLOOKUP(F54, Docenten!$A$2:$G$30, 7, FALSE), "0")</f>
        <v>0</v>
      </c>
      <c r="H54" s="320">
        <f t="shared" si="7"/>
        <v>0</v>
      </c>
      <c r="I54" s="327" t="str">
        <f>Rooster!H55</f>
        <v/>
      </c>
      <c r="J54" s="321" t="str">
        <f>IFERROR(VLOOKUP(I54, Locaties!$A$2:$G$15, 7, FALSE), "0")</f>
        <v>0</v>
      </c>
      <c r="K54" s="42">
        <f t="shared" si="2"/>
        <v>0</v>
      </c>
      <c r="L54" s="427" t="str">
        <f>December!L54</f>
        <v/>
      </c>
      <c r="M54" s="428" t="str">
        <f>December!M54</f>
        <v/>
      </c>
      <c r="N54" s="321" t="str">
        <f>IFERROR(VLOOKUP(M54, Tarieven!$A$1:$J$150, 10, FALSE), "0")</f>
        <v>0</v>
      </c>
      <c r="O54" s="429" t="str">
        <f>December!O54</f>
        <v/>
      </c>
      <c r="P54" s="430" t="str">
        <f>December!P54</f>
        <v/>
      </c>
      <c r="Q54" s="325" t="str">
        <f>IFERROR(VLOOKUP(P54, Tarieven!$A$2:$J$150, 10, FALSE), "0")</f>
        <v>0</v>
      </c>
      <c r="R54" s="431" t="str">
        <f>December!R54</f>
        <v/>
      </c>
      <c r="S54" s="430" t="str">
        <f>December!S54</f>
        <v/>
      </c>
      <c r="T54" s="325" t="str">
        <f>IFERROR(VLOOKUP(S54, Tarieven!$A$2:$J$150, 10, FALSE), "0")</f>
        <v>0</v>
      </c>
      <c r="U54" s="77" t="str">
        <f>December!U54</f>
        <v/>
      </c>
      <c r="V54" s="327" t="str">
        <f>December!V54</f>
        <v/>
      </c>
      <c r="W54" s="325" t="str">
        <f>IFERROR(VLOOKUP(V54, Tarieven!$A$2:$J$150, 10, FALSE), "0")</f>
        <v>0</v>
      </c>
      <c r="X54" s="138">
        <f>December!X54</f>
        <v>0</v>
      </c>
      <c r="Y54" s="398">
        <v>0.0</v>
      </c>
      <c r="Z54" s="329">
        <f t="shared" si="3"/>
        <v>0</v>
      </c>
      <c r="AA54" s="32">
        <f t="shared" si="4"/>
        <v>0</v>
      </c>
      <c r="AB54" s="32">
        <f t="shared" si="5"/>
        <v>0</v>
      </c>
      <c r="AC54" s="32">
        <f t="shared" si="6"/>
        <v>0</v>
      </c>
    </row>
    <row r="55" ht="22.5" customHeight="1">
      <c r="A55" s="331" t="str">
        <f>Rooster!A56</f>
        <v/>
      </c>
      <c r="B55" s="396" t="str">
        <f>Rooster!B56</f>
        <v/>
      </c>
      <c r="C55" s="15" t="str">
        <f>Rooster!C56</f>
        <v/>
      </c>
      <c r="D55" s="11" t="str">
        <f>Rooster!D56</f>
        <v/>
      </c>
      <c r="E55" s="77"/>
      <c r="F55" s="327" t="str">
        <f>Rooster!E56</f>
        <v/>
      </c>
      <c r="G55" s="319" t="str">
        <f>IFERROR(VLOOKUP(F55, Docenten!$A$2:$G$30, 7, FALSE), "0")</f>
        <v>0</v>
      </c>
      <c r="H55" s="320">
        <f t="shared" si="7"/>
        <v>0</v>
      </c>
      <c r="I55" s="327" t="str">
        <f>Rooster!H56</f>
        <v/>
      </c>
      <c r="J55" s="321" t="str">
        <f>IFERROR(VLOOKUP(I55, Locaties!$A$2:$G$15, 7, FALSE), "0")</f>
        <v>0</v>
      </c>
      <c r="K55" s="42">
        <f t="shared" si="2"/>
        <v>0</v>
      </c>
      <c r="L55" s="427" t="str">
        <f>December!L55</f>
        <v/>
      </c>
      <c r="M55" s="428" t="str">
        <f>December!M55</f>
        <v/>
      </c>
      <c r="N55" s="321" t="str">
        <f>IFERROR(VLOOKUP(M55, Tarieven!$A$1:$J$150, 10, FALSE), "0")</f>
        <v>0</v>
      </c>
      <c r="O55" s="429" t="str">
        <f>December!O55</f>
        <v/>
      </c>
      <c r="P55" s="430" t="str">
        <f>December!P55</f>
        <v/>
      </c>
      <c r="Q55" s="325" t="str">
        <f>IFERROR(VLOOKUP(P55, Tarieven!$A$2:$J$150, 10, FALSE), "0")</f>
        <v>0</v>
      </c>
      <c r="R55" s="431" t="str">
        <f>December!R55</f>
        <v/>
      </c>
      <c r="S55" s="430" t="str">
        <f>December!S55</f>
        <v/>
      </c>
      <c r="T55" s="325" t="str">
        <f>IFERROR(VLOOKUP(S55, Tarieven!$A$2:$J$150, 10, FALSE), "0")</f>
        <v>0</v>
      </c>
      <c r="U55" s="77" t="str">
        <f>December!U55</f>
        <v/>
      </c>
      <c r="V55" s="327" t="str">
        <f>December!V55</f>
        <v/>
      </c>
      <c r="W55" s="325" t="str">
        <f>IFERROR(VLOOKUP(V55, Tarieven!$A$2:$J$150, 10, FALSE), "0")</f>
        <v>0</v>
      </c>
      <c r="X55" s="138">
        <f>December!X55</f>
        <v>0</v>
      </c>
      <c r="Y55" s="398">
        <v>0.0</v>
      </c>
      <c r="Z55" s="329">
        <f t="shared" si="3"/>
        <v>0</v>
      </c>
      <c r="AA55" s="32">
        <f t="shared" si="4"/>
        <v>0</v>
      </c>
      <c r="AB55" s="32">
        <f t="shared" si="5"/>
        <v>0</v>
      </c>
      <c r="AC55" s="32">
        <f t="shared" si="6"/>
        <v>0</v>
      </c>
    </row>
    <row r="56" ht="22.5" customHeight="1">
      <c r="A56" s="331" t="str">
        <f>Rooster!A57</f>
        <v/>
      </c>
      <c r="B56" s="396" t="str">
        <f>Rooster!B57</f>
        <v/>
      </c>
      <c r="C56" s="15" t="str">
        <f>Rooster!C57</f>
        <v/>
      </c>
      <c r="D56" s="11" t="str">
        <f>Rooster!D57</f>
        <v/>
      </c>
      <c r="E56" s="77"/>
      <c r="F56" s="327" t="str">
        <f>Rooster!E57</f>
        <v/>
      </c>
      <c r="G56" s="319" t="str">
        <f>IFERROR(VLOOKUP(F56, Docenten!$A$2:$G$30, 7, FALSE), "0")</f>
        <v>0</v>
      </c>
      <c r="H56" s="320">
        <f t="shared" si="7"/>
        <v>0</v>
      </c>
      <c r="I56" s="327" t="str">
        <f>Rooster!H57</f>
        <v/>
      </c>
      <c r="J56" s="321" t="str">
        <f>IFERROR(VLOOKUP(I56, Locaties!$A$2:$G$15, 7, FALSE), "0")</f>
        <v>0</v>
      </c>
      <c r="K56" s="42">
        <f t="shared" si="2"/>
        <v>0</v>
      </c>
      <c r="L56" s="427" t="str">
        <f>December!L56</f>
        <v/>
      </c>
      <c r="M56" s="428" t="str">
        <f>December!M56</f>
        <v/>
      </c>
      <c r="N56" s="321" t="str">
        <f>IFERROR(VLOOKUP(M56, Tarieven!$A$1:$J$150, 10, FALSE), "0")</f>
        <v>0</v>
      </c>
      <c r="O56" s="429" t="str">
        <f>December!O56</f>
        <v/>
      </c>
      <c r="P56" s="430" t="str">
        <f>December!P56</f>
        <v/>
      </c>
      <c r="Q56" s="325" t="str">
        <f>IFERROR(VLOOKUP(P56, Tarieven!$A$2:$J$150, 10, FALSE), "0")</f>
        <v>0</v>
      </c>
      <c r="R56" s="431" t="str">
        <f>December!R56</f>
        <v/>
      </c>
      <c r="S56" s="430" t="str">
        <f>December!S56</f>
        <v/>
      </c>
      <c r="T56" s="325" t="str">
        <f>IFERROR(VLOOKUP(S56, Tarieven!$A$2:$J$150, 10, FALSE), "0")</f>
        <v>0</v>
      </c>
      <c r="U56" s="77" t="str">
        <f>December!U56</f>
        <v/>
      </c>
      <c r="V56" s="327" t="str">
        <f>December!V56</f>
        <v/>
      </c>
      <c r="W56" s="325" t="str">
        <f>IFERROR(VLOOKUP(V56, Tarieven!$A$2:$J$150, 10, FALSE), "0")</f>
        <v>0</v>
      </c>
      <c r="X56" s="138">
        <f>December!X56</f>
        <v>0</v>
      </c>
      <c r="Y56" s="398">
        <v>0.0</v>
      </c>
      <c r="Z56" s="329">
        <f t="shared" si="3"/>
        <v>0</v>
      </c>
      <c r="AA56" s="32">
        <f t="shared" si="4"/>
        <v>0</v>
      </c>
      <c r="AB56" s="32">
        <f t="shared" si="5"/>
        <v>0</v>
      </c>
      <c r="AC56" s="32">
        <f t="shared" si="6"/>
        <v>0</v>
      </c>
    </row>
    <row r="57" ht="22.5" customHeight="1">
      <c r="A57" s="331" t="str">
        <f>Rooster!A58</f>
        <v/>
      </c>
      <c r="B57" s="396" t="str">
        <f>Rooster!B58</f>
        <v/>
      </c>
      <c r="C57" s="15" t="str">
        <f>Rooster!C58</f>
        <v/>
      </c>
      <c r="D57" s="11" t="str">
        <f>Rooster!D58</f>
        <v/>
      </c>
      <c r="E57" s="77"/>
      <c r="F57" s="327" t="str">
        <f>Rooster!E58</f>
        <v/>
      </c>
      <c r="G57" s="319" t="str">
        <f>IFERROR(VLOOKUP(F57, Docenten!$A$2:$G$30, 7, FALSE), "0")</f>
        <v>0</v>
      </c>
      <c r="H57" s="320">
        <f t="shared" si="7"/>
        <v>0</v>
      </c>
      <c r="I57" s="327" t="str">
        <f>Rooster!H58</f>
        <v/>
      </c>
      <c r="J57" s="321" t="str">
        <f>IFERROR(VLOOKUP(I57, Locaties!$A$2:$G$15, 7, FALSE), "0")</f>
        <v>0</v>
      </c>
      <c r="K57" s="42">
        <f t="shared" si="2"/>
        <v>0</v>
      </c>
      <c r="L57" s="427" t="str">
        <f>December!L57</f>
        <v/>
      </c>
      <c r="M57" s="428" t="str">
        <f>December!M57</f>
        <v/>
      </c>
      <c r="N57" s="321" t="str">
        <f>IFERROR(VLOOKUP(M57, Tarieven!$A$1:$J$150, 10, FALSE), "0")</f>
        <v>0</v>
      </c>
      <c r="O57" s="429" t="str">
        <f>December!O57</f>
        <v/>
      </c>
      <c r="P57" s="430" t="str">
        <f>December!P57</f>
        <v/>
      </c>
      <c r="Q57" s="325" t="str">
        <f>IFERROR(VLOOKUP(P57, Tarieven!$A$2:$J$150, 10, FALSE), "0")</f>
        <v>0</v>
      </c>
      <c r="R57" s="431" t="str">
        <f>December!R57</f>
        <v/>
      </c>
      <c r="S57" s="430" t="str">
        <f>December!S57</f>
        <v/>
      </c>
      <c r="T57" s="325" t="str">
        <f>IFERROR(VLOOKUP(S57, Tarieven!$A$2:$J$150, 10, FALSE), "0")</f>
        <v>0</v>
      </c>
      <c r="U57" s="77" t="str">
        <f>December!U57</f>
        <v/>
      </c>
      <c r="V57" s="327" t="str">
        <f>December!V57</f>
        <v/>
      </c>
      <c r="W57" s="325" t="str">
        <f>IFERROR(VLOOKUP(V57, Tarieven!$A$2:$J$150, 10, FALSE), "0")</f>
        <v>0</v>
      </c>
      <c r="X57" s="138">
        <f>December!X57</f>
        <v>0</v>
      </c>
      <c r="Y57" s="398">
        <v>0.0</v>
      </c>
      <c r="Z57" s="329">
        <f t="shared" si="3"/>
        <v>0</v>
      </c>
      <c r="AA57" s="32">
        <f t="shared" si="4"/>
        <v>0</v>
      </c>
      <c r="AB57" s="32">
        <f t="shared" si="5"/>
        <v>0</v>
      </c>
      <c r="AC57" s="32">
        <f t="shared" si="6"/>
        <v>0</v>
      </c>
    </row>
    <row r="58" ht="22.5" customHeight="1">
      <c r="A58" s="331" t="str">
        <f>Rooster!A59</f>
        <v/>
      </c>
      <c r="B58" s="396" t="str">
        <f>Rooster!B59</f>
        <v/>
      </c>
      <c r="C58" s="15" t="str">
        <f>Rooster!C59</f>
        <v/>
      </c>
      <c r="D58" s="11" t="str">
        <f>Rooster!D59</f>
        <v/>
      </c>
      <c r="E58" s="77"/>
      <c r="F58" s="327" t="str">
        <f>Rooster!E59</f>
        <v/>
      </c>
      <c r="G58" s="319" t="str">
        <f>IFERROR(VLOOKUP(F58, Docenten!$A$2:$G$30, 7, FALSE), "0")</f>
        <v>0</v>
      </c>
      <c r="H58" s="320">
        <f t="shared" si="7"/>
        <v>0</v>
      </c>
      <c r="I58" s="327" t="str">
        <f>Rooster!H59</f>
        <v/>
      </c>
      <c r="J58" s="321" t="str">
        <f>IFERROR(VLOOKUP(I58, Locaties!$A$2:$G$15, 7, FALSE), "0")</f>
        <v>0</v>
      </c>
      <c r="K58" s="42">
        <f t="shared" si="2"/>
        <v>0</v>
      </c>
      <c r="L58" s="427" t="str">
        <f>December!L58</f>
        <v/>
      </c>
      <c r="M58" s="428" t="str">
        <f>December!M58</f>
        <v/>
      </c>
      <c r="N58" s="321" t="str">
        <f>IFERROR(VLOOKUP(M58, Tarieven!$A$1:$J$150, 10, FALSE), "0")</f>
        <v>0</v>
      </c>
      <c r="O58" s="429" t="str">
        <f>December!O58</f>
        <v/>
      </c>
      <c r="P58" s="430" t="str">
        <f>December!P58</f>
        <v/>
      </c>
      <c r="Q58" s="325" t="str">
        <f>IFERROR(VLOOKUP(P58, Tarieven!$A$2:$J$150, 10, FALSE), "0")</f>
        <v>0</v>
      </c>
      <c r="R58" s="431" t="str">
        <f>December!R58</f>
        <v/>
      </c>
      <c r="S58" s="430" t="str">
        <f>December!S58</f>
        <v/>
      </c>
      <c r="T58" s="325" t="str">
        <f>IFERROR(VLOOKUP(S58, Tarieven!$A$2:$J$150, 10, FALSE), "0")</f>
        <v>0</v>
      </c>
      <c r="U58" s="77" t="str">
        <f>December!U58</f>
        <v/>
      </c>
      <c r="V58" s="327" t="str">
        <f>December!V58</f>
        <v/>
      </c>
      <c r="W58" s="325" t="str">
        <f>IFERROR(VLOOKUP(V58, Tarieven!$A$2:$J$150, 10, FALSE), "0")</f>
        <v>0</v>
      </c>
      <c r="X58" s="138">
        <f>December!X58</f>
        <v>0</v>
      </c>
      <c r="Y58" s="398">
        <v>0.0</v>
      </c>
      <c r="Z58" s="329">
        <f t="shared" si="3"/>
        <v>0</v>
      </c>
      <c r="AA58" s="32">
        <f t="shared" si="4"/>
        <v>0</v>
      </c>
      <c r="AB58" s="32">
        <f t="shared" si="5"/>
        <v>0</v>
      </c>
      <c r="AC58" s="32">
        <f t="shared" si="6"/>
        <v>0</v>
      </c>
    </row>
    <row r="59" ht="22.5" customHeight="1">
      <c r="A59" s="331" t="str">
        <f>Rooster!A60</f>
        <v/>
      </c>
      <c r="B59" s="396" t="str">
        <f>Rooster!B60</f>
        <v/>
      </c>
      <c r="C59" s="15" t="str">
        <f>Rooster!C60</f>
        <v/>
      </c>
      <c r="D59" s="11" t="str">
        <f>Rooster!D60</f>
        <v/>
      </c>
      <c r="E59" s="77"/>
      <c r="F59" s="327" t="str">
        <f>Rooster!E60</f>
        <v/>
      </c>
      <c r="G59" s="319" t="str">
        <f>IFERROR(VLOOKUP(F59, Docenten!$A$2:$G$30, 7, FALSE), "0")</f>
        <v>0</v>
      </c>
      <c r="H59" s="320">
        <f t="shared" si="7"/>
        <v>0</v>
      </c>
      <c r="I59" s="327" t="str">
        <f>Rooster!H60</f>
        <v/>
      </c>
      <c r="J59" s="321" t="str">
        <f>IFERROR(VLOOKUP(I59, Locaties!$A$2:$G$15, 7, FALSE), "0")</f>
        <v>0</v>
      </c>
      <c r="K59" s="42">
        <f t="shared" si="2"/>
        <v>0</v>
      </c>
      <c r="L59" s="427" t="str">
        <f>December!L59</f>
        <v/>
      </c>
      <c r="M59" s="428" t="str">
        <f>December!M59</f>
        <v/>
      </c>
      <c r="N59" s="321" t="str">
        <f>IFERROR(VLOOKUP(M59, Tarieven!$A$1:$J$150, 10, FALSE), "0")</f>
        <v>0</v>
      </c>
      <c r="O59" s="429" t="str">
        <f>December!O59</f>
        <v/>
      </c>
      <c r="P59" s="430" t="str">
        <f>December!P59</f>
        <v/>
      </c>
      <c r="Q59" s="325" t="str">
        <f>IFERROR(VLOOKUP(P59, Tarieven!$A$2:$J$150, 10, FALSE), "0")</f>
        <v>0</v>
      </c>
      <c r="R59" s="431" t="str">
        <f>December!R59</f>
        <v/>
      </c>
      <c r="S59" s="430" t="str">
        <f>December!S59</f>
        <v/>
      </c>
      <c r="T59" s="325" t="str">
        <f>IFERROR(VLOOKUP(S59, Tarieven!$A$2:$J$150, 10, FALSE), "0")</f>
        <v>0</v>
      </c>
      <c r="U59" s="77" t="str">
        <f>December!U59</f>
        <v/>
      </c>
      <c r="V59" s="327" t="str">
        <f>December!V59</f>
        <v/>
      </c>
      <c r="W59" s="325" t="str">
        <f>IFERROR(VLOOKUP(V59, Tarieven!$A$2:$J$150, 10, FALSE), "0")</f>
        <v>0</v>
      </c>
      <c r="X59" s="138">
        <f>December!X59</f>
        <v>0</v>
      </c>
      <c r="Y59" s="398">
        <v>0.0</v>
      </c>
      <c r="Z59" s="329">
        <f t="shared" si="3"/>
        <v>0</v>
      </c>
      <c r="AA59" s="32">
        <f t="shared" si="4"/>
        <v>0</v>
      </c>
      <c r="AB59" s="32">
        <f t="shared" si="5"/>
        <v>0</v>
      </c>
      <c r="AC59" s="32">
        <f t="shared" si="6"/>
        <v>0</v>
      </c>
    </row>
    <row r="60" ht="22.5" customHeight="1">
      <c r="A60" s="331" t="str">
        <f>Rooster!A61</f>
        <v/>
      </c>
      <c r="B60" s="396" t="str">
        <f>Rooster!B61</f>
        <v/>
      </c>
      <c r="C60" s="15" t="str">
        <f>Rooster!C61</f>
        <v/>
      </c>
      <c r="D60" s="11" t="str">
        <f>Rooster!D61</f>
        <v/>
      </c>
      <c r="E60" s="77"/>
      <c r="F60" s="327" t="str">
        <f>Rooster!E61</f>
        <v/>
      </c>
      <c r="G60" s="319" t="str">
        <f>IFERROR(VLOOKUP(F60, Docenten!$A$2:$G$30, 7, FALSE), "0")</f>
        <v>0</v>
      </c>
      <c r="H60" s="320">
        <f t="shared" si="7"/>
        <v>0</v>
      </c>
      <c r="I60" s="327" t="str">
        <f>Rooster!H61</f>
        <v/>
      </c>
      <c r="J60" s="321" t="str">
        <f>IFERROR(VLOOKUP(I60, Locaties!$A$2:$G$15, 7, FALSE), "0")</f>
        <v>0</v>
      </c>
      <c r="K60" s="42">
        <f t="shared" si="2"/>
        <v>0</v>
      </c>
      <c r="L60" s="427" t="str">
        <f>December!L60</f>
        <v/>
      </c>
      <c r="M60" s="428" t="str">
        <f>December!M60</f>
        <v/>
      </c>
      <c r="N60" s="321" t="str">
        <f>IFERROR(VLOOKUP(M60, Tarieven!$A$1:$J$150, 10, FALSE), "0")</f>
        <v>0</v>
      </c>
      <c r="O60" s="429" t="str">
        <f>December!O60</f>
        <v/>
      </c>
      <c r="P60" s="430" t="str">
        <f>December!P60</f>
        <v/>
      </c>
      <c r="Q60" s="325" t="str">
        <f>IFERROR(VLOOKUP(P60, Tarieven!$A$2:$J$150, 10, FALSE), "0")</f>
        <v>0</v>
      </c>
      <c r="R60" s="431" t="str">
        <f>December!R60</f>
        <v/>
      </c>
      <c r="S60" s="430" t="str">
        <f>December!S60</f>
        <v/>
      </c>
      <c r="T60" s="325" t="str">
        <f>IFERROR(VLOOKUP(S60, Tarieven!$A$2:$J$150, 10, FALSE), "0")</f>
        <v>0</v>
      </c>
      <c r="U60" s="77" t="str">
        <f>December!U60</f>
        <v/>
      </c>
      <c r="V60" s="327" t="str">
        <f>December!V60</f>
        <v/>
      </c>
      <c r="W60" s="325" t="str">
        <f>IFERROR(VLOOKUP(V60, Tarieven!$A$2:$J$150, 10, FALSE), "0")</f>
        <v>0</v>
      </c>
      <c r="X60" s="138">
        <f>December!X60</f>
        <v>0</v>
      </c>
      <c r="Y60" s="398">
        <v>0.0</v>
      </c>
      <c r="Z60" s="329">
        <f t="shared" si="3"/>
        <v>0</v>
      </c>
      <c r="AA60" s="32">
        <f t="shared" si="4"/>
        <v>0</v>
      </c>
      <c r="AB60" s="32">
        <f t="shared" si="5"/>
        <v>0</v>
      </c>
      <c r="AC60" s="32">
        <f t="shared" si="6"/>
        <v>0</v>
      </c>
    </row>
    <row r="61" ht="22.5" customHeight="1">
      <c r="A61" s="331" t="str">
        <f>Rooster!A62</f>
        <v/>
      </c>
      <c r="B61" s="396" t="str">
        <f>Rooster!B62</f>
        <v/>
      </c>
      <c r="C61" s="15" t="str">
        <f>Rooster!C62</f>
        <v/>
      </c>
      <c r="D61" s="11" t="str">
        <f>Rooster!D62</f>
        <v/>
      </c>
      <c r="E61" s="77"/>
      <c r="F61" s="327" t="str">
        <f>Rooster!E62</f>
        <v/>
      </c>
      <c r="G61" s="319" t="str">
        <f>IFERROR(VLOOKUP(F61, Docenten!$A$2:$G$30, 7, FALSE), "0")</f>
        <v>0</v>
      </c>
      <c r="H61" s="320">
        <f t="shared" si="7"/>
        <v>0</v>
      </c>
      <c r="I61" s="327" t="str">
        <f>Rooster!H62</f>
        <v/>
      </c>
      <c r="J61" s="321" t="str">
        <f>IFERROR(VLOOKUP(I61, Locaties!$A$2:$G$15, 7, FALSE), "0")</f>
        <v>0</v>
      </c>
      <c r="K61" s="42">
        <f t="shared" si="2"/>
        <v>0</v>
      </c>
      <c r="L61" s="427" t="str">
        <f>December!L61</f>
        <v/>
      </c>
      <c r="M61" s="428" t="str">
        <f>December!M61</f>
        <v/>
      </c>
      <c r="N61" s="321" t="str">
        <f>IFERROR(VLOOKUP(M61, Tarieven!$A$1:$J$150, 10, FALSE), "0")</f>
        <v>0</v>
      </c>
      <c r="O61" s="429" t="str">
        <f>December!O61</f>
        <v/>
      </c>
      <c r="P61" s="430" t="str">
        <f>December!P61</f>
        <v/>
      </c>
      <c r="Q61" s="325" t="str">
        <f>IFERROR(VLOOKUP(P61, Tarieven!$A$2:$J$150, 10, FALSE), "0")</f>
        <v>0</v>
      </c>
      <c r="R61" s="431" t="str">
        <f>December!R61</f>
        <v/>
      </c>
      <c r="S61" s="430" t="str">
        <f>December!S61</f>
        <v/>
      </c>
      <c r="T61" s="325" t="str">
        <f>IFERROR(VLOOKUP(S61, Tarieven!$A$2:$J$150, 10, FALSE), "0")</f>
        <v>0</v>
      </c>
      <c r="U61" s="77" t="str">
        <f>December!U61</f>
        <v/>
      </c>
      <c r="V61" s="327" t="str">
        <f>December!V61</f>
        <v/>
      </c>
      <c r="W61" s="325" t="str">
        <f>IFERROR(VLOOKUP(V61, Tarieven!$A$2:$J$150, 10, FALSE), "0")</f>
        <v>0</v>
      </c>
      <c r="X61" s="138">
        <f>December!X61</f>
        <v>0</v>
      </c>
      <c r="Y61" s="398">
        <v>0.0</v>
      </c>
      <c r="Z61" s="329">
        <f t="shared" si="3"/>
        <v>0</v>
      </c>
      <c r="AA61" s="32">
        <f t="shared" si="4"/>
        <v>0</v>
      </c>
      <c r="AB61" s="32">
        <f t="shared" si="5"/>
        <v>0</v>
      </c>
      <c r="AC61" s="32">
        <f t="shared" si="6"/>
        <v>0</v>
      </c>
    </row>
    <row r="62" ht="22.5" customHeight="1">
      <c r="A62" s="331" t="str">
        <f>Rooster!A63</f>
        <v/>
      </c>
      <c r="B62" s="396" t="str">
        <f>Rooster!B63</f>
        <v/>
      </c>
      <c r="C62" s="15" t="str">
        <f>Rooster!C63</f>
        <v/>
      </c>
      <c r="D62" s="11" t="str">
        <f>Rooster!D63</f>
        <v/>
      </c>
      <c r="E62" s="77"/>
      <c r="F62" s="327" t="str">
        <f>Rooster!E63</f>
        <v/>
      </c>
      <c r="G62" s="319" t="str">
        <f>IFERROR(VLOOKUP(F62, Docenten!$A$2:$G$30, 7, FALSE), "0")</f>
        <v>0</v>
      </c>
      <c r="H62" s="320">
        <f t="shared" si="7"/>
        <v>0</v>
      </c>
      <c r="I62" s="327" t="str">
        <f>Rooster!H63</f>
        <v/>
      </c>
      <c r="J62" s="321" t="str">
        <f>IFERROR(VLOOKUP(I62, Locaties!$A$2:$G$15, 7, FALSE), "0")</f>
        <v>0</v>
      </c>
      <c r="K62" s="42">
        <f t="shared" si="2"/>
        <v>0</v>
      </c>
      <c r="L62" s="427" t="str">
        <f>December!L62</f>
        <v/>
      </c>
      <c r="M62" s="428" t="str">
        <f>December!M62</f>
        <v/>
      </c>
      <c r="N62" s="321" t="str">
        <f>IFERROR(VLOOKUP(M62, Tarieven!$A$1:$J$150, 10, FALSE), "0")</f>
        <v>0</v>
      </c>
      <c r="O62" s="429" t="str">
        <f>December!O62</f>
        <v/>
      </c>
      <c r="P62" s="430" t="str">
        <f>December!P62</f>
        <v/>
      </c>
      <c r="Q62" s="325" t="str">
        <f>IFERROR(VLOOKUP(P62, Tarieven!$A$2:$J$150, 10, FALSE), "0")</f>
        <v>0</v>
      </c>
      <c r="R62" s="431" t="str">
        <f>December!R62</f>
        <v/>
      </c>
      <c r="S62" s="430" t="str">
        <f>December!S62</f>
        <v/>
      </c>
      <c r="T62" s="325" t="str">
        <f>IFERROR(VLOOKUP(S62, Tarieven!$A$2:$J$150, 10, FALSE), "0")</f>
        <v>0</v>
      </c>
      <c r="U62" s="77" t="str">
        <f>December!U62</f>
        <v/>
      </c>
      <c r="V62" s="327" t="str">
        <f>December!V62</f>
        <v/>
      </c>
      <c r="W62" s="325" t="str">
        <f>IFERROR(VLOOKUP(V62, Tarieven!$A$2:$J$150, 10, FALSE), "0")</f>
        <v>0</v>
      </c>
      <c r="X62" s="138">
        <f>December!X62</f>
        <v>0</v>
      </c>
      <c r="Y62" s="398">
        <v>0.0</v>
      </c>
      <c r="Z62" s="329">
        <f t="shared" si="3"/>
        <v>0</v>
      </c>
      <c r="AA62" s="32">
        <f t="shared" si="4"/>
        <v>0</v>
      </c>
      <c r="AB62" s="32">
        <f t="shared" si="5"/>
        <v>0</v>
      </c>
      <c r="AC62" s="32">
        <f t="shared" si="6"/>
        <v>0</v>
      </c>
    </row>
    <row r="63" ht="22.5" customHeight="1">
      <c r="A63" s="331" t="str">
        <f>Rooster!A64</f>
        <v/>
      </c>
      <c r="B63" s="396" t="str">
        <f>Rooster!B64</f>
        <v/>
      </c>
      <c r="C63" s="15" t="str">
        <f>Rooster!C64</f>
        <v/>
      </c>
      <c r="D63" s="11" t="str">
        <f>Rooster!D64</f>
        <v/>
      </c>
      <c r="E63" s="77"/>
      <c r="F63" s="327" t="str">
        <f>Rooster!E64</f>
        <v/>
      </c>
      <c r="G63" s="319" t="str">
        <f>IFERROR(VLOOKUP(F63, Docenten!$A$2:$G$30, 7, FALSE), "0")</f>
        <v>0</v>
      </c>
      <c r="H63" s="320">
        <f t="shared" si="7"/>
        <v>0</v>
      </c>
      <c r="I63" s="327" t="str">
        <f>Rooster!H64</f>
        <v/>
      </c>
      <c r="J63" s="321" t="str">
        <f>IFERROR(VLOOKUP(I63, Locaties!$A$2:$G$15, 7, FALSE), "0")</f>
        <v>0</v>
      </c>
      <c r="K63" s="42">
        <f t="shared" si="2"/>
        <v>0</v>
      </c>
      <c r="L63" s="427" t="str">
        <f>December!L63</f>
        <v/>
      </c>
      <c r="M63" s="428" t="str">
        <f>December!M63</f>
        <v/>
      </c>
      <c r="N63" s="321" t="str">
        <f>IFERROR(VLOOKUP(M63, Tarieven!$A$1:$J$150, 10, FALSE), "0")</f>
        <v>0</v>
      </c>
      <c r="O63" s="429" t="str">
        <f>December!O63</f>
        <v/>
      </c>
      <c r="P63" s="430" t="str">
        <f>December!P63</f>
        <v/>
      </c>
      <c r="Q63" s="325" t="str">
        <f>IFERROR(VLOOKUP(P63, Tarieven!$A$2:$J$150, 10, FALSE), "0")</f>
        <v>0</v>
      </c>
      <c r="R63" s="431" t="str">
        <f>December!R63</f>
        <v/>
      </c>
      <c r="S63" s="430" t="str">
        <f>December!S63</f>
        <v/>
      </c>
      <c r="T63" s="325" t="str">
        <f>IFERROR(VLOOKUP(S63, Tarieven!$A$2:$J$150, 10, FALSE), "0")</f>
        <v>0</v>
      </c>
      <c r="U63" s="77" t="str">
        <f>December!U63</f>
        <v/>
      </c>
      <c r="V63" s="327" t="str">
        <f>December!V63</f>
        <v/>
      </c>
      <c r="W63" s="325" t="str">
        <f>IFERROR(VLOOKUP(V63, Tarieven!$A$2:$J$150, 10, FALSE), "0")</f>
        <v>0</v>
      </c>
      <c r="X63" s="138">
        <f>December!X63</f>
        <v>0</v>
      </c>
      <c r="Y63" s="398">
        <v>0.0</v>
      </c>
      <c r="Z63" s="329">
        <f t="shared" si="3"/>
        <v>0</v>
      </c>
      <c r="AA63" s="32">
        <f t="shared" si="4"/>
        <v>0</v>
      </c>
      <c r="AB63" s="32">
        <f t="shared" si="5"/>
        <v>0</v>
      </c>
      <c r="AC63" s="32">
        <f t="shared" si="6"/>
        <v>0</v>
      </c>
    </row>
    <row r="64" ht="22.5" customHeight="1">
      <c r="A64" s="331" t="str">
        <f>Rooster!A65</f>
        <v/>
      </c>
      <c r="B64" s="396" t="str">
        <f>Rooster!B65</f>
        <v/>
      </c>
      <c r="C64" s="15" t="str">
        <f>Rooster!C65</f>
        <v/>
      </c>
      <c r="D64" s="11" t="str">
        <f>Rooster!D65</f>
        <v/>
      </c>
      <c r="E64" s="77"/>
      <c r="F64" s="327" t="str">
        <f>Rooster!E65</f>
        <v/>
      </c>
      <c r="G64" s="319" t="str">
        <f>IFERROR(VLOOKUP(F64, Docenten!$A$2:$G$30, 7, FALSE), "0")</f>
        <v>0</v>
      </c>
      <c r="H64" s="320">
        <f t="shared" si="7"/>
        <v>0</v>
      </c>
      <c r="I64" s="327" t="str">
        <f>Rooster!H65</f>
        <v/>
      </c>
      <c r="J64" s="321" t="str">
        <f>IFERROR(VLOOKUP(I64, Locaties!$A$2:$G$15, 7, FALSE), "0")</f>
        <v>0</v>
      </c>
      <c r="K64" s="42">
        <f t="shared" si="2"/>
        <v>0</v>
      </c>
      <c r="L64" s="427" t="str">
        <f>December!L64</f>
        <v/>
      </c>
      <c r="M64" s="428" t="str">
        <f>December!M64</f>
        <v/>
      </c>
      <c r="N64" s="321" t="str">
        <f>IFERROR(VLOOKUP(M64, Tarieven!$A$1:$J$150, 10, FALSE), "0")</f>
        <v>0</v>
      </c>
      <c r="O64" s="429" t="str">
        <f>December!O64</f>
        <v/>
      </c>
      <c r="P64" s="430" t="str">
        <f>December!P64</f>
        <v/>
      </c>
      <c r="Q64" s="325" t="str">
        <f>IFERROR(VLOOKUP(P64, Tarieven!$A$2:$J$150, 10, FALSE), "0")</f>
        <v>0</v>
      </c>
      <c r="R64" s="431" t="str">
        <f>December!R64</f>
        <v/>
      </c>
      <c r="S64" s="430" t="str">
        <f>December!S64</f>
        <v/>
      </c>
      <c r="T64" s="325" t="str">
        <f>IFERROR(VLOOKUP(S64, Tarieven!$A$2:$J$150, 10, FALSE), "0")</f>
        <v>0</v>
      </c>
      <c r="U64" s="77" t="str">
        <f>December!U64</f>
        <v/>
      </c>
      <c r="V64" s="327" t="str">
        <f>December!V64</f>
        <v/>
      </c>
      <c r="W64" s="325" t="str">
        <f>IFERROR(VLOOKUP(V64, Tarieven!$A$2:$J$150, 10, FALSE), "0")</f>
        <v>0</v>
      </c>
      <c r="X64" s="138">
        <f>December!X64</f>
        <v>0</v>
      </c>
      <c r="Y64" s="398">
        <v>0.0</v>
      </c>
      <c r="Z64" s="329">
        <f t="shared" si="3"/>
        <v>0</v>
      </c>
      <c r="AA64" s="32">
        <f t="shared" si="4"/>
        <v>0</v>
      </c>
      <c r="AB64" s="32">
        <f t="shared" si="5"/>
        <v>0</v>
      </c>
      <c r="AC64" s="32">
        <f t="shared" si="6"/>
        <v>0</v>
      </c>
    </row>
    <row r="65" ht="22.5" customHeight="1">
      <c r="A65" s="331" t="str">
        <f>Rooster!A66</f>
        <v/>
      </c>
      <c r="B65" s="396" t="str">
        <f>Rooster!B66</f>
        <v/>
      </c>
      <c r="C65" s="15" t="str">
        <f>Rooster!C66</f>
        <v/>
      </c>
      <c r="D65" s="11" t="str">
        <f>Rooster!D66</f>
        <v/>
      </c>
      <c r="E65" s="77"/>
      <c r="F65" s="327" t="str">
        <f>Rooster!E66</f>
        <v/>
      </c>
      <c r="G65" s="319" t="str">
        <f>IFERROR(VLOOKUP(F65, Docenten!$A$2:$G$30, 7, FALSE), "0")</f>
        <v>0</v>
      </c>
      <c r="H65" s="320">
        <f t="shared" si="7"/>
        <v>0</v>
      </c>
      <c r="I65" s="327" t="str">
        <f>Rooster!H66</f>
        <v/>
      </c>
      <c r="J65" s="321" t="str">
        <f>IFERROR(VLOOKUP(I65, Locaties!$A$2:$G$15, 7, FALSE), "0")</f>
        <v>0</v>
      </c>
      <c r="K65" s="42">
        <f t="shared" si="2"/>
        <v>0</v>
      </c>
      <c r="L65" s="427" t="str">
        <f>December!L65</f>
        <v/>
      </c>
      <c r="M65" s="428" t="str">
        <f>December!M65</f>
        <v/>
      </c>
      <c r="N65" s="321" t="str">
        <f>IFERROR(VLOOKUP(M65, Tarieven!$A$1:$J$150, 10, FALSE), "0")</f>
        <v>0</v>
      </c>
      <c r="O65" s="429" t="str">
        <f>December!O65</f>
        <v/>
      </c>
      <c r="P65" s="430" t="str">
        <f>December!P65</f>
        <v/>
      </c>
      <c r="Q65" s="325" t="str">
        <f>IFERROR(VLOOKUP(P65, Tarieven!$A$2:$J$150, 10, FALSE), "0")</f>
        <v>0</v>
      </c>
      <c r="R65" s="431" t="str">
        <f>December!R65</f>
        <v/>
      </c>
      <c r="S65" s="430" t="str">
        <f>December!S65</f>
        <v/>
      </c>
      <c r="T65" s="325" t="str">
        <f>IFERROR(VLOOKUP(S65, Tarieven!$A$2:$J$150, 10, FALSE), "0")</f>
        <v>0</v>
      </c>
      <c r="U65" s="77" t="str">
        <f>December!U65</f>
        <v/>
      </c>
      <c r="V65" s="327" t="str">
        <f>December!V65</f>
        <v/>
      </c>
      <c r="W65" s="325" t="str">
        <f>IFERROR(VLOOKUP(V65, Tarieven!$A$2:$J$150, 10, FALSE), "0")</f>
        <v>0</v>
      </c>
      <c r="X65" s="138">
        <f>December!X65</f>
        <v>0</v>
      </c>
      <c r="Y65" s="398">
        <v>0.0</v>
      </c>
      <c r="Z65" s="329">
        <f t="shared" si="3"/>
        <v>0</v>
      </c>
      <c r="AA65" s="32">
        <f t="shared" si="4"/>
        <v>0</v>
      </c>
      <c r="AB65" s="32">
        <f t="shared" si="5"/>
        <v>0</v>
      </c>
      <c r="AC65" s="32">
        <f t="shared" si="6"/>
        <v>0</v>
      </c>
    </row>
    <row r="66" ht="22.5" customHeight="1">
      <c r="A66" s="331" t="str">
        <f>Rooster!A67</f>
        <v/>
      </c>
      <c r="B66" s="396" t="str">
        <f>Rooster!B67</f>
        <v/>
      </c>
      <c r="C66" s="15" t="str">
        <f>Rooster!C67</f>
        <v/>
      </c>
      <c r="D66" s="11" t="str">
        <f>Rooster!D67</f>
        <v/>
      </c>
      <c r="E66" s="77"/>
      <c r="F66" s="327" t="str">
        <f>Rooster!E67</f>
        <v/>
      </c>
      <c r="G66" s="319" t="str">
        <f>IFERROR(VLOOKUP(F66, Docenten!$A$2:$G$30, 7, FALSE), "0")</f>
        <v>0</v>
      </c>
      <c r="H66" s="320">
        <f t="shared" si="7"/>
        <v>0</v>
      </c>
      <c r="I66" s="327" t="str">
        <f>Rooster!H67</f>
        <v/>
      </c>
      <c r="J66" s="321" t="str">
        <f>IFERROR(VLOOKUP(I66, Locaties!$A$2:$G$15, 7, FALSE), "0")</f>
        <v>0</v>
      </c>
      <c r="K66" s="42">
        <f t="shared" si="2"/>
        <v>0</v>
      </c>
      <c r="L66" s="427" t="str">
        <f>December!L66</f>
        <v/>
      </c>
      <c r="M66" s="428" t="str">
        <f>December!M66</f>
        <v/>
      </c>
      <c r="N66" s="321" t="str">
        <f>IFERROR(VLOOKUP(M66, Tarieven!$A$1:$J$150, 10, FALSE), "0")</f>
        <v>0</v>
      </c>
      <c r="O66" s="429" t="str">
        <f>December!O66</f>
        <v/>
      </c>
      <c r="P66" s="430" t="str">
        <f>December!P66</f>
        <v/>
      </c>
      <c r="Q66" s="325" t="str">
        <f>IFERROR(VLOOKUP(P66, Tarieven!$A$2:$J$150, 10, FALSE), "0")</f>
        <v>0</v>
      </c>
      <c r="R66" s="431" t="str">
        <f>December!R66</f>
        <v/>
      </c>
      <c r="S66" s="430" t="str">
        <f>December!S66</f>
        <v/>
      </c>
      <c r="T66" s="325" t="str">
        <f>IFERROR(VLOOKUP(S66, Tarieven!$A$2:$J$150, 10, FALSE), "0")</f>
        <v>0</v>
      </c>
      <c r="U66" s="77" t="str">
        <f>December!U66</f>
        <v/>
      </c>
      <c r="V66" s="327" t="str">
        <f>December!V66</f>
        <v/>
      </c>
      <c r="W66" s="325" t="str">
        <f>IFERROR(VLOOKUP(V66, Tarieven!$A$2:$J$150, 10, FALSE), "0")</f>
        <v>0</v>
      </c>
      <c r="X66" s="138">
        <f>December!X66</f>
        <v>0</v>
      </c>
      <c r="Y66" s="398">
        <v>0.0</v>
      </c>
      <c r="Z66" s="329">
        <f t="shared" si="3"/>
        <v>0</v>
      </c>
      <c r="AA66" s="32">
        <f t="shared" si="4"/>
        <v>0</v>
      </c>
      <c r="AB66" s="32">
        <f t="shared" si="5"/>
        <v>0</v>
      </c>
      <c r="AC66" s="32">
        <f t="shared" si="6"/>
        <v>0</v>
      </c>
    </row>
    <row r="67" ht="22.5" customHeight="1">
      <c r="A67" s="331" t="str">
        <f>Rooster!A68</f>
        <v/>
      </c>
      <c r="B67" s="396" t="str">
        <f>Rooster!B68</f>
        <v/>
      </c>
      <c r="C67" s="15" t="str">
        <f>Rooster!C68</f>
        <v/>
      </c>
      <c r="D67" s="11" t="str">
        <f>Rooster!D68</f>
        <v/>
      </c>
      <c r="E67" s="77"/>
      <c r="F67" s="327" t="str">
        <f>Rooster!E68</f>
        <v/>
      </c>
      <c r="G67" s="319" t="str">
        <f>IFERROR(VLOOKUP(F67, Docenten!$A$2:$G$30, 7, FALSE), "0")</f>
        <v>0</v>
      </c>
      <c r="H67" s="320">
        <f t="shared" si="7"/>
        <v>0</v>
      </c>
      <c r="I67" s="327" t="str">
        <f>Rooster!H68</f>
        <v/>
      </c>
      <c r="J67" s="321" t="str">
        <f>IFERROR(VLOOKUP(I67, Locaties!$A$2:$G$15, 7, FALSE), "0")</f>
        <v>0</v>
      </c>
      <c r="K67" s="42">
        <f t="shared" si="2"/>
        <v>0</v>
      </c>
      <c r="L67" s="427" t="str">
        <f>December!L67</f>
        <v/>
      </c>
      <c r="M67" s="428" t="str">
        <f>December!M67</f>
        <v/>
      </c>
      <c r="N67" s="321" t="str">
        <f>IFERROR(VLOOKUP(M67, Tarieven!$A$1:$J$150, 10, FALSE), "0")</f>
        <v>0</v>
      </c>
      <c r="O67" s="429" t="str">
        <f>December!O67</f>
        <v/>
      </c>
      <c r="P67" s="430" t="str">
        <f>December!P67</f>
        <v/>
      </c>
      <c r="Q67" s="325" t="str">
        <f>IFERROR(VLOOKUP(P67, Tarieven!$A$2:$J$150, 10, FALSE), "0")</f>
        <v>0</v>
      </c>
      <c r="R67" s="431" t="str">
        <f>December!R67</f>
        <v/>
      </c>
      <c r="S67" s="430" t="str">
        <f>December!S67</f>
        <v/>
      </c>
      <c r="T67" s="325" t="str">
        <f>IFERROR(VLOOKUP(S67, Tarieven!$A$2:$J$150, 10, FALSE), "0")</f>
        <v>0</v>
      </c>
      <c r="U67" s="77" t="str">
        <f>December!U67</f>
        <v/>
      </c>
      <c r="V67" s="327" t="str">
        <f>December!V67</f>
        <v/>
      </c>
      <c r="W67" s="325" t="str">
        <f>IFERROR(VLOOKUP(V67, Tarieven!$A$2:$J$150, 10, FALSE), "0")</f>
        <v>0</v>
      </c>
      <c r="X67" s="138">
        <f>December!X67</f>
        <v>0</v>
      </c>
      <c r="Y67" s="398">
        <v>0.0</v>
      </c>
      <c r="Z67" s="329">
        <f t="shared" si="3"/>
        <v>0</v>
      </c>
      <c r="AA67" s="32">
        <f t="shared" si="4"/>
        <v>0</v>
      </c>
      <c r="AB67" s="32">
        <f t="shared" si="5"/>
        <v>0</v>
      </c>
      <c r="AC67" s="32">
        <f t="shared" si="6"/>
        <v>0</v>
      </c>
    </row>
    <row r="68" ht="22.5" customHeight="1">
      <c r="A68" s="331" t="str">
        <f>Rooster!A69</f>
        <v/>
      </c>
      <c r="B68" s="396" t="str">
        <f>Rooster!B69</f>
        <v/>
      </c>
      <c r="C68" s="15" t="str">
        <f>Rooster!C69</f>
        <v/>
      </c>
      <c r="D68" s="11" t="str">
        <f>Rooster!D69</f>
        <v/>
      </c>
      <c r="E68" s="77"/>
      <c r="F68" s="327" t="str">
        <f>Rooster!E69</f>
        <v/>
      </c>
      <c r="G68" s="319" t="str">
        <f>IFERROR(VLOOKUP(F68, Docenten!$A$2:$G$30, 7, FALSE), "0")</f>
        <v>0</v>
      </c>
      <c r="H68" s="320">
        <f t="shared" si="7"/>
        <v>0</v>
      </c>
      <c r="I68" s="327" t="str">
        <f>Rooster!H69</f>
        <v/>
      </c>
      <c r="J68" s="321" t="str">
        <f>IFERROR(VLOOKUP(I68, Locaties!$A$2:$G$15, 7, FALSE), "0")</f>
        <v>0</v>
      </c>
      <c r="K68" s="42">
        <f t="shared" si="2"/>
        <v>0</v>
      </c>
      <c r="L68" s="427" t="str">
        <f>December!L68</f>
        <v/>
      </c>
      <c r="M68" s="428" t="str">
        <f>December!M68</f>
        <v/>
      </c>
      <c r="N68" s="321" t="str">
        <f>IFERROR(VLOOKUP(M68, Tarieven!$A$1:$J$150, 10, FALSE), "0")</f>
        <v>0</v>
      </c>
      <c r="O68" s="429" t="str">
        <f>December!O68</f>
        <v/>
      </c>
      <c r="P68" s="430" t="str">
        <f>December!P68</f>
        <v/>
      </c>
      <c r="Q68" s="325" t="str">
        <f>IFERROR(VLOOKUP(P68, Tarieven!$A$2:$J$150, 10, FALSE), "0")</f>
        <v>0</v>
      </c>
      <c r="R68" s="431" t="str">
        <f>December!R68</f>
        <v/>
      </c>
      <c r="S68" s="430" t="str">
        <f>December!S68</f>
        <v/>
      </c>
      <c r="T68" s="325" t="str">
        <f>IFERROR(VLOOKUP(S68, Tarieven!$A$2:$J$150, 10, FALSE), "0")</f>
        <v>0</v>
      </c>
      <c r="U68" s="77" t="str">
        <f>December!U68</f>
        <v/>
      </c>
      <c r="V68" s="327" t="str">
        <f>December!V68</f>
        <v/>
      </c>
      <c r="W68" s="325" t="str">
        <f>IFERROR(VLOOKUP(V68, Tarieven!$A$2:$J$150, 10, FALSE), "0")</f>
        <v>0</v>
      </c>
      <c r="X68" s="138">
        <f>December!X68</f>
        <v>0</v>
      </c>
      <c r="Y68" s="398">
        <v>0.0</v>
      </c>
      <c r="Z68" s="329">
        <f t="shared" si="3"/>
        <v>0</v>
      </c>
      <c r="AA68" s="32">
        <f t="shared" si="4"/>
        <v>0</v>
      </c>
      <c r="AB68" s="32">
        <f t="shared" si="5"/>
        <v>0</v>
      </c>
      <c r="AC68" s="32">
        <f t="shared" si="6"/>
        <v>0</v>
      </c>
    </row>
    <row r="69" ht="22.5" customHeight="1">
      <c r="A69" s="331" t="str">
        <f>Rooster!A70</f>
        <v/>
      </c>
      <c r="B69" s="396" t="str">
        <f>Rooster!B70</f>
        <v/>
      </c>
      <c r="C69" s="15" t="str">
        <f>Rooster!C70</f>
        <v/>
      </c>
      <c r="D69" s="11" t="str">
        <f>Rooster!D70</f>
        <v/>
      </c>
      <c r="E69" s="77"/>
      <c r="F69" s="327" t="str">
        <f>Rooster!E70</f>
        <v/>
      </c>
      <c r="G69" s="319" t="str">
        <f>IFERROR(VLOOKUP(F69, Docenten!$A$2:$G$30, 7, FALSE), "0")</f>
        <v>0</v>
      </c>
      <c r="H69" s="320">
        <f t="shared" si="7"/>
        <v>0</v>
      </c>
      <c r="I69" s="327" t="str">
        <f>Rooster!H70</f>
        <v/>
      </c>
      <c r="J69" s="321" t="str">
        <f>IFERROR(VLOOKUP(I69, Locaties!$A$2:$G$15, 7, FALSE), "0")</f>
        <v>0</v>
      </c>
      <c r="K69" s="42">
        <f t="shared" si="2"/>
        <v>0</v>
      </c>
      <c r="L69" s="427" t="str">
        <f>December!L69</f>
        <v/>
      </c>
      <c r="M69" s="428" t="str">
        <f>December!M69</f>
        <v/>
      </c>
      <c r="N69" s="321" t="str">
        <f>IFERROR(VLOOKUP(M69, Tarieven!$A$1:$J$150, 10, FALSE), "0")</f>
        <v>0</v>
      </c>
      <c r="O69" s="429" t="str">
        <f>December!O69</f>
        <v/>
      </c>
      <c r="P69" s="430" t="str">
        <f>December!P69</f>
        <v/>
      </c>
      <c r="Q69" s="325" t="str">
        <f>IFERROR(VLOOKUP(P69, Tarieven!$A$2:$J$150, 10, FALSE), "0")</f>
        <v>0</v>
      </c>
      <c r="R69" s="431" t="str">
        <f>December!R69</f>
        <v/>
      </c>
      <c r="S69" s="430" t="str">
        <f>December!S69</f>
        <v/>
      </c>
      <c r="T69" s="325" t="str">
        <f>IFERROR(VLOOKUP(S69, Tarieven!$A$2:$J$150, 10, FALSE), "0")</f>
        <v>0</v>
      </c>
      <c r="U69" s="77" t="str">
        <f>December!U69</f>
        <v/>
      </c>
      <c r="V69" s="327" t="str">
        <f>December!V69</f>
        <v/>
      </c>
      <c r="W69" s="325" t="str">
        <f>IFERROR(VLOOKUP(V69, Tarieven!$A$2:$J$150, 10, FALSE), "0")</f>
        <v>0</v>
      </c>
      <c r="X69" s="138">
        <f>December!X69</f>
        <v>0</v>
      </c>
      <c r="Y69" s="398">
        <v>0.0</v>
      </c>
      <c r="Z69" s="329">
        <f t="shared" si="3"/>
        <v>0</v>
      </c>
      <c r="AA69" s="32">
        <f t="shared" si="4"/>
        <v>0</v>
      </c>
      <c r="AB69" s="32">
        <f t="shared" si="5"/>
        <v>0</v>
      </c>
      <c r="AC69" s="32">
        <f t="shared" si="6"/>
        <v>0</v>
      </c>
    </row>
    <row r="70" ht="22.5" customHeight="1">
      <c r="A70" s="331" t="str">
        <f>Rooster!A71</f>
        <v/>
      </c>
      <c r="B70" s="396" t="str">
        <f>Rooster!B71</f>
        <v/>
      </c>
      <c r="C70" s="15" t="str">
        <f>Rooster!C71</f>
        <v/>
      </c>
      <c r="D70" s="11" t="str">
        <f>Rooster!D71</f>
        <v/>
      </c>
      <c r="E70" s="77"/>
      <c r="F70" s="327" t="str">
        <f>Rooster!E71</f>
        <v/>
      </c>
      <c r="G70" s="319" t="str">
        <f>IFERROR(VLOOKUP(F70, Docenten!$A$2:$G$30, 7, FALSE), "0")</f>
        <v>0</v>
      </c>
      <c r="H70" s="320">
        <f t="shared" si="7"/>
        <v>0</v>
      </c>
      <c r="I70" s="327" t="str">
        <f>Rooster!H71</f>
        <v/>
      </c>
      <c r="J70" s="321" t="str">
        <f>IFERROR(VLOOKUP(I70, Locaties!$A$2:$G$15, 7, FALSE), "0")</f>
        <v>0</v>
      </c>
      <c r="K70" s="42">
        <f t="shared" si="2"/>
        <v>0</v>
      </c>
      <c r="L70" s="427" t="str">
        <f>December!L70</f>
        <v/>
      </c>
      <c r="M70" s="428" t="str">
        <f>December!M70</f>
        <v/>
      </c>
      <c r="N70" s="321" t="str">
        <f>IFERROR(VLOOKUP(M70, Tarieven!$A$1:$J$150, 10, FALSE), "0")</f>
        <v>0</v>
      </c>
      <c r="O70" s="429" t="str">
        <f>December!O70</f>
        <v/>
      </c>
      <c r="P70" s="430" t="str">
        <f>December!P70</f>
        <v/>
      </c>
      <c r="Q70" s="325" t="str">
        <f>IFERROR(VLOOKUP(P70, Tarieven!$A$2:$J$150, 10, FALSE), "0")</f>
        <v>0</v>
      </c>
      <c r="R70" s="431" t="str">
        <f>December!R70</f>
        <v/>
      </c>
      <c r="S70" s="430" t="str">
        <f>December!S70</f>
        <v/>
      </c>
      <c r="T70" s="325" t="str">
        <f>IFERROR(VLOOKUP(S70, Tarieven!$A$2:$J$150, 10, FALSE), "0")</f>
        <v>0</v>
      </c>
      <c r="U70" s="77" t="str">
        <f>December!U70</f>
        <v/>
      </c>
      <c r="V70" s="327" t="str">
        <f>December!V70</f>
        <v/>
      </c>
      <c r="W70" s="325" t="str">
        <f>IFERROR(VLOOKUP(V70, Tarieven!$A$2:$J$150, 10, FALSE), "0")</f>
        <v>0</v>
      </c>
      <c r="X70" s="138">
        <f>December!X70</f>
        <v>0</v>
      </c>
      <c r="Y70" s="398">
        <v>0.0</v>
      </c>
      <c r="Z70" s="329">
        <f t="shared" si="3"/>
        <v>0</v>
      </c>
      <c r="AA70" s="32">
        <f t="shared" si="4"/>
        <v>0</v>
      </c>
      <c r="AB70" s="32">
        <f t="shared" si="5"/>
        <v>0</v>
      </c>
      <c r="AC70" s="32">
        <f t="shared" si="6"/>
        <v>0</v>
      </c>
    </row>
    <row r="71" ht="22.5" customHeight="1">
      <c r="A71" s="331" t="str">
        <f>Rooster!A72</f>
        <v/>
      </c>
      <c r="B71" s="396" t="str">
        <f>Rooster!B72</f>
        <v/>
      </c>
      <c r="C71" s="15" t="str">
        <f>Rooster!C72</f>
        <v/>
      </c>
      <c r="D71" s="11" t="str">
        <f>Rooster!D72</f>
        <v/>
      </c>
      <c r="E71" s="77"/>
      <c r="F71" s="327" t="str">
        <f>Rooster!E72</f>
        <v/>
      </c>
      <c r="G71" s="319" t="str">
        <f>IFERROR(VLOOKUP(F71, Docenten!$A$2:$G$30, 7, FALSE), "0")</f>
        <v>0</v>
      </c>
      <c r="H71" s="320">
        <f t="shared" si="7"/>
        <v>0</v>
      </c>
      <c r="I71" s="327" t="str">
        <f>Rooster!H72</f>
        <v/>
      </c>
      <c r="J71" s="321" t="str">
        <f>IFERROR(VLOOKUP(I71, Locaties!$A$2:$G$15, 7, FALSE), "0")</f>
        <v>0</v>
      </c>
      <c r="K71" s="42">
        <f t="shared" si="2"/>
        <v>0</v>
      </c>
      <c r="L71" s="427" t="str">
        <f>December!L71</f>
        <v/>
      </c>
      <c r="M71" s="428" t="str">
        <f>December!M71</f>
        <v/>
      </c>
      <c r="N71" s="321" t="str">
        <f>IFERROR(VLOOKUP(M71, Tarieven!$A$1:$J$150, 10, FALSE), "0")</f>
        <v>0</v>
      </c>
      <c r="O71" s="429" t="str">
        <f>December!O71</f>
        <v/>
      </c>
      <c r="P71" s="430" t="str">
        <f>December!P71</f>
        <v/>
      </c>
      <c r="Q71" s="325" t="str">
        <f>IFERROR(VLOOKUP(P71, Tarieven!$A$2:$J$150, 10, FALSE), "0")</f>
        <v>0</v>
      </c>
      <c r="R71" s="431" t="str">
        <f>December!R71</f>
        <v/>
      </c>
      <c r="S71" s="430" t="str">
        <f>December!S71</f>
        <v/>
      </c>
      <c r="T71" s="325" t="str">
        <f>IFERROR(VLOOKUP(S71, Tarieven!$A$2:$J$150, 10, FALSE), "0")</f>
        <v>0</v>
      </c>
      <c r="U71" s="77" t="str">
        <f>December!U71</f>
        <v/>
      </c>
      <c r="V71" s="327" t="str">
        <f>December!V71</f>
        <v/>
      </c>
      <c r="W71" s="325" t="str">
        <f>IFERROR(VLOOKUP(V71, Tarieven!$A$2:$J$150, 10, FALSE), "0")</f>
        <v>0</v>
      </c>
      <c r="X71" s="138">
        <f>December!X71</f>
        <v>0</v>
      </c>
      <c r="Y71" s="398">
        <v>0.0</v>
      </c>
      <c r="Z71" s="329">
        <f t="shared" si="3"/>
        <v>0</v>
      </c>
      <c r="AA71" s="32">
        <f t="shared" si="4"/>
        <v>0</v>
      </c>
      <c r="AB71" s="32">
        <f t="shared" si="5"/>
        <v>0</v>
      </c>
      <c r="AC71" s="32">
        <f t="shared" si="6"/>
        <v>0</v>
      </c>
    </row>
    <row r="72" ht="22.5" customHeight="1">
      <c r="A72" s="331" t="str">
        <f>Rooster!A73</f>
        <v/>
      </c>
      <c r="B72" s="396" t="str">
        <f>Rooster!B73</f>
        <v/>
      </c>
      <c r="C72" s="15" t="str">
        <f>Rooster!C73</f>
        <v/>
      </c>
      <c r="D72" s="11" t="str">
        <f>Rooster!D73</f>
        <v/>
      </c>
      <c r="E72" s="77"/>
      <c r="F72" s="327" t="str">
        <f>Rooster!E73</f>
        <v/>
      </c>
      <c r="G72" s="319" t="str">
        <f>IFERROR(VLOOKUP(F72, Docenten!$A$2:$G$30, 7, FALSE), "0")</f>
        <v>0</v>
      </c>
      <c r="H72" s="320">
        <f t="shared" si="7"/>
        <v>0</v>
      </c>
      <c r="I72" s="327" t="str">
        <f>Rooster!H73</f>
        <v/>
      </c>
      <c r="J72" s="321" t="str">
        <f>IFERROR(VLOOKUP(I72, Locaties!$A$2:$G$15, 7, FALSE), "0")</f>
        <v>0</v>
      </c>
      <c r="K72" s="42">
        <f t="shared" si="2"/>
        <v>0</v>
      </c>
      <c r="L72" s="427" t="str">
        <f>December!L72</f>
        <v/>
      </c>
      <c r="M72" s="428" t="str">
        <f>December!M72</f>
        <v/>
      </c>
      <c r="N72" s="321" t="str">
        <f>IFERROR(VLOOKUP(M72, Tarieven!$A$1:$J$150, 10, FALSE), "0")</f>
        <v>0</v>
      </c>
      <c r="O72" s="429" t="str">
        <f>December!O72</f>
        <v/>
      </c>
      <c r="P72" s="430" t="str">
        <f>December!P72</f>
        <v/>
      </c>
      <c r="Q72" s="325" t="str">
        <f>IFERROR(VLOOKUP(P72, Tarieven!$A$2:$J$150, 10, FALSE), "0")</f>
        <v>0</v>
      </c>
      <c r="R72" s="431" t="str">
        <f>December!R72</f>
        <v/>
      </c>
      <c r="S72" s="430" t="str">
        <f>December!S72</f>
        <v/>
      </c>
      <c r="T72" s="325" t="str">
        <f>IFERROR(VLOOKUP(S72, Tarieven!$A$2:$J$150, 10, FALSE), "0")</f>
        <v>0</v>
      </c>
      <c r="U72" s="77" t="str">
        <f>December!U72</f>
        <v/>
      </c>
      <c r="V72" s="327" t="str">
        <f>December!V72</f>
        <v/>
      </c>
      <c r="W72" s="325" t="str">
        <f>IFERROR(VLOOKUP(V72, Tarieven!$A$2:$J$150, 10, FALSE), "0")</f>
        <v>0</v>
      </c>
      <c r="X72" s="138">
        <f>December!X72</f>
        <v>0</v>
      </c>
      <c r="Y72" s="398">
        <v>0.0</v>
      </c>
      <c r="Z72" s="329">
        <f t="shared" si="3"/>
        <v>0</v>
      </c>
      <c r="AA72" s="32">
        <f t="shared" si="4"/>
        <v>0</v>
      </c>
      <c r="AB72" s="32">
        <f t="shared" si="5"/>
        <v>0</v>
      </c>
      <c r="AC72" s="32">
        <f t="shared" si="6"/>
        <v>0</v>
      </c>
    </row>
    <row r="73" ht="22.5" customHeight="1">
      <c r="A73" s="331" t="str">
        <f>Rooster!A74</f>
        <v/>
      </c>
      <c r="B73" s="396" t="str">
        <f>Rooster!B74</f>
        <v/>
      </c>
      <c r="C73" s="15" t="str">
        <f>Rooster!C74</f>
        <v/>
      </c>
      <c r="D73" s="11" t="str">
        <f>Rooster!D74</f>
        <v/>
      </c>
      <c r="E73" s="77"/>
      <c r="F73" s="327" t="str">
        <f>Rooster!E74</f>
        <v/>
      </c>
      <c r="G73" s="319" t="str">
        <f>IFERROR(VLOOKUP(F73, Docenten!$A$2:$G$30, 7, FALSE), "0")</f>
        <v>0</v>
      </c>
      <c r="H73" s="320">
        <f t="shared" si="7"/>
        <v>0</v>
      </c>
      <c r="I73" s="327" t="str">
        <f>Rooster!H74</f>
        <v/>
      </c>
      <c r="J73" s="321" t="str">
        <f>IFERROR(VLOOKUP(I73, Locaties!$A$2:$G$15, 7, FALSE), "0")</f>
        <v>0</v>
      </c>
      <c r="K73" s="42">
        <f t="shared" si="2"/>
        <v>0</v>
      </c>
      <c r="L73" s="427" t="str">
        <f>December!L73</f>
        <v/>
      </c>
      <c r="M73" s="428" t="str">
        <f>December!M73</f>
        <v/>
      </c>
      <c r="N73" s="321" t="str">
        <f>IFERROR(VLOOKUP(M73, Tarieven!$A$1:$J$150, 10, FALSE), "0")</f>
        <v>0</v>
      </c>
      <c r="O73" s="429" t="str">
        <f>December!O73</f>
        <v/>
      </c>
      <c r="P73" s="430" t="str">
        <f>December!P73</f>
        <v/>
      </c>
      <c r="Q73" s="325" t="str">
        <f>IFERROR(VLOOKUP(P73, Tarieven!$A$2:$J$150, 10, FALSE), "0")</f>
        <v>0</v>
      </c>
      <c r="R73" s="431" t="str">
        <f>December!R73</f>
        <v/>
      </c>
      <c r="S73" s="430" t="str">
        <f>December!S73</f>
        <v/>
      </c>
      <c r="T73" s="325" t="str">
        <f>IFERROR(VLOOKUP(S73, Tarieven!$A$2:$J$150, 10, FALSE), "0")</f>
        <v>0</v>
      </c>
      <c r="U73" s="77" t="str">
        <f>December!U73</f>
        <v/>
      </c>
      <c r="V73" s="327" t="str">
        <f>December!V73</f>
        <v/>
      </c>
      <c r="W73" s="325" t="str">
        <f>IFERROR(VLOOKUP(V73, Tarieven!$A$2:$J$150, 10, FALSE), "0")</f>
        <v>0</v>
      </c>
      <c r="X73" s="138">
        <f>December!X73</f>
        <v>0</v>
      </c>
      <c r="Y73" s="398">
        <v>0.0</v>
      </c>
      <c r="Z73" s="329">
        <f t="shared" si="3"/>
        <v>0</v>
      </c>
      <c r="AA73" s="32">
        <f t="shared" si="4"/>
        <v>0</v>
      </c>
      <c r="AB73" s="32">
        <f t="shared" si="5"/>
        <v>0</v>
      </c>
      <c r="AC73" s="32">
        <f t="shared" si="6"/>
        <v>0</v>
      </c>
    </row>
    <row r="74" ht="22.5" customHeight="1">
      <c r="A74" s="331" t="str">
        <f>Rooster!A75</f>
        <v/>
      </c>
      <c r="B74" s="396" t="str">
        <f>Rooster!B75</f>
        <v/>
      </c>
      <c r="C74" s="15" t="str">
        <f>Rooster!C75</f>
        <v/>
      </c>
      <c r="D74" s="11" t="str">
        <f>Rooster!D75</f>
        <v/>
      </c>
      <c r="E74" s="77"/>
      <c r="F74" s="327" t="str">
        <f>Rooster!E75</f>
        <v/>
      </c>
      <c r="G74" s="319" t="str">
        <f>IFERROR(VLOOKUP(F74, Docenten!$A$2:$G$30, 7, FALSE), "0")</f>
        <v>0</v>
      </c>
      <c r="H74" s="320">
        <f t="shared" si="7"/>
        <v>0</v>
      </c>
      <c r="I74" s="327" t="str">
        <f>Rooster!H75</f>
        <v/>
      </c>
      <c r="J74" s="321" t="str">
        <f>IFERROR(VLOOKUP(I74, Locaties!$A$2:$G$15, 7, FALSE), "0")</f>
        <v>0</v>
      </c>
      <c r="K74" s="42">
        <f t="shared" si="2"/>
        <v>0</v>
      </c>
      <c r="L74" s="427" t="str">
        <f>December!L74</f>
        <v/>
      </c>
      <c r="M74" s="428" t="str">
        <f>December!M74</f>
        <v/>
      </c>
      <c r="N74" s="321" t="str">
        <f>IFERROR(VLOOKUP(M74, Tarieven!$A$1:$J$150, 10, FALSE), "0")</f>
        <v>0</v>
      </c>
      <c r="O74" s="429" t="str">
        <f>December!O74</f>
        <v/>
      </c>
      <c r="P74" s="430" t="str">
        <f>December!P74</f>
        <v/>
      </c>
      <c r="Q74" s="325" t="str">
        <f>IFERROR(VLOOKUP(P74, Tarieven!$A$2:$J$150, 10, FALSE), "0")</f>
        <v>0</v>
      </c>
      <c r="R74" s="431" t="str">
        <f>December!R74</f>
        <v/>
      </c>
      <c r="S74" s="430" t="str">
        <f>December!S74</f>
        <v/>
      </c>
      <c r="T74" s="325" t="str">
        <f>IFERROR(VLOOKUP(S74, Tarieven!$A$2:$J$150, 10, FALSE), "0")</f>
        <v>0</v>
      </c>
      <c r="U74" s="77" t="str">
        <f>December!U74</f>
        <v/>
      </c>
      <c r="V74" s="327" t="str">
        <f>December!V74</f>
        <v/>
      </c>
      <c r="W74" s="325" t="str">
        <f>IFERROR(VLOOKUP(V74, Tarieven!$A$2:$J$150, 10, FALSE), "0")</f>
        <v>0</v>
      </c>
      <c r="X74" s="138">
        <f>December!X74</f>
        <v>0</v>
      </c>
      <c r="Y74" s="398">
        <v>0.0</v>
      </c>
      <c r="Z74" s="329">
        <f t="shared" si="3"/>
        <v>0</v>
      </c>
      <c r="AA74" s="32">
        <f t="shared" si="4"/>
        <v>0</v>
      </c>
      <c r="AB74" s="32">
        <f t="shared" si="5"/>
        <v>0</v>
      </c>
      <c r="AC74" s="32">
        <f t="shared" si="6"/>
        <v>0</v>
      </c>
    </row>
    <row r="75" ht="22.5" customHeight="1">
      <c r="A75" s="331" t="str">
        <f>Rooster!A76</f>
        <v/>
      </c>
      <c r="B75" s="396" t="str">
        <f>Rooster!B76</f>
        <v/>
      </c>
      <c r="C75" s="15" t="str">
        <f>Rooster!C76</f>
        <v/>
      </c>
      <c r="D75" s="11" t="str">
        <f>Rooster!D76</f>
        <v/>
      </c>
      <c r="E75" s="77"/>
      <c r="F75" s="327" t="str">
        <f>Rooster!E76</f>
        <v/>
      </c>
      <c r="G75" s="319" t="str">
        <f>IFERROR(VLOOKUP(F75, Docenten!$A$2:$G$30, 7, FALSE), "0")</f>
        <v>0</v>
      </c>
      <c r="H75" s="320">
        <f t="shared" si="7"/>
        <v>0</v>
      </c>
      <c r="I75" s="327" t="str">
        <f>Rooster!H76</f>
        <v/>
      </c>
      <c r="J75" s="321" t="str">
        <f>IFERROR(VLOOKUP(I75, Locaties!$A$2:$G$15, 7, FALSE), "0")</f>
        <v>0</v>
      </c>
      <c r="K75" s="42">
        <f t="shared" si="2"/>
        <v>0</v>
      </c>
      <c r="L75" s="427" t="str">
        <f>December!L75</f>
        <v/>
      </c>
      <c r="M75" s="428" t="str">
        <f>December!M75</f>
        <v/>
      </c>
      <c r="N75" s="321" t="str">
        <f>IFERROR(VLOOKUP(M75, Tarieven!$A$1:$J$150, 10, FALSE), "0")</f>
        <v>0</v>
      </c>
      <c r="O75" s="429" t="str">
        <f>December!O75</f>
        <v/>
      </c>
      <c r="P75" s="430" t="str">
        <f>December!P75</f>
        <v/>
      </c>
      <c r="Q75" s="325" t="str">
        <f>IFERROR(VLOOKUP(P75, Tarieven!$A$2:$J$150, 10, FALSE), "0")</f>
        <v>0</v>
      </c>
      <c r="R75" s="431" t="str">
        <f>December!R75</f>
        <v/>
      </c>
      <c r="S75" s="430" t="str">
        <f>December!S75</f>
        <v/>
      </c>
      <c r="T75" s="325" t="str">
        <f>IFERROR(VLOOKUP(S75, Tarieven!$A$2:$J$150, 10, FALSE), "0")</f>
        <v>0</v>
      </c>
      <c r="U75" s="77" t="str">
        <f>December!U75</f>
        <v/>
      </c>
      <c r="V75" s="327" t="str">
        <f>December!V75</f>
        <v/>
      </c>
      <c r="W75" s="325" t="str">
        <f>IFERROR(VLOOKUP(V75, Tarieven!$A$2:$J$150, 10, FALSE), "0")</f>
        <v>0</v>
      </c>
      <c r="X75" s="138">
        <f>December!X75</f>
        <v>0</v>
      </c>
      <c r="Y75" s="398">
        <v>0.0</v>
      </c>
      <c r="Z75" s="329">
        <f t="shared" si="3"/>
        <v>0</v>
      </c>
      <c r="AA75" s="32">
        <f t="shared" si="4"/>
        <v>0</v>
      </c>
      <c r="AB75" s="32">
        <f t="shared" si="5"/>
        <v>0</v>
      </c>
      <c r="AC75" s="32">
        <f t="shared" si="6"/>
        <v>0</v>
      </c>
    </row>
    <row r="76" ht="22.5" customHeight="1">
      <c r="A76" s="331" t="str">
        <f>Rooster!A77</f>
        <v/>
      </c>
      <c r="B76" s="396" t="str">
        <f>Rooster!B77</f>
        <v/>
      </c>
      <c r="C76" s="15" t="str">
        <f>Rooster!C77</f>
        <v/>
      </c>
      <c r="D76" s="11" t="str">
        <f>Rooster!D77</f>
        <v/>
      </c>
      <c r="E76" s="77"/>
      <c r="F76" s="327" t="str">
        <f>Rooster!E77</f>
        <v/>
      </c>
      <c r="G76" s="319" t="str">
        <f>IFERROR(VLOOKUP(F76, Docenten!$A$2:$G$30, 7, FALSE), "0")</f>
        <v>0</v>
      </c>
      <c r="H76" s="320">
        <f t="shared" si="7"/>
        <v>0</v>
      </c>
      <c r="I76" s="327" t="str">
        <f>Rooster!H77</f>
        <v/>
      </c>
      <c r="J76" s="321" t="str">
        <f>IFERROR(VLOOKUP(I76, Locaties!$A$2:$G$15, 7, FALSE), "0")</f>
        <v>0</v>
      </c>
      <c r="K76" s="42">
        <f t="shared" si="2"/>
        <v>0</v>
      </c>
      <c r="L76" s="427" t="str">
        <f>December!L76</f>
        <v/>
      </c>
      <c r="M76" s="428" t="str">
        <f>December!M76</f>
        <v/>
      </c>
      <c r="N76" s="321" t="str">
        <f>IFERROR(VLOOKUP(M76, Tarieven!$A$1:$J$150, 10, FALSE), "0")</f>
        <v>0</v>
      </c>
      <c r="O76" s="429" t="str">
        <f>December!O76</f>
        <v/>
      </c>
      <c r="P76" s="430" t="str">
        <f>December!P76</f>
        <v/>
      </c>
      <c r="Q76" s="325" t="str">
        <f>IFERROR(VLOOKUP(P76, Tarieven!$A$2:$J$150, 10, FALSE), "0")</f>
        <v>0</v>
      </c>
      <c r="R76" s="431" t="str">
        <f>December!R76</f>
        <v/>
      </c>
      <c r="S76" s="430" t="str">
        <f>December!S76</f>
        <v/>
      </c>
      <c r="T76" s="325" t="str">
        <f>IFERROR(VLOOKUP(S76, Tarieven!$A$2:$J$150, 10, FALSE), "0")</f>
        <v>0</v>
      </c>
      <c r="U76" s="77" t="str">
        <f>December!U76</f>
        <v/>
      </c>
      <c r="V76" s="327" t="str">
        <f>December!V76</f>
        <v/>
      </c>
      <c r="W76" s="325" t="str">
        <f>IFERROR(VLOOKUP(V76, Tarieven!$A$2:$J$150, 10, FALSE), "0")</f>
        <v>0</v>
      </c>
      <c r="X76" s="138">
        <f>December!X76</f>
        <v>0</v>
      </c>
      <c r="Y76" s="398">
        <v>0.0</v>
      </c>
      <c r="Z76" s="329">
        <f t="shared" si="3"/>
        <v>0</v>
      </c>
      <c r="AA76" s="32">
        <f t="shared" si="4"/>
        <v>0</v>
      </c>
      <c r="AB76" s="32">
        <f t="shared" si="5"/>
        <v>0</v>
      </c>
      <c r="AC76" s="32">
        <f t="shared" si="6"/>
        <v>0</v>
      </c>
    </row>
    <row r="77" ht="22.5" customHeight="1">
      <c r="A77" s="331" t="str">
        <f>Rooster!A78</f>
        <v/>
      </c>
      <c r="B77" s="396" t="str">
        <f>Rooster!B78</f>
        <v/>
      </c>
      <c r="C77" s="15" t="str">
        <f>Rooster!C78</f>
        <v/>
      </c>
      <c r="D77" s="11" t="str">
        <f>Rooster!D78</f>
        <v/>
      </c>
      <c r="E77" s="77"/>
      <c r="F77" s="327" t="str">
        <f>Rooster!E78</f>
        <v/>
      </c>
      <c r="G77" s="319" t="str">
        <f>IFERROR(VLOOKUP(F77, Docenten!$A$2:$G$30, 7, FALSE), "0")</f>
        <v>0</v>
      </c>
      <c r="H77" s="320">
        <f t="shared" si="7"/>
        <v>0</v>
      </c>
      <c r="I77" s="327" t="str">
        <f>Rooster!H78</f>
        <v/>
      </c>
      <c r="J77" s="321" t="str">
        <f>IFERROR(VLOOKUP(I77, Locaties!$A$2:$G$15, 7, FALSE), "0")</f>
        <v>0</v>
      </c>
      <c r="K77" s="42">
        <f t="shared" si="2"/>
        <v>0</v>
      </c>
      <c r="L77" s="427" t="str">
        <f>December!L77</f>
        <v/>
      </c>
      <c r="M77" s="428" t="str">
        <f>December!M77</f>
        <v/>
      </c>
      <c r="N77" s="321" t="str">
        <f>IFERROR(VLOOKUP(M77, Tarieven!$A$1:$J$150, 10, FALSE), "0")</f>
        <v>0</v>
      </c>
      <c r="O77" s="429" t="str">
        <f>December!O77</f>
        <v/>
      </c>
      <c r="P77" s="430" t="str">
        <f>December!P77</f>
        <v/>
      </c>
      <c r="Q77" s="325" t="str">
        <f>IFERROR(VLOOKUP(P77, Tarieven!$A$2:$J$150, 10, FALSE), "0")</f>
        <v>0</v>
      </c>
      <c r="R77" s="431" t="str">
        <f>December!R77</f>
        <v/>
      </c>
      <c r="S77" s="430" t="str">
        <f>December!S77</f>
        <v/>
      </c>
      <c r="T77" s="325" t="str">
        <f>IFERROR(VLOOKUP(S77, Tarieven!$A$2:$J$150, 10, FALSE), "0")</f>
        <v>0</v>
      </c>
      <c r="U77" s="77" t="str">
        <f>December!U77</f>
        <v/>
      </c>
      <c r="V77" s="327" t="str">
        <f>December!V77</f>
        <v/>
      </c>
      <c r="W77" s="325" t="str">
        <f>IFERROR(VLOOKUP(V77, Tarieven!$A$2:$J$150, 10, FALSE), "0")</f>
        <v>0</v>
      </c>
      <c r="X77" s="138">
        <f>December!X77</f>
        <v>0</v>
      </c>
      <c r="Y77" s="398">
        <v>0.0</v>
      </c>
      <c r="Z77" s="329">
        <f t="shared" si="3"/>
        <v>0</v>
      </c>
      <c r="AA77" s="32">
        <f t="shared" si="4"/>
        <v>0</v>
      </c>
      <c r="AB77" s="32">
        <f t="shared" si="5"/>
        <v>0</v>
      </c>
      <c r="AC77" s="32">
        <f t="shared" si="6"/>
        <v>0</v>
      </c>
    </row>
    <row r="78" ht="22.5" customHeight="1">
      <c r="A78" s="331" t="str">
        <f>Rooster!A79</f>
        <v/>
      </c>
      <c r="B78" s="396" t="str">
        <f>Rooster!B79</f>
        <v/>
      </c>
      <c r="C78" s="15" t="str">
        <f>Rooster!C79</f>
        <v/>
      </c>
      <c r="D78" s="11" t="str">
        <f>Rooster!D79</f>
        <v/>
      </c>
      <c r="E78" s="77"/>
      <c r="F78" s="327" t="str">
        <f>Rooster!E79</f>
        <v/>
      </c>
      <c r="G78" s="319" t="str">
        <f>IFERROR(VLOOKUP(F78, Docenten!$A$2:$G$30, 7, FALSE), "0")</f>
        <v>0</v>
      </c>
      <c r="H78" s="320">
        <f t="shared" si="7"/>
        <v>0</v>
      </c>
      <c r="I78" s="327" t="str">
        <f>Rooster!H79</f>
        <v/>
      </c>
      <c r="J78" s="321" t="str">
        <f>IFERROR(VLOOKUP(I78, Locaties!$A$2:$G$15, 7, FALSE), "0")</f>
        <v>0</v>
      </c>
      <c r="K78" s="42">
        <f t="shared" si="2"/>
        <v>0</v>
      </c>
      <c r="L78" s="427" t="str">
        <f>December!L78</f>
        <v/>
      </c>
      <c r="M78" s="428" t="str">
        <f>December!M78</f>
        <v/>
      </c>
      <c r="N78" s="321" t="str">
        <f>IFERROR(VLOOKUP(M78, Tarieven!$A$1:$J$150, 10, FALSE), "0")</f>
        <v>0</v>
      </c>
      <c r="O78" s="429" t="str">
        <f>December!O78</f>
        <v/>
      </c>
      <c r="P78" s="430" t="str">
        <f>December!P78</f>
        <v/>
      </c>
      <c r="Q78" s="325" t="str">
        <f>IFERROR(VLOOKUP(P78, Tarieven!$A$2:$J$150, 10, FALSE), "0")</f>
        <v>0</v>
      </c>
      <c r="R78" s="431" t="str">
        <f>December!R78</f>
        <v/>
      </c>
      <c r="S78" s="430" t="str">
        <f>December!S78</f>
        <v/>
      </c>
      <c r="T78" s="325" t="str">
        <f>IFERROR(VLOOKUP(S78, Tarieven!$A$2:$J$150, 10, FALSE), "0")</f>
        <v>0</v>
      </c>
      <c r="U78" s="77" t="str">
        <f>December!U78</f>
        <v/>
      </c>
      <c r="V78" s="327" t="str">
        <f>December!V78</f>
        <v/>
      </c>
      <c r="W78" s="325" t="str">
        <f>IFERROR(VLOOKUP(V78, Tarieven!$A$2:$J$150, 10, FALSE), "0")</f>
        <v>0</v>
      </c>
      <c r="X78" s="138">
        <f>December!X78</f>
        <v>0</v>
      </c>
      <c r="Y78" s="398">
        <v>0.0</v>
      </c>
      <c r="Z78" s="329">
        <f t="shared" si="3"/>
        <v>0</v>
      </c>
      <c r="AA78" s="32">
        <f t="shared" si="4"/>
        <v>0</v>
      </c>
      <c r="AB78" s="32">
        <f t="shared" si="5"/>
        <v>0</v>
      </c>
      <c r="AC78" s="32">
        <f t="shared" si="6"/>
        <v>0</v>
      </c>
    </row>
    <row r="79" ht="22.5" customHeight="1">
      <c r="A79" s="331" t="str">
        <f>Rooster!A80</f>
        <v/>
      </c>
      <c r="B79" s="396" t="str">
        <f>Rooster!B80</f>
        <v/>
      </c>
      <c r="C79" s="15" t="str">
        <f>Rooster!C80</f>
        <v/>
      </c>
      <c r="D79" s="11" t="str">
        <f>Rooster!D80</f>
        <v/>
      </c>
      <c r="E79" s="77"/>
      <c r="F79" s="327" t="str">
        <f>Rooster!E80</f>
        <v/>
      </c>
      <c r="G79" s="319" t="str">
        <f>IFERROR(VLOOKUP(F79, Docenten!$A$2:$G$30, 7, FALSE), "0")</f>
        <v>0</v>
      </c>
      <c r="H79" s="320">
        <f t="shared" si="7"/>
        <v>0</v>
      </c>
      <c r="I79" s="327" t="str">
        <f>Rooster!H80</f>
        <v/>
      </c>
      <c r="J79" s="321" t="str">
        <f>IFERROR(VLOOKUP(I79, Locaties!$A$2:$G$15, 7, FALSE), "0")</f>
        <v>0</v>
      </c>
      <c r="K79" s="42">
        <f t="shared" si="2"/>
        <v>0</v>
      </c>
      <c r="L79" s="427" t="str">
        <f>December!L79</f>
        <v/>
      </c>
      <c r="M79" s="428" t="str">
        <f>December!M79</f>
        <v/>
      </c>
      <c r="N79" s="321" t="str">
        <f>IFERROR(VLOOKUP(M79, Tarieven!$A$1:$J$150, 10, FALSE), "0")</f>
        <v>0</v>
      </c>
      <c r="O79" s="429" t="str">
        <f>December!O79</f>
        <v/>
      </c>
      <c r="P79" s="430" t="str">
        <f>December!P79</f>
        <v/>
      </c>
      <c r="Q79" s="325" t="str">
        <f>IFERROR(VLOOKUP(P79, Tarieven!$A$2:$J$150, 10, FALSE), "0")</f>
        <v>0</v>
      </c>
      <c r="R79" s="431" t="str">
        <f>December!R79</f>
        <v/>
      </c>
      <c r="S79" s="430" t="str">
        <f>December!S79</f>
        <v/>
      </c>
      <c r="T79" s="325" t="str">
        <f>IFERROR(VLOOKUP(S79, Tarieven!$A$2:$J$150, 10, FALSE), "0")</f>
        <v>0</v>
      </c>
      <c r="U79" s="77" t="str">
        <f>December!U79</f>
        <v/>
      </c>
      <c r="V79" s="327" t="str">
        <f>December!V79</f>
        <v/>
      </c>
      <c r="W79" s="325" t="str">
        <f>IFERROR(VLOOKUP(V79, Tarieven!$A$2:$J$150, 10, FALSE), "0")</f>
        <v>0</v>
      </c>
      <c r="X79" s="138">
        <f>December!X79</f>
        <v>0</v>
      </c>
      <c r="Y79" s="398">
        <v>0.0</v>
      </c>
      <c r="Z79" s="329">
        <f t="shared" si="3"/>
        <v>0</v>
      </c>
      <c r="AA79" s="32">
        <f t="shared" si="4"/>
        <v>0</v>
      </c>
      <c r="AB79" s="32">
        <f t="shared" si="5"/>
        <v>0</v>
      </c>
      <c r="AC79" s="32">
        <f t="shared" si="6"/>
        <v>0</v>
      </c>
    </row>
    <row r="80" ht="22.5" customHeight="1">
      <c r="A80" s="331" t="str">
        <f>Rooster!A81</f>
        <v/>
      </c>
      <c r="B80" s="396" t="str">
        <f>Rooster!B81</f>
        <v/>
      </c>
      <c r="C80" s="15" t="str">
        <f>Rooster!C81</f>
        <v/>
      </c>
      <c r="D80" s="11" t="str">
        <f>Rooster!D81</f>
        <v/>
      </c>
      <c r="E80" s="77"/>
      <c r="F80" s="327" t="str">
        <f>Rooster!E81</f>
        <v/>
      </c>
      <c r="G80" s="319" t="str">
        <f>IFERROR(VLOOKUP(F80, Docenten!$A$2:$G$30, 7, FALSE), "0")</f>
        <v>0</v>
      </c>
      <c r="H80" s="320">
        <f t="shared" si="7"/>
        <v>0</v>
      </c>
      <c r="I80" s="327" t="str">
        <f>Rooster!H81</f>
        <v/>
      </c>
      <c r="J80" s="321" t="str">
        <f>IFERROR(VLOOKUP(I80, Locaties!$A$2:$G$15, 7, FALSE), "0")</f>
        <v>0</v>
      </c>
      <c r="K80" s="42">
        <f t="shared" si="2"/>
        <v>0</v>
      </c>
      <c r="L80" s="427" t="str">
        <f>December!L80</f>
        <v/>
      </c>
      <c r="M80" s="428" t="str">
        <f>December!M80</f>
        <v/>
      </c>
      <c r="N80" s="321" t="str">
        <f>IFERROR(VLOOKUP(M80, Tarieven!$A$1:$J$150, 10, FALSE), "0")</f>
        <v>0</v>
      </c>
      <c r="O80" s="429" t="str">
        <f>December!O80</f>
        <v/>
      </c>
      <c r="P80" s="430" t="str">
        <f>December!P80</f>
        <v/>
      </c>
      <c r="Q80" s="325" t="str">
        <f>IFERROR(VLOOKUP(P80, Tarieven!$A$2:$J$150, 10, FALSE), "0")</f>
        <v>0</v>
      </c>
      <c r="R80" s="431" t="str">
        <f>December!R80</f>
        <v/>
      </c>
      <c r="S80" s="430" t="str">
        <f>December!S80</f>
        <v/>
      </c>
      <c r="T80" s="325" t="str">
        <f>IFERROR(VLOOKUP(S80, Tarieven!$A$2:$J$150, 10, FALSE), "0")</f>
        <v>0</v>
      </c>
      <c r="U80" s="77" t="str">
        <f>December!U80</f>
        <v/>
      </c>
      <c r="V80" s="327" t="str">
        <f>December!V80</f>
        <v/>
      </c>
      <c r="W80" s="325" t="str">
        <f>IFERROR(VLOOKUP(V80, Tarieven!$A$2:$J$150, 10, FALSE), "0")</f>
        <v>0</v>
      </c>
      <c r="X80" s="138">
        <f>December!X80</f>
        <v>0</v>
      </c>
      <c r="Y80" s="398">
        <v>0.0</v>
      </c>
      <c r="Z80" s="329">
        <f t="shared" si="3"/>
        <v>0</v>
      </c>
      <c r="AA80" s="32">
        <f t="shared" si="4"/>
        <v>0</v>
      </c>
      <c r="AB80" s="32">
        <f t="shared" si="5"/>
        <v>0</v>
      </c>
      <c r="AC80" s="32">
        <f t="shared" si="6"/>
        <v>0</v>
      </c>
    </row>
    <row r="81" ht="22.5" customHeight="1">
      <c r="A81" s="331" t="str">
        <f>Rooster!A82</f>
        <v/>
      </c>
      <c r="B81" s="396" t="str">
        <f>Rooster!B82</f>
        <v/>
      </c>
      <c r="C81" s="15" t="str">
        <f>Rooster!C82</f>
        <v/>
      </c>
      <c r="D81" s="11" t="str">
        <f>Rooster!D82</f>
        <v/>
      </c>
      <c r="E81" s="77"/>
      <c r="F81" s="327" t="str">
        <f>Rooster!E82</f>
        <v/>
      </c>
      <c r="G81" s="319" t="str">
        <f>IFERROR(VLOOKUP(F81, Docenten!$A$2:$G$30, 7, FALSE), "0")</f>
        <v>0</v>
      </c>
      <c r="H81" s="320">
        <f t="shared" si="7"/>
        <v>0</v>
      </c>
      <c r="I81" s="327" t="str">
        <f>Rooster!H82</f>
        <v/>
      </c>
      <c r="J81" s="321" t="str">
        <f>IFERROR(VLOOKUP(I81, Locaties!$A$2:$G$15, 7, FALSE), "0")</f>
        <v>0</v>
      </c>
      <c r="K81" s="42">
        <f t="shared" si="2"/>
        <v>0</v>
      </c>
      <c r="L81" s="427" t="str">
        <f>December!L81</f>
        <v/>
      </c>
      <c r="M81" s="428" t="str">
        <f>December!M81</f>
        <v/>
      </c>
      <c r="N81" s="321" t="str">
        <f>IFERROR(VLOOKUP(M81, Tarieven!$A$1:$J$150, 10, FALSE), "0")</f>
        <v>0</v>
      </c>
      <c r="O81" s="429" t="str">
        <f>December!O81</f>
        <v/>
      </c>
      <c r="P81" s="430" t="str">
        <f>December!P81</f>
        <v/>
      </c>
      <c r="Q81" s="325" t="str">
        <f>IFERROR(VLOOKUP(P81, Tarieven!$A$2:$J$150, 10, FALSE), "0")</f>
        <v>0</v>
      </c>
      <c r="R81" s="431" t="str">
        <f>December!R81</f>
        <v/>
      </c>
      <c r="S81" s="430" t="str">
        <f>December!S81</f>
        <v/>
      </c>
      <c r="T81" s="325" t="str">
        <f>IFERROR(VLOOKUP(S81, Tarieven!$A$2:$J$150, 10, FALSE), "0")</f>
        <v>0</v>
      </c>
      <c r="U81" s="77" t="str">
        <f>December!U81</f>
        <v/>
      </c>
      <c r="V81" s="327" t="str">
        <f>December!V81</f>
        <v/>
      </c>
      <c r="W81" s="325" t="str">
        <f>IFERROR(VLOOKUP(V81, Tarieven!$A$2:$J$150, 10, FALSE), "0")</f>
        <v>0</v>
      </c>
      <c r="X81" s="138">
        <f>December!X81</f>
        <v>0</v>
      </c>
      <c r="Y81" s="398">
        <v>0.0</v>
      </c>
      <c r="Z81" s="329">
        <f t="shared" si="3"/>
        <v>0</v>
      </c>
      <c r="AA81" s="32">
        <f t="shared" si="4"/>
        <v>0</v>
      </c>
      <c r="AB81" s="32">
        <f t="shared" si="5"/>
        <v>0</v>
      </c>
      <c r="AC81" s="32">
        <f t="shared" si="6"/>
        <v>0</v>
      </c>
    </row>
    <row r="82" ht="22.5" customHeight="1">
      <c r="A82" s="331" t="str">
        <f>Rooster!A83</f>
        <v/>
      </c>
      <c r="B82" s="396" t="str">
        <f>Rooster!B83</f>
        <v/>
      </c>
      <c r="C82" s="15" t="str">
        <f>Rooster!C83</f>
        <v/>
      </c>
      <c r="D82" s="11" t="str">
        <f>Rooster!D83</f>
        <v/>
      </c>
      <c r="E82" s="77"/>
      <c r="F82" s="327" t="str">
        <f>Rooster!E83</f>
        <v/>
      </c>
      <c r="G82" s="319" t="str">
        <f>IFERROR(VLOOKUP(F82, Docenten!$A$2:$G$30, 7, FALSE), "0")</f>
        <v>0</v>
      </c>
      <c r="H82" s="320">
        <f t="shared" si="7"/>
        <v>0</v>
      </c>
      <c r="I82" s="327" t="str">
        <f>Rooster!H83</f>
        <v/>
      </c>
      <c r="J82" s="321" t="str">
        <f>IFERROR(VLOOKUP(I82, Locaties!$A$2:$G$15, 7, FALSE), "0")</f>
        <v>0</v>
      </c>
      <c r="K82" s="42">
        <f t="shared" si="2"/>
        <v>0</v>
      </c>
      <c r="L82" s="427" t="str">
        <f>December!L82</f>
        <v/>
      </c>
      <c r="M82" s="428" t="str">
        <f>December!M82</f>
        <v/>
      </c>
      <c r="N82" s="321" t="str">
        <f>IFERROR(VLOOKUP(M82, Tarieven!$A$1:$J$150, 10, FALSE), "0")</f>
        <v>0</v>
      </c>
      <c r="O82" s="429" t="str">
        <f>December!O82</f>
        <v/>
      </c>
      <c r="P82" s="430" t="str">
        <f>December!P82</f>
        <v/>
      </c>
      <c r="Q82" s="325" t="str">
        <f>IFERROR(VLOOKUP(P82, Tarieven!$A$2:$J$150, 10, FALSE), "0")</f>
        <v>0</v>
      </c>
      <c r="R82" s="431" t="str">
        <f>December!R82</f>
        <v/>
      </c>
      <c r="S82" s="430" t="str">
        <f>December!S82</f>
        <v/>
      </c>
      <c r="T82" s="325" t="str">
        <f>IFERROR(VLOOKUP(S82, Tarieven!$A$2:$J$150, 10, FALSE), "0")</f>
        <v>0</v>
      </c>
      <c r="U82" s="77" t="str">
        <f>December!U82</f>
        <v/>
      </c>
      <c r="V82" s="327" t="str">
        <f>December!V82</f>
        <v/>
      </c>
      <c r="W82" s="325" t="str">
        <f>IFERROR(VLOOKUP(V82, Tarieven!$A$2:$J$150, 10, FALSE), "0")</f>
        <v>0</v>
      </c>
      <c r="X82" s="138">
        <f>December!X82</f>
        <v>0</v>
      </c>
      <c r="Y82" s="398">
        <v>0.0</v>
      </c>
      <c r="Z82" s="329">
        <f t="shared" si="3"/>
        <v>0</v>
      </c>
      <c r="AA82" s="32">
        <f t="shared" si="4"/>
        <v>0</v>
      </c>
      <c r="AB82" s="32">
        <f t="shared" si="5"/>
        <v>0</v>
      </c>
      <c r="AC82" s="32">
        <f t="shared" si="6"/>
        <v>0</v>
      </c>
    </row>
    <row r="83" ht="22.5" customHeight="1">
      <c r="A83" s="331" t="str">
        <f>Rooster!A84</f>
        <v/>
      </c>
      <c r="B83" s="396" t="str">
        <f>Rooster!B84</f>
        <v/>
      </c>
      <c r="C83" s="15" t="str">
        <f>Rooster!C84</f>
        <v/>
      </c>
      <c r="D83" s="11" t="str">
        <f>Rooster!D84</f>
        <v/>
      </c>
      <c r="E83" s="77"/>
      <c r="F83" s="327" t="str">
        <f>Rooster!E84</f>
        <v/>
      </c>
      <c r="G83" s="319" t="str">
        <f>IFERROR(VLOOKUP(F83, Docenten!$A$2:$G$30, 7, FALSE), "0")</f>
        <v>0</v>
      </c>
      <c r="H83" s="320">
        <f t="shared" si="7"/>
        <v>0</v>
      </c>
      <c r="I83" s="327" t="str">
        <f>Rooster!H84</f>
        <v/>
      </c>
      <c r="J83" s="321" t="str">
        <f>IFERROR(VLOOKUP(I83, Locaties!$A$2:$G$15, 7, FALSE), "0")</f>
        <v>0</v>
      </c>
      <c r="K83" s="42">
        <f t="shared" si="2"/>
        <v>0</v>
      </c>
      <c r="L83" s="427" t="str">
        <f>December!L83</f>
        <v/>
      </c>
      <c r="M83" s="428" t="str">
        <f>December!M83</f>
        <v/>
      </c>
      <c r="N83" s="321" t="str">
        <f>IFERROR(VLOOKUP(M83, Tarieven!$A$1:$J$150, 10, FALSE), "0")</f>
        <v>0</v>
      </c>
      <c r="O83" s="429" t="str">
        <f>December!O83</f>
        <v/>
      </c>
      <c r="P83" s="430" t="str">
        <f>December!P83</f>
        <v/>
      </c>
      <c r="Q83" s="325" t="str">
        <f>IFERROR(VLOOKUP(P83, Tarieven!$A$2:$J$150, 10, FALSE), "0")</f>
        <v>0</v>
      </c>
      <c r="R83" s="431" t="str">
        <f>December!R83</f>
        <v/>
      </c>
      <c r="S83" s="430" t="str">
        <f>December!S83</f>
        <v/>
      </c>
      <c r="T83" s="325" t="str">
        <f>IFERROR(VLOOKUP(S83, Tarieven!$A$2:$J$150, 10, FALSE), "0")</f>
        <v>0</v>
      </c>
      <c r="U83" s="77" t="str">
        <f>December!U83</f>
        <v/>
      </c>
      <c r="V83" s="327" t="str">
        <f>December!V83</f>
        <v/>
      </c>
      <c r="W83" s="325" t="str">
        <f>IFERROR(VLOOKUP(V83, Tarieven!$A$2:$J$150, 10, FALSE), "0")</f>
        <v>0</v>
      </c>
      <c r="X83" s="138">
        <f>December!X83</f>
        <v>0</v>
      </c>
      <c r="Y83" s="398">
        <v>0.0</v>
      </c>
      <c r="Z83" s="329">
        <f t="shared" si="3"/>
        <v>0</v>
      </c>
      <c r="AA83" s="32">
        <f t="shared" si="4"/>
        <v>0</v>
      </c>
      <c r="AB83" s="32">
        <f t="shared" si="5"/>
        <v>0</v>
      </c>
      <c r="AC83" s="32">
        <f t="shared" si="6"/>
        <v>0</v>
      </c>
    </row>
    <row r="84" ht="22.5" customHeight="1">
      <c r="A84" s="331" t="str">
        <f>Rooster!A85</f>
        <v/>
      </c>
      <c r="B84" s="396" t="str">
        <f>Rooster!B85</f>
        <v/>
      </c>
      <c r="C84" s="15" t="str">
        <f>Rooster!C85</f>
        <v/>
      </c>
      <c r="D84" s="11" t="str">
        <f>Rooster!D85</f>
        <v/>
      </c>
      <c r="E84" s="77"/>
      <c r="F84" s="327" t="str">
        <f>Rooster!E85</f>
        <v/>
      </c>
      <c r="G84" s="319" t="str">
        <f>IFERROR(VLOOKUP(F84, Docenten!$A$2:$G$30, 7, FALSE), "0")</f>
        <v>0</v>
      </c>
      <c r="H84" s="320">
        <f t="shared" si="7"/>
        <v>0</v>
      </c>
      <c r="I84" s="327" t="str">
        <f>Rooster!H85</f>
        <v/>
      </c>
      <c r="J84" s="321" t="str">
        <f>IFERROR(VLOOKUP(I84, Locaties!$A$2:$G$15, 7, FALSE), "0")</f>
        <v>0</v>
      </c>
      <c r="K84" s="42">
        <f t="shared" si="2"/>
        <v>0</v>
      </c>
      <c r="L84" s="427" t="str">
        <f>December!L84</f>
        <v/>
      </c>
      <c r="M84" s="428" t="str">
        <f>December!M84</f>
        <v/>
      </c>
      <c r="N84" s="321" t="str">
        <f>IFERROR(VLOOKUP(M84, Tarieven!$A$1:$J$150, 10, FALSE), "0")</f>
        <v>0</v>
      </c>
      <c r="O84" s="429" t="str">
        <f>December!O84</f>
        <v/>
      </c>
      <c r="P84" s="430" t="str">
        <f>December!P84</f>
        <v/>
      </c>
      <c r="Q84" s="325" t="str">
        <f>IFERROR(VLOOKUP(P84, Tarieven!$A$2:$J$150, 10, FALSE), "0")</f>
        <v>0</v>
      </c>
      <c r="R84" s="431" t="str">
        <f>December!R84</f>
        <v/>
      </c>
      <c r="S84" s="430" t="str">
        <f>December!S84</f>
        <v/>
      </c>
      <c r="T84" s="325" t="str">
        <f>IFERROR(VLOOKUP(S84, Tarieven!$A$2:$J$150, 10, FALSE), "0")</f>
        <v>0</v>
      </c>
      <c r="U84" s="77" t="str">
        <f>December!U84</f>
        <v/>
      </c>
      <c r="V84" s="327" t="str">
        <f>December!V84</f>
        <v/>
      </c>
      <c r="W84" s="325" t="str">
        <f>IFERROR(VLOOKUP(V84, Tarieven!$A$2:$J$150, 10, FALSE), "0")</f>
        <v>0</v>
      </c>
      <c r="X84" s="138">
        <f>December!X84</f>
        <v>0</v>
      </c>
      <c r="Y84" s="398">
        <v>0.0</v>
      </c>
      <c r="Z84" s="329">
        <f t="shared" si="3"/>
        <v>0</v>
      </c>
      <c r="AA84" s="32">
        <f t="shared" si="4"/>
        <v>0</v>
      </c>
      <c r="AB84" s="32">
        <f t="shared" si="5"/>
        <v>0</v>
      </c>
      <c r="AC84" s="32">
        <f t="shared" si="6"/>
        <v>0</v>
      </c>
    </row>
    <row r="85" ht="22.5" customHeight="1">
      <c r="A85" s="331" t="str">
        <f>Rooster!A86</f>
        <v/>
      </c>
      <c r="B85" s="396" t="str">
        <f>Rooster!B86</f>
        <v/>
      </c>
      <c r="C85" s="15" t="str">
        <f>Rooster!C86</f>
        <v/>
      </c>
      <c r="D85" s="11" t="str">
        <f>Rooster!D86</f>
        <v/>
      </c>
      <c r="E85" s="77"/>
      <c r="F85" s="327" t="str">
        <f>Rooster!E86</f>
        <v/>
      </c>
      <c r="G85" s="319" t="str">
        <f>IFERROR(VLOOKUP(F85, Docenten!$A$2:$G$30, 7, FALSE), "0")</f>
        <v>0</v>
      </c>
      <c r="H85" s="320">
        <f t="shared" si="7"/>
        <v>0</v>
      </c>
      <c r="I85" s="327" t="str">
        <f>Rooster!H86</f>
        <v/>
      </c>
      <c r="J85" s="321" t="str">
        <f>IFERROR(VLOOKUP(I85, Locaties!$A$2:$G$15, 7, FALSE), "0")</f>
        <v>0</v>
      </c>
      <c r="K85" s="42">
        <f t="shared" si="2"/>
        <v>0</v>
      </c>
      <c r="L85" s="427" t="str">
        <f>December!L85</f>
        <v/>
      </c>
      <c r="M85" s="428" t="str">
        <f>December!M85</f>
        <v/>
      </c>
      <c r="N85" s="321" t="str">
        <f>IFERROR(VLOOKUP(M85, Tarieven!$A$1:$J$150, 10, FALSE), "0")</f>
        <v>0</v>
      </c>
      <c r="O85" s="429" t="str">
        <f>December!O85</f>
        <v/>
      </c>
      <c r="P85" s="430" t="str">
        <f>December!P85</f>
        <v/>
      </c>
      <c r="Q85" s="325" t="str">
        <f>IFERROR(VLOOKUP(P85, Tarieven!$A$2:$J$150, 10, FALSE), "0")</f>
        <v>0</v>
      </c>
      <c r="R85" s="431" t="str">
        <f>December!R85</f>
        <v/>
      </c>
      <c r="S85" s="430" t="str">
        <f>December!S85</f>
        <v/>
      </c>
      <c r="T85" s="325" t="str">
        <f>IFERROR(VLOOKUP(S85, Tarieven!$A$2:$J$150, 10, FALSE), "0")</f>
        <v>0</v>
      </c>
      <c r="U85" s="77" t="str">
        <f>December!U85</f>
        <v/>
      </c>
      <c r="V85" s="327" t="str">
        <f>December!V85</f>
        <v/>
      </c>
      <c r="W85" s="325" t="str">
        <f>IFERROR(VLOOKUP(V85, Tarieven!$A$2:$J$150, 10, FALSE), "0")</f>
        <v>0</v>
      </c>
      <c r="X85" s="138">
        <f>December!X85</f>
        <v>0</v>
      </c>
      <c r="Y85" s="398">
        <v>0.0</v>
      </c>
      <c r="Z85" s="329">
        <f t="shared" si="3"/>
        <v>0</v>
      </c>
      <c r="AA85" s="32">
        <f t="shared" si="4"/>
        <v>0</v>
      </c>
      <c r="AB85" s="32">
        <f t="shared" si="5"/>
        <v>0</v>
      </c>
      <c r="AC85" s="32">
        <f t="shared" si="6"/>
        <v>0</v>
      </c>
    </row>
    <row r="86" ht="22.5" customHeight="1">
      <c r="A86" s="331" t="str">
        <f>Rooster!A87</f>
        <v/>
      </c>
      <c r="B86" s="396" t="str">
        <f>Rooster!B87</f>
        <v/>
      </c>
      <c r="C86" s="15" t="str">
        <f>Rooster!C87</f>
        <v/>
      </c>
      <c r="D86" s="11" t="str">
        <f>Rooster!D87</f>
        <v/>
      </c>
      <c r="E86" s="77"/>
      <c r="F86" s="327" t="str">
        <f>Rooster!E87</f>
        <v/>
      </c>
      <c r="G86" s="319" t="str">
        <f>IFERROR(VLOOKUP(F86, Docenten!$A$2:$G$30, 7, FALSE), "0")</f>
        <v>0</v>
      </c>
      <c r="H86" s="320">
        <f t="shared" si="7"/>
        <v>0</v>
      </c>
      <c r="I86" s="327" t="str">
        <f>Rooster!H87</f>
        <v/>
      </c>
      <c r="J86" s="321" t="str">
        <f>IFERROR(VLOOKUP(I86, Locaties!$A$2:$G$15, 7, FALSE), "0")</f>
        <v>0</v>
      </c>
      <c r="K86" s="42">
        <f t="shared" si="2"/>
        <v>0</v>
      </c>
      <c r="L86" s="427" t="str">
        <f>December!L86</f>
        <v/>
      </c>
      <c r="M86" s="428" t="str">
        <f>December!M86</f>
        <v/>
      </c>
      <c r="N86" s="321" t="str">
        <f>IFERROR(VLOOKUP(M86, Tarieven!$A$1:$J$150, 10, FALSE), "0")</f>
        <v>0</v>
      </c>
      <c r="O86" s="429" t="str">
        <f>December!O86</f>
        <v/>
      </c>
      <c r="P86" s="430" t="str">
        <f>December!P86</f>
        <v/>
      </c>
      <c r="Q86" s="325" t="str">
        <f>IFERROR(VLOOKUP(P86, Tarieven!$A$2:$J$150, 10, FALSE), "0")</f>
        <v>0</v>
      </c>
      <c r="R86" s="431" t="str">
        <f>December!R86</f>
        <v/>
      </c>
      <c r="S86" s="430" t="str">
        <f>December!S86</f>
        <v/>
      </c>
      <c r="T86" s="325" t="str">
        <f>IFERROR(VLOOKUP(S86, Tarieven!$A$2:$J$150, 10, FALSE), "0")</f>
        <v>0</v>
      </c>
      <c r="U86" s="77" t="str">
        <f>December!U86</f>
        <v/>
      </c>
      <c r="V86" s="327" t="str">
        <f>December!V86</f>
        <v/>
      </c>
      <c r="W86" s="325" t="str">
        <f>IFERROR(VLOOKUP(V86, Tarieven!$A$2:$J$150, 10, FALSE), "0")</f>
        <v>0</v>
      </c>
      <c r="X86" s="138">
        <f>December!X86</f>
        <v>0</v>
      </c>
      <c r="Y86" s="398">
        <v>0.0</v>
      </c>
      <c r="Z86" s="329">
        <f t="shared" si="3"/>
        <v>0</v>
      </c>
      <c r="AA86" s="32">
        <f t="shared" si="4"/>
        <v>0</v>
      </c>
      <c r="AB86" s="32">
        <f t="shared" si="5"/>
        <v>0</v>
      </c>
      <c r="AC86" s="32">
        <f t="shared" si="6"/>
        <v>0</v>
      </c>
    </row>
    <row r="87" ht="22.5" customHeight="1">
      <c r="A87" s="331" t="str">
        <f>Rooster!A88</f>
        <v/>
      </c>
      <c r="B87" s="396" t="str">
        <f>Rooster!B88</f>
        <v/>
      </c>
      <c r="C87" s="15" t="str">
        <f>Rooster!C88</f>
        <v/>
      </c>
      <c r="D87" s="11" t="str">
        <f>Rooster!D88</f>
        <v/>
      </c>
      <c r="E87" s="77"/>
      <c r="F87" s="327" t="str">
        <f>Rooster!E88</f>
        <v/>
      </c>
      <c r="G87" s="319" t="str">
        <f>IFERROR(VLOOKUP(F87, Docenten!$A$2:$G$30, 7, FALSE), "0")</f>
        <v>0</v>
      </c>
      <c r="H87" s="320">
        <f t="shared" si="7"/>
        <v>0</v>
      </c>
      <c r="I87" s="327" t="str">
        <f>Rooster!H88</f>
        <v/>
      </c>
      <c r="J87" s="321" t="str">
        <f>IFERROR(VLOOKUP(I87, Locaties!$A$2:$G$15, 7, FALSE), "0")</f>
        <v>0</v>
      </c>
      <c r="K87" s="42">
        <f t="shared" si="2"/>
        <v>0</v>
      </c>
      <c r="L87" s="427" t="str">
        <f>December!L87</f>
        <v/>
      </c>
      <c r="M87" s="428" t="str">
        <f>December!M87</f>
        <v/>
      </c>
      <c r="N87" s="321" t="str">
        <f>IFERROR(VLOOKUP(M87, Tarieven!$A$1:$J$150, 10, FALSE), "0")</f>
        <v>0</v>
      </c>
      <c r="O87" s="429" t="str">
        <f>December!O87</f>
        <v/>
      </c>
      <c r="P87" s="430" t="str">
        <f>December!P87</f>
        <v/>
      </c>
      <c r="Q87" s="325" t="str">
        <f>IFERROR(VLOOKUP(P87, Tarieven!$A$2:$J$150, 10, FALSE), "0")</f>
        <v>0</v>
      </c>
      <c r="R87" s="431" t="str">
        <f>December!R87</f>
        <v/>
      </c>
      <c r="S87" s="430" t="str">
        <f>December!S87</f>
        <v/>
      </c>
      <c r="T87" s="325" t="str">
        <f>IFERROR(VLOOKUP(S87, Tarieven!$A$2:$J$150, 10, FALSE), "0")</f>
        <v>0</v>
      </c>
      <c r="U87" s="77" t="str">
        <f>December!U87</f>
        <v/>
      </c>
      <c r="V87" s="327" t="str">
        <f>December!V87</f>
        <v/>
      </c>
      <c r="W87" s="325" t="str">
        <f>IFERROR(VLOOKUP(V87, Tarieven!$A$2:$J$150, 10, FALSE), "0")</f>
        <v>0</v>
      </c>
      <c r="X87" s="138">
        <f>December!X87</f>
        <v>0</v>
      </c>
      <c r="Y87" s="398">
        <v>0.0</v>
      </c>
      <c r="Z87" s="329">
        <f t="shared" si="3"/>
        <v>0</v>
      </c>
      <c r="AA87" s="32">
        <f t="shared" si="4"/>
        <v>0</v>
      </c>
      <c r="AB87" s="32">
        <f t="shared" si="5"/>
        <v>0</v>
      </c>
      <c r="AC87" s="32">
        <f t="shared" si="6"/>
        <v>0</v>
      </c>
    </row>
    <row r="88" ht="22.5" customHeight="1">
      <c r="A88" s="331" t="str">
        <f>Rooster!A89</f>
        <v/>
      </c>
      <c r="B88" s="396" t="str">
        <f>Rooster!B89</f>
        <v/>
      </c>
      <c r="C88" s="15" t="str">
        <f>Rooster!C89</f>
        <v/>
      </c>
      <c r="D88" s="11" t="str">
        <f>Rooster!D89</f>
        <v/>
      </c>
      <c r="E88" s="77"/>
      <c r="F88" s="327" t="str">
        <f>Rooster!E89</f>
        <v/>
      </c>
      <c r="G88" s="319" t="str">
        <f>IFERROR(VLOOKUP(F88, Docenten!$A$2:$G$30, 7, FALSE), "0")</f>
        <v>0</v>
      </c>
      <c r="H88" s="320">
        <f t="shared" si="7"/>
        <v>0</v>
      </c>
      <c r="I88" s="327" t="str">
        <f>Rooster!H89</f>
        <v/>
      </c>
      <c r="J88" s="321" t="str">
        <f>IFERROR(VLOOKUP(I88, Locaties!$A$2:$G$15, 7, FALSE), "0")</f>
        <v>0</v>
      </c>
      <c r="K88" s="42">
        <f t="shared" si="2"/>
        <v>0</v>
      </c>
      <c r="L88" s="427" t="str">
        <f>December!L88</f>
        <v/>
      </c>
      <c r="M88" s="428" t="str">
        <f>December!M88</f>
        <v/>
      </c>
      <c r="N88" s="321" t="str">
        <f>IFERROR(VLOOKUP(M88, Tarieven!$A$1:$J$150, 10, FALSE), "0")</f>
        <v>0</v>
      </c>
      <c r="O88" s="429" t="str">
        <f>December!O88</f>
        <v/>
      </c>
      <c r="P88" s="430" t="str">
        <f>December!P88</f>
        <v/>
      </c>
      <c r="Q88" s="325" t="str">
        <f>IFERROR(VLOOKUP(P88, Tarieven!$A$2:$J$150, 10, FALSE), "0")</f>
        <v>0</v>
      </c>
      <c r="R88" s="431" t="str">
        <f>December!R88</f>
        <v/>
      </c>
      <c r="S88" s="430" t="str">
        <f>December!S88</f>
        <v/>
      </c>
      <c r="T88" s="325" t="str">
        <f>IFERROR(VLOOKUP(S88, Tarieven!$A$2:$J$150, 10, FALSE), "0")</f>
        <v>0</v>
      </c>
      <c r="U88" s="77" t="str">
        <f>December!U88</f>
        <v/>
      </c>
      <c r="V88" s="327" t="str">
        <f>December!V88</f>
        <v/>
      </c>
      <c r="W88" s="325" t="str">
        <f>IFERROR(VLOOKUP(V88, Tarieven!$A$2:$J$150, 10, FALSE), "0")</f>
        <v>0</v>
      </c>
      <c r="X88" s="138">
        <f>December!X88</f>
        <v>0</v>
      </c>
      <c r="Y88" s="398">
        <v>0.0</v>
      </c>
      <c r="Z88" s="329">
        <f t="shared" si="3"/>
        <v>0</v>
      </c>
      <c r="AA88" s="32">
        <f t="shared" si="4"/>
        <v>0</v>
      </c>
      <c r="AB88" s="32">
        <f t="shared" si="5"/>
        <v>0</v>
      </c>
      <c r="AC88" s="32">
        <f t="shared" si="6"/>
        <v>0</v>
      </c>
    </row>
    <row r="89" ht="22.5" customHeight="1">
      <c r="A89" s="331" t="str">
        <f>Rooster!A90</f>
        <v/>
      </c>
      <c r="B89" s="396" t="str">
        <f>Rooster!B90</f>
        <v/>
      </c>
      <c r="C89" s="15" t="str">
        <f>Rooster!C90</f>
        <v/>
      </c>
      <c r="D89" s="11" t="str">
        <f>Rooster!D90</f>
        <v/>
      </c>
      <c r="E89" s="77"/>
      <c r="F89" s="327" t="str">
        <f>Rooster!E90</f>
        <v/>
      </c>
      <c r="G89" s="319" t="str">
        <f>IFERROR(VLOOKUP(F89, Docenten!$A$2:$G$30, 7, FALSE), "0")</f>
        <v>0</v>
      </c>
      <c r="H89" s="320">
        <f t="shared" si="7"/>
        <v>0</v>
      </c>
      <c r="I89" s="327" t="str">
        <f>Rooster!H90</f>
        <v/>
      </c>
      <c r="J89" s="321" t="str">
        <f>IFERROR(VLOOKUP(I89, Locaties!$A$2:$G$15, 7, FALSE), "0")</f>
        <v>0</v>
      </c>
      <c r="K89" s="42">
        <f t="shared" si="2"/>
        <v>0</v>
      </c>
      <c r="L89" s="427" t="str">
        <f>December!L89</f>
        <v/>
      </c>
      <c r="M89" s="428" t="str">
        <f>December!M89</f>
        <v/>
      </c>
      <c r="N89" s="321" t="str">
        <f>IFERROR(VLOOKUP(M89, Tarieven!$A$1:$J$150, 10, FALSE), "0")</f>
        <v>0</v>
      </c>
      <c r="O89" s="429" t="str">
        <f>December!O89</f>
        <v/>
      </c>
      <c r="P89" s="430" t="str">
        <f>December!P89</f>
        <v/>
      </c>
      <c r="Q89" s="325" t="str">
        <f>IFERROR(VLOOKUP(P89, Tarieven!$A$2:$J$150, 10, FALSE), "0")</f>
        <v>0</v>
      </c>
      <c r="R89" s="431" t="str">
        <f>December!R89</f>
        <v/>
      </c>
      <c r="S89" s="430" t="str">
        <f>December!S89</f>
        <v/>
      </c>
      <c r="T89" s="325" t="str">
        <f>IFERROR(VLOOKUP(S89, Tarieven!$A$2:$J$150, 10, FALSE), "0")</f>
        <v>0</v>
      </c>
      <c r="U89" s="77" t="str">
        <f>December!U89</f>
        <v/>
      </c>
      <c r="V89" s="327" t="str">
        <f>December!V89</f>
        <v/>
      </c>
      <c r="W89" s="325" t="str">
        <f>IFERROR(VLOOKUP(V89, Tarieven!$A$2:$J$150, 10, FALSE), "0")</f>
        <v>0</v>
      </c>
      <c r="X89" s="138">
        <f>December!X89</f>
        <v>0</v>
      </c>
      <c r="Y89" s="398">
        <v>0.0</v>
      </c>
      <c r="Z89" s="329">
        <f t="shared" si="3"/>
        <v>0</v>
      </c>
      <c r="AA89" s="32">
        <f t="shared" si="4"/>
        <v>0</v>
      </c>
      <c r="AB89" s="32">
        <f t="shared" si="5"/>
        <v>0</v>
      </c>
      <c r="AC89" s="32">
        <f t="shared" si="6"/>
        <v>0</v>
      </c>
    </row>
    <row r="90" ht="22.5" customHeight="1">
      <c r="A90" s="331" t="str">
        <f>Rooster!A91</f>
        <v/>
      </c>
      <c r="B90" s="396" t="str">
        <f>Rooster!B91</f>
        <v/>
      </c>
      <c r="C90" s="15" t="str">
        <f>Rooster!C91</f>
        <v/>
      </c>
      <c r="D90" s="11" t="str">
        <f>Rooster!D91</f>
        <v/>
      </c>
      <c r="E90" s="77"/>
      <c r="F90" s="327" t="str">
        <f>Rooster!E91</f>
        <v/>
      </c>
      <c r="G90" s="319" t="str">
        <f>IFERROR(VLOOKUP(F90, Docenten!$A$2:$G$30, 7, FALSE), "0")</f>
        <v>0</v>
      </c>
      <c r="H90" s="320">
        <f t="shared" si="7"/>
        <v>0</v>
      </c>
      <c r="I90" s="327" t="str">
        <f>Rooster!H91</f>
        <v/>
      </c>
      <c r="J90" s="321" t="str">
        <f>IFERROR(VLOOKUP(I90, Locaties!$A$2:$G$15, 7, FALSE), "0")</f>
        <v>0</v>
      </c>
      <c r="K90" s="42">
        <f t="shared" si="2"/>
        <v>0</v>
      </c>
      <c r="L90" s="427" t="str">
        <f>December!L90</f>
        <v/>
      </c>
      <c r="M90" s="428" t="str">
        <f>December!M90</f>
        <v/>
      </c>
      <c r="N90" s="321" t="str">
        <f>IFERROR(VLOOKUP(M90, Tarieven!$A$1:$J$150, 10, FALSE), "0")</f>
        <v>0</v>
      </c>
      <c r="O90" s="429" t="str">
        <f>December!O90</f>
        <v/>
      </c>
      <c r="P90" s="430" t="str">
        <f>December!P90</f>
        <v/>
      </c>
      <c r="Q90" s="325" t="str">
        <f>IFERROR(VLOOKUP(P90, Tarieven!$A$2:$J$150, 10, FALSE), "0")</f>
        <v>0</v>
      </c>
      <c r="R90" s="431" t="str">
        <f>December!R90</f>
        <v/>
      </c>
      <c r="S90" s="430" t="str">
        <f>December!S90</f>
        <v/>
      </c>
      <c r="T90" s="325" t="str">
        <f>IFERROR(VLOOKUP(S90, Tarieven!$A$2:$J$150, 10, FALSE), "0")</f>
        <v>0</v>
      </c>
      <c r="U90" s="77" t="str">
        <f>December!U90</f>
        <v/>
      </c>
      <c r="V90" s="327" t="str">
        <f>December!V90</f>
        <v/>
      </c>
      <c r="W90" s="325" t="str">
        <f>IFERROR(VLOOKUP(V90, Tarieven!$A$2:$J$150, 10, FALSE), "0")</f>
        <v>0</v>
      </c>
      <c r="X90" s="138">
        <f>December!X90</f>
        <v>0</v>
      </c>
      <c r="Y90" s="398">
        <v>0.0</v>
      </c>
      <c r="Z90" s="329">
        <f t="shared" si="3"/>
        <v>0</v>
      </c>
      <c r="AA90" s="32">
        <f t="shared" si="4"/>
        <v>0</v>
      </c>
      <c r="AB90" s="32">
        <f t="shared" si="5"/>
        <v>0</v>
      </c>
      <c r="AC90" s="32">
        <f t="shared" si="6"/>
        <v>0</v>
      </c>
    </row>
    <row r="91" ht="22.5" customHeight="1">
      <c r="A91" s="331" t="str">
        <f>Rooster!A92</f>
        <v/>
      </c>
      <c r="B91" s="396" t="str">
        <f>Rooster!B92</f>
        <v/>
      </c>
      <c r="C91" s="15" t="str">
        <f>Rooster!C92</f>
        <v/>
      </c>
      <c r="D91" s="11" t="str">
        <f>Rooster!D92</f>
        <v/>
      </c>
      <c r="E91" s="77"/>
      <c r="F91" s="327" t="str">
        <f>Rooster!E92</f>
        <v/>
      </c>
      <c r="G91" s="319" t="str">
        <f>IFERROR(VLOOKUP(F91, Docenten!$A$2:$G$30, 7, FALSE), "0")</f>
        <v>0</v>
      </c>
      <c r="H91" s="320">
        <f t="shared" si="7"/>
        <v>0</v>
      </c>
      <c r="I91" s="327" t="str">
        <f>Rooster!H92</f>
        <v/>
      </c>
      <c r="J91" s="321" t="str">
        <f>IFERROR(VLOOKUP(I91, Locaties!$A$2:$G$15, 7, FALSE), "0")</f>
        <v>0</v>
      </c>
      <c r="K91" s="42">
        <f t="shared" si="2"/>
        <v>0</v>
      </c>
      <c r="L91" s="427" t="str">
        <f>December!L91</f>
        <v/>
      </c>
      <c r="M91" s="428" t="str">
        <f>December!M91</f>
        <v/>
      </c>
      <c r="N91" s="321" t="str">
        <f>IFERROR(VLOOKUP(M91, Tarieven!$A$1:$J$150, 10, FALSE), "0")</f>
        <v>0</v>
      </c>
      <c r="O91" s="429" t="str">
        <f>December!O91</f>
        <v/>
      </c>
      <c r="P91" s="430" t="str">
        <f>December!P91</f>
        <v/>
      </c>
      <c r="Q91" s="325" t="str">
        <f>IFERROR(VLOOKUP(P91, Tarieven!$A$2:$J$150, 10, FALSE), "0")</f>
        <v>0</v>
      </c>
      <c r="R91" s="431" t="str">
        <f>December!R91</f>
        <v/>
      </c>
      <c r="S91" s="430" t="str">
        <f>December!S91</f>
        <v/>
      </c>
      <c r="T91" s="325" t="str">
        <f>IFERROR(VLOOKUP(S91, Tarieven!$A$2:$J$150, 10, FALSE), "0")</f>
        <v>0</v>
      </c>
      <c r="U91" s="77" t="str">
        <f>December!U91</f>
        <v/>
      </c>
      <c r="V91" s="327" t="str">
        <f>December!V91</f>
        <v/>
      </c>
      <c r="W91" s="325" t="str">
        <f>IFERROR(VLOOKUP(V91, Tarieven!$A$2:$J$150, 10, FALSE), "0")</f>
        <v>0</v>
      </c>
      <c r="X91" s="138">
        <f>December!X91</f>
        <v>0</v>
      </c>
      <c r="Y91" s="398">
        <v>0.0</v>
      </c>
      <c r="Z91" s="329">
        <f t="shared" si="3"/>
        <v>0</v>
      </c>
      <c r="AA91" s="32">
        <f t="shared" si="4"/>
        <v>0</v>
      </c>
      <c r="AB91" s="32">
        <f t="shared" si="5"/>
        <v>0</v>
      </c>
      <c r="AC91" s="32">
        <f t="shared" si="6"/>
        <v>0</v>
      </c>
    </row>
    <row r="92" ht="22.5" customHeight="1">
      <c r="A92" s="331" t="str">
        <f>Rooster!A93</f>
        <v/>
      </c>
      <c r="B92" s="396" t="str">
        <f>Rooster!B93</f>
        <v/>
      </c>
      <c r="C92" s="15" t="str">
        <f>Rooster!C93</f>
        <v/>
      </c>
      <c r="D92" s="11" t="str">
        <f>Rooster!D93</f>
        <v/>
      </c>
      <c r="E92" s="77"/>
      <c r="F92" s="327" t="str">
        <f>Rooster!E93</f>
        <v/>
      </c>
      <c r="G92" s="319" t="str">
        <f>IFERROR(VLOOKUP(F92, Docenten!$A$2:$G$30, 7, FALSE), "0")</f>
        <v>0</v>
      </c>
      <c r="H92" s="320">
        <f t="shared" si="7"/>
        <v>0</v>
      </c>
      <c r="I92" s="327" t="str">
        <f>Rooster!H93</f>
        <v/>
      </c>
      <c r="J92" s="321" t="str">
        <f>IFERROR(VLOOKUP(I92, Locaties!$A$2:$G$15, 7, FALSE), "0")</f>
        <v>0</v>
      </c>
      <c r="K92" s="42">
        <f t="shared" si="2"/>
        <v>0</v>
      </c>
      <c r="L92" s="427" t="str">
        <f>December!L92</f>
        <v/>
      </c>
      <c r="M92" s="428" t="str">
        <f>December!M92</f>
        <v/>
      </c>
      <c r="N92" s="321" t="str">
        <f>IFERROR(VLOOKUP(M92, Tarieven!$A$1:$J$150, 10, FALSE), "0")</f>
        <v>0</v>
      </c>
      <c r="O92" s="429" t="str">
        <f>December!O92</f>
        <v/>
      </c>
      <c r="P92" s="430" t="str">
        <f>December!P92</f>
        <v/>
      </c>
      <c r="Q92" s="325" t="str">
        <f>IFERROR(VLOOKUP(P92, Tarieven!$A$2:$J$150, 10, FALSE), "0")</f>
        <v>0</v>
      </c>
      <c r="R92" s="431" t="str">
        <f>December!R92</f>
        <v/>
      </c>
      <c r="S92" s="430" t="str">
        <f>December!S92</f>
        <v/>
      </c>
      <c r="T92" s="325" t="str">
        <f>IFERROR(VLOOKUP(S92, Tarieven!$A$2:$J$150, 10, FALSE), "0")</f>
        <v>0</v>
      </c>
      <c r="U92" s="77" t="str">
        <f>December!U92</f>
        <v/>
      </c>
      <c r="V92" s="327" t="str">
        <f>December!V92</f>
        <v/>
      </c>
      <c r="W92" s="325" t="str">
        <f>IFERROR(VLOOKUP(V92, Tarieven!$A$2:$J$150, 10, FALSE), "0")</f>
        <v>0</v>
      </c>
      <c r="X92" s="138">
        <f>December!X92</f>
        <v>0</v>
      </c>
      <c r="Y92" s="398">
        <v>0.0</v>
      </c>
      <c r="Z92" s="329">
        <f t="shared" si="3"/>
        <v>0</v>
      </c>
      <c r="AA92" s="32">
        <f t="shared" si="4"/>
        <v>0</v>
      </c>
      <c r="AB92" s="32">
        <f t="shared" si="5"/>
        <v>0</v>
      </c>
      <c r="AC92" s="32">
        <f t="shared" si="6"/>
        <v>0</v>
      </c>
    </row>
    <row r="93" ht="22.5" customHeight="1">
      <c r="A93" s="331" t="str">
        <f>Rooster!A94</f>
        <v/>
      </c>
      <c r="B93" s="396" t="str">
        <f>Rooster!B94</f>
        <v/>
      </c>
      <c r="C93" s="15" t="str">
        <f>Rooster!C94</f>
        <v/>
      </c>
      <c r="D93" s="11" t="str">
        <f>Rooster!D94</f>
        <v/>
      </c>
      <c r="E93" s="77"/>
      <c r="F93" s="327" t="str">
        <f>Rooster!E94</f>
        <v/>
      </c>
      <c r="G93" s="319" t="str">
        <f>IFERROR(VLOOKUP(F93, Docenten!$A$2:$G$30, 7, FALSE), "0")</f>
        <v>0</v>
      </c>
      <c r="H93" s="320">
        <f t="shared" si="7"/>
        <v>0</v>
      </c>
      <c r="I93" s="327" t="str">
        <f>Rooster!H94</f>
        <v/>
      </c>
      <c r="J93" s="321" t="str">
        <f>IFERROR(VLOOKUP(I93, Locaties!$A$2:$G$15, 7, FALSE), "0")</f>
        <v>0</v>
      </c>
      <c r="K93" s="42">
        <f t="shared" si="2"/>
        <v>0</v>
      </c>
      <c r="L93" s="427" t="str">
        <f>December!L93</f>
        <v/>
      </c>
      <c r="M93" s="428" t="str">
        <f>December!M93</f>
        <v/>
      </c>
      <c r="N93" s="321" t="str">
        <f>IFERROR(VLOOKUP(M93, Tarieven!$A$1:$J$150, 10, FALSE), "0")</f>
        <v>0</v>
      </c>
      <c r="O93" s="429" t="str">
        <f>December!O93</f>
        <v/>
      </c>
      <c r="P93" s="430" t="str">
        <f>December!P93</f>
        <v/>
      </c>
      <c r="Q93" s="325" t="str">
        <f>IFERROR(VLOOKUP(P93, Tarieven!$A$2:$J$150, 10, FALSE), "0")</f>
        <v>0</v>
      </c>
      <c r="R93" s="431" t="str">
        <f>December!R93</f>
        <v/>
      </c>
      <c r="S93" s="430" t="str">
        <f>December!S93</f>
        <v/>
      </c>
      <c r="T93" s="325" t="str">
        <f>IFERROR(VLOOKUP(S93, Tarieven!$A$2:$J$150, 10, FALSE), "0")</f>
        <v>0</v>
      </c>
      <c r="U93" s="77" t="str">
        <f>December!U93</f>
        <v/>
      </c>
      <c r="V93" s="327" t="str">
        <f>December!V93</f>
        <v/>
      </c>
      <c r="W93" s="325" t="str">
        <f>IFERROR(VLOOKUP(V93, Tarieven!$A$2:$J$150, 10, FALSE), "0")</f>
        <v>0</v>
      </c>
      <c r="X93" s="138">
        <f>December!X93</f>
        <v>0</v>
      </c>
      <c r="Y93" s="398">
        <v>0.0</v>
      </c>
      <c r="Z93" s="329">
        <f t="shared" si="3"/>
        <v>0</v>
      </c>
      <c r="AA93" s="32">
        <f t="shared" si="4"/>
        <v>0</v>
      </c>
      <c r="AB93" s="32">
        <f t="shared" si="5"/>
        <v>0</v>
      </c>
      <c r="AC93" s="32">
        <f t="shared" si="6"/>
        <v>0</v>
      </c>
    </row>
    <row r="94" ht="22.5" customHeight="1">
      <c r="A94" s="331" t="str">
        <f>Rooster!A95</f>
        <v/>
      </c>
      <c r="B94" s="396" t="str">
        <f>Rooster!B95</f>
        <v/>
      </c>
      <c r="C94" s="15" t="str">
        <f>Rooster!C95</f>
        <v/>
      </c>
      <c r="D94" s="11" t="str">
        <f>Rooster!D95</f>
        <v/>
      </c>
      <c r="E94" s="77"/>
      <c r="F94" s="327" t="str">
        <f>Rooster!E95</f>
        <v/>
      </c>
      <c r="G94" s="319" t="str">
        <f>IFERROR(VLOOKUP(F94, Docenten!$A$2:$G$30, 7, FALSE), "0")</f>
        <v>0</v>
      </c>
      <c r="H94" s="320">
        <f t="shared" si="7"/>
        <v>0</v>
      </c>
      <c r="I94" s="327" t="str">
        <f>Rooster!H95</f>
        <v/>
      </c>
      <c r="J94" s="321" t="str">
        <f>IFERROR(VLOOKUP(I94, Locaties!$A$2:$G$15, 7, FALSE), "0")</f>
        <v>0</v>
      </c>
      <c r="K94" s="42">
        <f t="shared" si="2"/>
        <v>0</v>
      </c>
      <c r="L94" s="427" t="str">
        <f>December!L94</f>
        <v/>
      </c>
      <c r="M94" s="428" t="str">
        <f>December!M94</f>
        <v/>
      </c>
      <c r="N94" s="321" t="str">
        <f>IFERROR(VLOOKUP(M94, Tarieven!$A$1:$J$150, 10, FALSE), "0")</f>
        <v>0</v>
      </c>
      <c r="O94" s="429" t="str">
        <f>December!O94</f>
        <v/>
      </c>
      <c r="P94" s="430" t="str">
        <f>December!P94</f>
        <v/>
      </c>
      <c r="Q94" s="325" t="str">
        <f>IFERROR(VLOOKUP(P94, Tarieven!$A$2:$J$150, 10, FALSE), "0")</f>
        <v>0</v>
      </c>
      <c r="R94" s="431" t="str">
        <f>December!R94</f>
        <v/>
      </c>
      <c r="S94" s="430" t="str">
        <f>December!S94</f>
        <v/>
      </c>
      <c r="T94" s="325" t="str">
        <f>IFERROR(VLOOKUP(S94, Tarieven!$A$2:$J$150, 10, FALSE), "0")</f>
        <v>0</v>
      </c>
      <c r="U94" s="77" t="str">
        <f>December!U94</f>
        <v/>
      </c>
      <c r="V94" s="327" t="str">
        <f>December!V94</f>
        <v/>
      </c>
      <c r="W94" s="325" t="str">
        <f>IFERROR(VLOOKUP(V94, Tarieven!$A$2:$J$150, 10, FALSE), "0")</f>
        <v>0</v>
      </c>
      <c r="X94" s="138">
        <f>December!X94</f>
        <v>0</v>
      </c>
      <c r="Y94" s="398">
        <v>0.0</v>
      </c>
      <c r="Z94" s="329">
        <f t="shared" si="3"/>
        <v>0</v>
      </c>
      <c r="AA94" s="32">
        <f t="shared" si="4"/>
        <v>0</v>
      </c>
      <c r="AB94" s="32">
        <f t="shared" si="5"/>
        <v>0</v>
      </c>
      <c r="AC94" s="32">
        <f t="shared" si="6"/>
        <v>0</v>
      </c>
    </row>
    <row r="95" ht="22.5" customHeight="1">
      <c r="A95" s="331" t="str">
        <f>Rooster!A96</f>
        <v/>
      </c>
      <c r="B95" s="396" t="str">
        <f>Rooster!B96</f>
        <v/>
      </c>
      <c r="C95" s="15" t="str">
        <f>Rooster!C96</f>
        <v/>
      </c>
      <c r="D95" s="11" t="str">
        <f>Rooster!D96</f>
        <v/>
      </c>
      <c r="E95" s="77"/>
      <c r="F95" s="327" t="str">
        <f>Rooster!E96</f>
        <v/>
      </c>
      <c r="G95" s="319" t="str">
        <f>IFERROR(VLOOKUP(F95, Docenten!$A$2:$G$30, 7, FALSE), "0")</f>
        <v>0</v>
      </c>
      <c r="H95" s="320">
        <f t="shared" si="7"/>
        <v>0</v>
      </c>
      <c r="I95" s="327" t="str">
        <f>Rooster!H96</f>
        <v/>
      </c>
      <c r="J95" s="321" t="str">
        <f>IFERROR(VLOOKUP(I95, Locaties!$A$2:$G$15, 7, FALSE), "0")</f>
        <v>0</v>
      </c>
      <c r="K95" s="42">
        <f t="shared" si="2"/>
        <v>0</v>
      </c>
      <c r="L95" s="427" t="str">
        <f>December!L95</f>
        <v/>
      </c>
      <c r="M95" s="428" t="str">
        <f>December!M95</f>
        <v/>
      </c>
      <c r="N95" s="321" t="str">
        <f>IFERROR(VLOOKUP(M95, Tarieven!$A$1:$J$150, 10, FALSE), "0")</f>
        <v>0</v>
      </c>
      <c r="O95" s="429" t="str">
        <f>December!O95</f>
        <v/>
      </c>
      <c r="P95" s="430" t="str">
        <f>December!P95</f>
        <v/>
      </c>
      <c r="Q95" s="325" t="str">
        <f>IFERROR(VLOOKUP(P95, Tarieven!$A$2:$J$150, 10, FALSE), "0")</f>
        <v>0</v>
      </c>
      <c r="R95" s="431" t="str">
        <f>December!R95</f>
        <v/>
      </c>
      <c r="S95" s="430" t="str">
        <f>December!S95</f>
        <v/>
      </c>
      <c r="T95" s="325" t="str">
        <f>IFERROR(VLOOKUP(S95, Tarieven!$A$2:$J$150, 10, FALSE), "0")</f>
        <v>0</v>
      </c>
      <c r="U95" s="77" t="str">
        <f>December!U95</f>
        <v/>
      </c>
      <c r="V95" s="327" t="str">
        <f>December!V95</f>
        <v/>
      </c>
      <c r="W95" s="325" t="str">
        <f>IFERROR(VLOOKUP(V95, Tarieven!$A$2:$J$150, 10, FALSE), "0")</f>
        <v>0</v>
      </c>
      <c r="X95" s="138">
        <f>December!X95</f>
        <v>0</v>
      </c>
      <c r="Y95" s="398">
        <v>0.0</v>
      </c>
      <c r="Z95" s="329">
        <f t="shared" si="3"/>
        <v>0</v>
      </c>
      <c r="AA95" s="32">
        <f t="shared" si="4"/>
        <v>0</v>
      </c>
      <c r="AB95" s="32">
        <f t="shared" si="5"/>
        <v>0</v>
      </c>
      <c r="AC95" s="32">
        <f t="shared" si="6"/>
        <v>0</v>
      </c>
    </row>
    <row r="96" ht="22.5" customHeight="1">
      <c r="A96" s="331" t="str">
        <f>Rooster!A97</f>
        <v/>
      </c>
      <c r="B96" s="396" t="str">
        <f>Rooster!B97</f>
        <v/>
      </c>
      <c r="C96" s="15" t="str">
        <f>Rooster!C97</f>
        <v/>
      </c>
      <c r="D96" s="11" t="str">
        <f>Rooster!D97</f>
        <v/>
      </c>
      <c r="E96" s="77"/>
      <c r="F96" s="327" t="str">
        <f>Rooster!E97</f>
        <v/>
      </c>
      <c r="G96" s="319" t="str">
        <f>IFERROR(VLOOKUP(F96, Docenten!$A$2:$G$30, 7, FALSE), "0")</f>
        <v>0</v>
      </c>
      <c r="H96" s="320">
        <f t="shared" si="7"/>
        <v>0</v>
      </c>
      <c r="I96" s="327" t="str">
        <f>Rooster!H97</f>
        <v/>
      </c>
      <c r="J96" s="321" t="str">
        <f>IFERROR(VLOOKUP(I96, Locaties!$A$2:$G$15, 7, FALSE), "0")</f>
        <v>0</v>
      </c>
      <c r="K96" s="42">
        <f t="shared" si="2"/>
        <v>0</v>
      </c>
      <c r="L96" s="427" t="str">
        <f>December!L96</f>
        <v/>
      </c>
      <c r="M96" s="428" t="str">
        <f>December!M96</f>
        <v/>
      </c>
      <c r="N96" s="321" t="str">
        <f>IFERROR(VLOOKUP(M96, Tarieven!$A$1:$J$150, 10, FALSE), "0")</f>
        <v>0</v>
      </c>
      <c r="O96" s="429" t="str">
        <f>December!O96</f>
        <v/>
      </c>
      <c r="P96" s="430" t="str">
        <f>December!P96</f>
        <v/>
      </c>
      <c r="Q96" s="325" t="str">
        <f>IFERROR(VLOOKUP(P96, Tarieven!$A$2:$J$150, 10, FALSE), "0")</f>
        <v>0</v>
      </c>
      <c r="R96" s="431" t="str">
        <f>December!R96</f>
        <v/>
      </c>
      <c r="S96" s="430" t="str">
        <f>December!S96</f>
        <v/>
      </c>
      <c r="T96" s="325" t="str">
        <f>IFERROR(VLOOKUP(S96, Tarieven!$A$2:$J$150, 10, FALSE), "0")</f>
        <v>0</v>
      </c>
      <c r="U96" s="77" t="str">
        <f>December!U96</f>
        <v/>
      </c>
      <c r="V96" s="327" t="str">
        <f>December!V96</f>
        <v/>
      </c>
      <c r="W96" s="325" t="str">
        <f>IFERROR(VLOOKUP(V96, Tarieven!$A$2:$J$150, 10, FALSE), "0")</f>
        <v>0</v>
      </c>
      <c r="X96" s="138">
        <f>December!X96</f>
        <v>0</v>
      </c>
      <c r="Y96" s="398">
        <v>0.0</v>
      </c>
      <c r="Z96" s="329">
        <f t="shared" si="3"/>
        <v>0</v>
      </c>
      <c r="AA96" s="32">
        <f t="shared" si="4"/>
        <v>0</v>
      </c>
      <c r="AB96" s="32">
        <f t="shared" si="5"/>
        <v>0</v>
      </c>
      <c r="AC96" s="32">
        <f t="shared" si="6"/>
        <v>0</v>
      </c>
    </row>
    <row r="97" ht="22.5" customHeight="1">
      <c r="A97" s="331" t="str">
        <f>Rooster!A98</f>
        <v/>
      </c>
      <c r="B97" s="396" t="str">
        <f>Rooster!B98</f>
        <v/>
      </c>
      <c r="C97" s="15" t="str">
        <f>Rooster!C98</f>
        <v/>
      </c>
      <c r="D97" s="11" t="str">
        <f>Rooster!D98</f>
        <v/>
      </c>
      <c r="E97" s="77"/>
      <c r="F97" s="327" t="str">
        <f>Rooster!E98</f>
        <v/>
      </c>
      <c r="G97" s="319" t="str">
        <f>IFERROR(VLOOKUP(F97, Docenten!$A$2:$G$30, 7, FALSE), "0")</f>
        <v>0</v>
      </c>
      <c r="H97" s="320">
        <f t="shared" si="7"/>
        <v>0</v>
      </c>
      <c r="I97" s="327" t="str">
        <f>Rooster!H98</f>
        <v/>
      </c>
      <c r="J97" s="321" t="str">
        <f>IFERROR(VLOOKUP(I97, Locaties!$A$2:$G$15, 7, FALSE), "0")</f>
        <v>0</v>
      </c>
      <c r="K97" s="42">
        <f t="shared" si="2"/>
        <v>0</v>
      </c>
      <c r="L97" s="427" t="str">
        <f>December!L97</f>
        <v/>
      </c>
      <c r="M97" s="428" t="str">
        <f>December!M97</f>
        <v/>
      </c>
      <c r="N97" s="321" t="str">
        <f>IFERROR(VLOOKUP(M97, Tarieven!$A$1:$J$150, 10, FALSE), "0")</f>
        <v>0</v>
      </c>
      <c r="O97" s="429" t="str">
        <f>December!O97</f>
        <v/>
      </c>
      <c r="P97" s="430" t="str">
        <f>December!P97</f>
        <v/>
      </c>
      <c r="Q97" s="325" t="str">
        <f>IFERROR(VLOOKUP(P97, Tarieven!$A$2:$J$150, 10, FALSE), "0")</f>
        <v>0</v>
      </c>
      <c r="R97" s="431" t="str">
        <f>December!R97</f>
        <v/>
      </c>
      <c r="S97" s="430" t="str">
        <f>December!S97</f>
        <v/>
      </c>
      <c r="T97" s="325" t="str">
        <f>IFERROR(VLOOKUP(S97, Tarieven!$A$2:$J$150, 10, FALSE), "0")</f>
        <v>0</v>
      </c>
      <c r="U97" s="77" t="str">
        <f>December!U97</f>
        <v/>
      </c>
      <c r="V97" s="327" t="str">
        <f>December!V97</f>
        <v/>
      </c>
      <c r="W97" s="325" t="str">
        <f>IFERROR(VLOOKUP(V97, Tarieven!$A$2:$J$150, 10, FALSE), "0")</f>
        <v>0</v>
      </c>
      <c r="X97" s="138">
        <f>December!X97</f>
        <v>0</v>
      </c>
      <c r="Y97" s="398">
        <v>0.0</v>
      </c>
      <c r="Z97" s="329">
        <f t="shared" si="3"/>
        <v>0</v>
      </c>
      <c r="AA97" s="32">
        <f t="shared" si="4"/>
        <v>0</v>
      </c>
      <c r="AB97" s="32">
        <f t="shared" si="5"/>
        <v>0</v>
      </c>
      <c r="AC97" s="32">
        <f t="shared" si="6"/>
        <v>0</v>
      </c>
    </row>
    <row r="98" ht="22.5" customHeight="1">
      <c r="A98" s="331" t="str">
        <f>Rooster!A99</f>
        <v/>
      </c>
      <c r="B98" s="396" t="str">
        <f>Rooster!B99</f>
        <v/>
      </c>
      <c r="C98" s="15" t="str">
        <f>Rooster!C99</f>
        <v/>
      </c>
      <c r="D98" s="11" t="str">
        <f>Rooster!D99</f>
        <v/>
      </c>
      <c r="E98" s="77"/>
      <c r="F98" s="327" t="str">
        <f>Rooster!E99</f>
        <v/>
      </c>
      <c r="G98" s="319" t="str">
        <f>IFERROR(VLOOKUP(F98, Docenten!$A$2:$G$30, 7, FALSE), "0")</f>
        <v>0</v>
      </c>
      <c r="H98" s="320">
        <f t="shared" si="7"/>
        <v>0</v>
      </c>
      <c r="I98" s="327" t="str">
        <f>Rooster!H99</f>
        <v/>
      </c>
      <c r="J98" s="321" t="str">
        <f>IFERROR(VLOOKUP(I98, Locaties!$A$2:$G$15, 7, FALSE), "0")</f>
        <v>0</v>
      </c>
      <c r="K98" s="42">
        <f t="shared" si="2"/>
        <v>0</v>
      </c>
      <c r="L98" s="427" t="str">
        <f>December!L98</f>
        <v/>
      </c>
      <c r="M98" s="428" t="str">
        <f>December!M98</f>
        <v/>
      </c>
      <c r="N98" s="321" t="str">
        <f>IFERROR(VLOOKUP(M98, Tarieven!$A$1:$J$150, 10, FALSE), "0")</f>
        <v>0</v>
      </c>
      <c r="O98" s="429" t="str">
        <f>December!O98</f>
        <v/>
      </c>
      <c r="P98" s="430" t="str">
        <f>December!P98</f>
        <v/>
      </c>
      <c r="Q98" s="325" t="str">
        <f>IFERROR(VLOOKUP(P98, Tarieven!$A$2:$J$150, 10, FALSE), "0")</f>
        <v>0</v>
      </c>
      <c r="R98" s="431" t="str">
        <f>December!R98</f>
        <v/>
      </c>
      <c r="S98" s="430" t="str">
        <f>December!S98</f>
        <v/>
      </c>
      <c r="T98" s="325" t="str">
        <f>IFERROR(VLOOKUP(S98, Tarieven!$A$2:$J$150, 10, FALSE), "0")</f>
        <v>0</v>
      </c>
      <c r="U98" s="77" t="str">
        <f>December!U98</f>
        <v/>
      </c>
      <c r="V98" s="327" t="str">
        <f>December!V98</f>
        <v/>
      </c>
      <c r="W98" s="325" t="str">
        <f>IFERROR(VLOOKUP(V98, Tarieven!$A$2:$J$150, 10, FALSE), "0")</f>
        <v>0</v>
      </c>
      <c r="X98" s="138">
        <f>December!X98</f>
        <v>0</v>
      </c>
      <c r="Y98" s="398">
        <v>0.0</v>
      </c>
      <c r="Z98" s="329">
        <f t="shared" si="3"/>
        <v>0</v>
      </c>
      <c r="AA98" s="32">
        <f t="shared" si="4"/>
        <v>0</v>
      </c>
      <c r="AB98" s="32">
        <f t="shared" si="5"/>
        <v>0</v>
      </c>
      <c r="AC98" s="32">
        <f t="shared" si="6"/>
        <v>0</v>
      </c>
    </row>
    <row r="99" ht="22.5" customHeight="1">
      <c r="A99" s="331" t="str">
        <f>Rooster!A100</f>
        <v/>
      </c>
      <c r="B99" s="396" t="str">
        <f>Rooster!B100</f>
        <v/>
      </c>
      <c r="C99" s="15" t="str">
        <f>Rooster!C100</f>
        <v/>
      </c>
      <c r="D99" s="11" t="str">
        <f>Rooster!D100</f>
        <v/>
      </c>
      <c r="E99" s="77"/>
      <c r="F99" s="327" t="str">
        <f>Rooster!E100</f>
        <v/>
      </c>
      <c r="G99" s="319" t="str">
        <f>IFERROR(VLOOKUP(F99, Docenten!$A$2:$G$30, 7, FALSE), "0")</f>
        <v>0</v>
      </c>
      <c r="H99" s="320">
        <f t="shared" si="7"/>
        <v>0</v>
      </c>
      <c r="I99" s="327" t="str">
        <f>Rooster!H100</f>
        <v/>
      </c>
      <c r="J99" s="321" t="str">
        <f>IFERROR(VLOOKUP(I99, Locaties!$A$2:$G$15, 7, FALSE), "0")</f>
        <v>0</v>
      </c>
      <c r="K99" s="42">
        <f t="shared" si="2"/>
        <v>0</v>
      </c>
      <c r="L99" s="427" t="str">
        <f>December!L99</f>
        <v/>
      </c>
      <c r="M99" s="428" t="str">
        <f>December!M99</f>
        <v/>
      </c>
      <c r="N99" s="321" t="str">
        <f>IFERROR(VLOOKUP(M99, Tarieven!$A$1:$J$150, 10, FALSE), "0")</f>
        <v>0</v>
      </c>
      <c r="O99" s="429" t="str">
        <f>December!O99</f>
        <v/>
      </c>
      <c r="P99" s="430" t="str">
        <f>December!P99</f>
        <v/>
      </c>
      <c r="Q99" s="325" t="str">
        <f>IFERROR(VLOOKUP(P99, Tarieven!$A$2:$J$150, 10, FALSE), "0")</f>
        <v>0</v>
      </c>
      <c r="R99" s="431" t="str">
        <f>December!R99</f>
        <v/>
      </c>
      <c r="S99" s="430" t="str">
        <f>December!S99</f>
        <v/>
      </c>
      <c r="T99" s="325" t="str">
        <f>IFERROR(VLOOKUP(S99, Tarieven!$A$2:$J$150, 10, FALSE), "0")</f>
        <v>0</v>
      </c>
      <c r="U99" s="77" t="str">
        <f>December!U99</f>
        <v/>
      </c>
      <c r="V99" s="327" t="str">
        <f>December!V99</f>
        <v/>
      </c>
      <c r="W99" s="325" t="str">
        <f>IFERROR(VLOOKUP(V99, Tarieven!$A$2:$J$150, 10, FALSE), "0")</f>
        <v>0</v>
      </c>
      <c r="X99" s="138">
        <f>December!X99</f>
        <v>0</v>
      </c>
      <c r="Y99" s="398">
        <v>0.0</v>
      </c>
      <c r="Z99" s="329">
        <f t="shared" si="3"/>
        <v>0</v>
      </c>
      <c r="AA99" s="32">
        <f t="shared" si="4"/>
        <v>0</v>
      </c>
      <c r="AB99" s="32">
        <f t="shared" si="5"/>
        <v>0</v>
      </c>
      <c r="AC99" s="32">
        <f t="shared" si="6"/>
        <v>0</v>
      </c>
    </row>
    <row r="100" ht="22.5" customHeight="1">
      <c r="A100" s="331" t="str">
        <f>Rooster!A101</f>
        <v/>
      </c>
      <c r="B100" s="396" t="str">
        <f>Rooster!B101</f>
        <v/>
      </c>
      <c r="C100" s="15" t="str">
        <f>Rooster!C101</f>
        <v/>
      </c>
      <c r="D100" s="11" t="str">
        <f>Rooster!D101</f>
        <v/>
      </c>
      <c r="E100" s="77"/>
      <c r="F100" s="327" t="str">
        <f>Rooster!E101</f>
        <v/>
      </c>
      <c r="G100" s="319" t="str">
        <f>IFERROR(VLOOKUP(F100, Docenten!$A$2:$G$30, 7, FALSE), "0")</f>
        <v>0</v>
      </c>
      <c r="H100" s="320">
        <f t="shared" si="7"/>
        <v>0</v>
      </c>
      <c r="I100" s="327" t="str">
        <f>Rooster!H101</f>
        <v/>
      </c>
      <c r="J100" s="321" t="str">
        <f>IFERROR(VLOOKUP(I100, Locaties!$A$2:$G$15, 7, FALSE), "0")</f>
        <v>0</v>
      </c>
      <c r="K100" s="42">
        <f t="shared" si="2"/>
        <v>0</v>
      </c>
      <c r="L100" s="427" t="str">
        <f>December!L100</f>
        <v/>
      </c>
      <c r="M100" s="428" t="str">
        <f>December!M100</f>
        <v/>
      </c>
      <c r="N100" s="321" t="str">
        <f>IFERROR(VLOOKUP(M100, Tarieven!$A$1:$J$150, 10, FALSE), "0")</f>
        <v>0</v>
      </c>
      <c r="O100" s="429" t="str">
        <f>December!O100</f>
        <v/>
      </c>
      <c r="P100" s="430" t="str">
        <f>December!P100</f>
        <v/>
      </c>
      <c r="Q100" s="325" t="str">
        <f>IFERROR(VLOOKUP(P100, Tarieven!$A$2:$J$150, 10, FALSE), "0")</f>
        <v>0</v>
      </c>
      <c r="R100" s="431" t="str">
        <f>December!R100</f>
        <v/>
      </c>
      <c r="S100" s="430" t="str">
        <f>December!S100</f>
        <v/>
      </c>
      <c r="T100" s="325" t="str">
        <f>IFERROR(VLOOKUP(S100, Tarieven!$A$2:$J$150, 10, FALSE), "0")</f>
        <v>0</v>
      </c>
      <c r="U100" s="77" t="str">
        <f>December!U100</f>
        <v/>
      </c>
      <c r="V100" s="327" t="str">
        <f>December!V100</f>
        <v/>
      </c>
      <c r="W100" s="325" t="str">
        <f>IFERROR(VLOOKUP(V100, Tarieven!$A$2:$J$150, 10, FALSE), "0")</f>
        <v>0</v>
      </c>
      <c r="X100" s="138">
        <f>December!X100</f>
        <v>0</v>
      </c>
      <c r="Y100" s="398">
        <v>0.0</v>
      </c>
      <c r="Z100" s="329">
        <f t="shared" si="3"/>
        <v>0</v>
      </c>
      <c r="AA100" s="32">
        <f t="shared" si="4"/>
        <v>0</v>
      </c>
      <c r="AB100" s="32">
        <f t="shared" si="5"/>
        <v>0</v>
      </c>
      <c r="AC100" s="32">
        <f t="shared" si="6"/>
        <v>0</v>
      </c>
    </row>
    <row r="101" ht="22.5" customHeight="1">
      <c r="A101" s="331" t="str">
        <f>Rooster!A102</f>
        <v/>
      </c>
      <c r="B101" s="396" t="str">
        <f>Rooster!B102</f>
        <v/>
      </c>
      <c r="C101" s="15" t="str">
        <f>Rooster!C102</f>
        <v/>
      </c>
      <c r="D101" s="11" t="str">
        <f>Rooster!D102</f>
        <v/>
      </c>
      <c r="E101" s="426"/>
      <c r="F101" s="331" t="str">
        <f>Rooster!E102</f>
        <v/>
      </c>
      <c r="G101" s="319" t="str">
        <f>IFERROR(VLOOKUP(F101, Docenten!$A$2:$G$30, 7, FALSE), "0")</f>
        <v>0</v>
      </c>
      <c r="H101" s="320">
        <f t="shared" si="7"/>
        <v>0</v>
      </c>
      <c r="I101" s="331" t="str">
        <f>Rooster!H102</f>
        <v/>
      </c>
      <c r="J101" s="321" t="str">
        <f>IFERROR(VLOOKUP(I101, Locaties!$A$2:$G$15, 7, FALSE), "0")</f>
        <v>0</v>
      </c>
      <c r="K101" s="42">
        <f t="shared" si="2"/>
        <v>0</v>
      </c>
      <c r="L101" s="450">
        <f>SUM(L2:L100)</f>
        <v>133</v>
      </c>
      <c r="M101" s="451"/>
      <c r="N101" s="321" t="str">
        <f>IFERROR(VLOOKUP(M101, Tarieven!$A$1:$J$150, 10, FALSE), "0")</f>
        <v>0</v>
      </c>
      <c r="O101" s="450">
        <f>SUM(O2:O100)</f>
        <v>66</v>
      </c>
      <c r="P101" s="451"/>
      <c r="Q101" s="325" t="str">
        <f>IFERROR(VLOOKUP(P101, Tarieven!$A$2:$J$150, 10, FALSE), "0")</f>
        <v>0</v>
      </c>
      <c r="R101" s="452">
        <f>SUM(R2:R100)</f>
        <v>24</v>
      </c>
      <c r="S101" s="451"/>
      <c r="T101" s="325" t="str">
        <f>IFERROR(VLOOKUP(S101, Tarieven!$A$2:$J$150, 10, FALSE), "0")</f>
        <v>0</v>
      </c>
      <c r="U101" s="413">
        <f>SUM(U2:U100)</f>
        <v>16</v>
      </c>
      <c r="V101" s="85"/>
      <c r="W101" s="325" t="str">
        <f>IFERROR(VLOOKUP(V101, Tarieven!$A$2:$J$150, 10, FALSE), "0")</f>
        <v>0</v>
      </c>
      <c r="X101" s="413">
        <f>SUM(X2:X100)</f>
        <v>220</v>
      </c>
      <c r="Y101" s="398">
        <v>0.0</v>
      </c>
      <c r="Z101" s="329">
        <f>SUM(Z2:Z100)</f>
        <v>459</v>
      </c>
      <c r="AA101" s="32">
        <f t="shared" si="4"/>
        <v>0</v>
      </c>
      <c r="AB101" s="32">
        <f t="shared" si="5"/>
        <v>0</v>
      </c>
      <c r="AC101" s="32">
        <f t="shared" si="6"/>
        <v>0</v>
      </c>
    </row>
  </sheetData>
  <conditionalFormatting sqref="AG7">
    <cfRule type="cellIs" dxfId="7" priority="1" operator="lessThan">
      <formula>0</formula>
    </cfRule>
  </conditionalFormatting>
  <conditionalFormatting sqref="AC2:AC101">
    <cfRule type="cellIs" dxfId="7" priority="2" operator="lessThan">
      <formula>0</formula>
    </cfRule>
  </conditionalFormatting>
  <dataValidations>
    <dataValidation type="list" allowBlank="1" sqref="A2:A101">
      <formula1>"Maandag,Dinsdag,Woensdag,Donderdag,Vrijdag,Zaterdag,Zondag"</formula1>
    </dataValidation>
    <dataValidation type="custom" allowBlank="1" showDropDown="1" sqref="B2:B101">
      <formula1>OR(TIMEVALUE(TEXT(B2, "hh:mm:ss"))=B2, AND(ISNUMBER(B2), LEFT(CELL("format", B2))="D"))</formula1>
    </dataValidation>
    <dataValidation type="custom" allowBlank="1" showDropDown="1" sqref="L2:L101 N2:N101 AA2:AB101">
      <formula1>AND(ISNUMBER(L2),(NOT(OR(NOT(ISERROR(DATEVALUE(L2))), AND(ISNUMBER(L2), LEFT(CELL("format", L2))="D")))))</formula1>
    </dataValidation>
    <dataValidation type="list" allowBlank="1" sqref="F2:F101 I2:I101 M2:M101 P2:P101 S2:S101 V2:V101">
      <formula1>#REF!</formula1>
    </dataValidation>
    <dataValidation allowBlank="1" showDropDown="1" sqref="D2:D101"/>
    <dataValidation type="custom" allowBlank="1" showDropDown="1" sqref="C2:C101 E2:E101 G2:H101 J2:K101 O2:O101 Q2:R101 T2:U101 W2:Z101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5.33"/>
    <col customWidth="1" min="2" max="2" width="13.67"/>
    <col customWidth="1" min="3" max="3" width="14.22"/>
    <col customWidth="1" min="4" max="4" width="22.0"/>
    <col customWidth="1" min="5" max="5" width="18.44"/>
    <col customWidth="1" min="6" max="6" width="15.11"/>
    <col customWidth="1" hidden="1" min="7" max="7" width="15.11"/>
    <col customWidth="1" min="8" max="8" width="16.22"/>
    <col customWidth="1" min="9" max="9" width="15.11"/>
    <col customWidth="1" hidden="1" min="10" max="10" width="15.44"/>
    <col customWidth="1" min="11" max="11" width="15.44"/>
    <col customWidth="1" min="12" max="12" width="17.56"/>
    <col customWidth="1" min="13" max="13" width="20.0"/>
    <col customWidth="1" min="14" max="14" width="16.78"/>
    <col customWidth="1" min="15" max="15" width="17.56"/>
    <col customWidth="1" min="16" max="16" width="20.0"/>
    <col customWidth="1" min="17" max="17" width="14.78"/>
    <col customWidth="1" min="18" max="18" width="17.56"/>
    <col customWidth="1" min="19" max="19" width="20.0"/>
    <col customWidth="1" min="20" max="20" width="13.78"/>
    <col customWidth="1" min="21" max="21" width="16.67"/>
    <col customWidth="1" min="22" max="22" width="18.56"/>
    <col customWidth="1" min="23" max="23" width="13.78"/>
    <col customWidth="1" min="24" max="24" width="23.11"/>
    <col customWidth="1" min="25" max="25" width="20.56"/>
    <col customWidth="1" min="26" max="26" width="18.0"/>
    <col customWidth="1" min="27" max="27" width="16.33"/>
    <col customWidth="1" min="28" max="28" width="19.22"/>
    <col customWidth="1" min="29" max="30" width="16.89"/>
    <col customWidth="1" min="31" max="31" width="16.78"/>
    <col customWidth="1" min="32" max="32" width="16.89"/>
    <col customWidth="1" min="33" max="34" width="17.0"/>
  </cols>
  <sheetData>
    <row r="1" ht="22.5" customHeight="1">
      <c r="A1" s="1" t="s">
        <v>94</v>
      </c>
      <c r="B1" s="1" t="s">
        <v>95</v>
      </c>
      <c r="C1" s="1" t="s">
        <v>273</v>
      </c>
      <c r="D1" s="1" t="s">
        <v>98</v>
      </c>
      <c r="E1" s="302" t="s">
        <v>274</v>
      </c>
      <c r="F1" s="302" t="s">
        <v>99</v>
      </c>
      <c r="G1" s="303" t="s">
        <v>100</v>
      </c>
      <c r="H1" s="303" t="s">
        <v>275</v>
      </c>
      <c r="I1" s="304" t="s">
        <v>102</v>
      </c>
      <c r="J1" s="304" t="s">
        <v>103</v>
      </c>
      <c r="K1" s="304" t="s">
        <v>104</v>
      </c>
      <c r="L1" s="422" t="s">
        <v>276</v>
      </c>
      <c r="M1" s="422" t="s">
        <v>298</v>
      </c>
      <c r="N1" s="306" t="s">
        <v>278</v>
      </c>
      <c r="O1" s="423" t="s">
        <v>279</v>
      </c>
      <c r="P1" s="392" t="s">
        <v>300</v>
      </c>
      <c r="Q1" s="308" t="s">
        <v>281</v>
      </c>
      <c r="R1" s="424" t="s">
        <v>282</v>
      </c>
      <c r="S1" s="424" t="s">
        <v>302</v>
      </c>
      <c r="T1" s="310" t="s">
        <v>284</v>
      </c>
      <c r="U1" s="393" t="s">
        <v>285</v>
      </c>
      <c r="V1" s="393" t="s">
        <v>304</v>
      </c>
      <c r="W1" s="311" t="s">
        <v>305</v>
      </c>
      <c r="X1" s="394" t="s">
        <v>306</v>
      </c>
      <c r="Y1" s="395" t="s">
        <v>307</v>
      </c>
      <c r="Z1" s="314" t="s">
        <v>294</v>
      </c>
      <c r="AA1" s="314" t="s">
        <v>295</v>
      </c>
      <c r="AB1" s="1" t="s">
        <v>308</v>
      </c>
      <c r="AC1" s="1" t="s">
        <v>297</v>
      </c>
    </row>
    <row r="2" ht="22.5" customHeight="1">
      <c r="A2" s="331" t="str">
        <f>Rooster!A3</f>
        <v/>
      </c>
      <c r="B2" s="396" t="str">
        <f>Rooster!B3</f>
        <v/>
      </c>
      <c r="C2" s="15" t="str">
        <f>Rooster!C3</f>
        <v/>
      </c>
      <c r="D2" s="11" t="str">
        <f>Rooster!D3</f>
        <v/>
      </c>
      <c r="E2" s="77"/>
      <c r="F2" s="327" t="str">
        <f>Rooster!E3</f>
        <v/>
      </c>
      <c r="G2" s="319" t="str">
        <f>IFERROR(VLOOKUP(F2, Docenten!$A$2:$G$30, 7, FALSE), "0")</f>
        <v>0</v>
      </c>
      <c r="H2" s="320">
        <f t="shared" ref="H2:H42" si="1">SUM(G2/60)*C2</f>
        <v>0</v>
      </c>
      <c r="I2" s="327" t="str">
        <f>Rooster!H3</f>
        <v/>
      </c>
      <c r="J2" s="321" t="str">
        <f>IFERROR(VLOOKUP(I2, Locaties!$A$2:$G$15, 7, FALSE), "0")</f>
        <v>0</v>
      </c>
      <c r="K2" s="42">
        <f t="shared" ref="K2:K101" si="2">SUM(J2/60)*C2</f>
        <v>0</v>
      </c>
      <c r="L2" s="429" t="str">
        <f>Januari!L2</f>
        <v/>
      </c>
      <c r="M2" s="430" t="str">
        <f>Januari!M2</f>
        <v/>
      </c>
      <c r="N2" s="321" t="str">
        <f>IFERROR(VLOOKUP(M2, Tarieven!$A$1:$J$150, 10, FALSE), "0")</f>
        <v>0</v>
      </c>
      <c r="O2" s="437"/>
      <c r="P2" s="438"/>
      <c r="Q2" s="325" t="str">
        <f>IFERROR(VLOOKUP(P2, Tarieven!$A$2:$J$150, 10, FALSE), "0")</f>
        <v>0</v>
      </c>
      <c r="R2" s="431" t="str">
        <f>Januari!R2</f>
        <v/>
      </c>
      <c r="S2" s="430" t="str">
        <f>Januari!S2</f>
        <v/>
      </c>
      <c r="T2" s="325" t="str">
        <f>IFERROR(VLOOKUP(S2, Tarieven!$A$2:$J$150, 10, FALSE), "0")</f>
        <v>0</v>
      </c>
      <c r="U2" s="77" t="str">
        <f>Januari!U2</f>
        <v/>
      </c>
      <c r="V2" s="327" t="str">
        <f>Januari!V2</f>
        <v/>
      </c>
      <c r="W2" s="325" t="str">
        <f>IFERROR(VLOOKUP(V2, Tarieven!$A$2:$J$150, 10, FALSE), "0")</f>
        <v>0</v>
      </c>
      <c r="X2" s="138">
        <f>Januari!X2</f>
        <v>0</v>
      </c>
      <c r="Y2" s="398">
        <v>0.0</v>
      </c>
      <c r="Z2" s="329">
        <f t="shared" ref="Z2:Z100" si="3">SUM(L2+O2+R2+U2+X2)</f>
        <v>0</v>
      </c>
      <c r="AA2" s="32">
        <f t="shared" ref="AA2:AA101" si="4">SUM(H2+K2)*E2</f>
        <v>0</v>
      </c>
      <c r="AB2" s="32">
        <f t="shared" ref="AB2:AB101" si="5">SUM((L2*N2)+(O2*Q2)+(R2*T2)+(U2*W2)+Y2)</f>
        <v>0</v>
      </c>
      <c r="AC2" s="32">
        <f t="shared" ref="AC2:AC101" si="6">SUM(AB2-AA2)</f>
        <v>0</v>
      </c>
      <c r="AE2" s="154" t="s">
        <v>309</v>
      </c>
      <c r="AF2" s="154" t="s">
        <v>310</v>
      </c>
      <c r="AG2" s="109" t="s">
        <v>311</v>
      </c>
    </row>
    <row r="3" ht="22.5" customHeight="1">
      <c r="A3" s="331" t="str">
        <f>Rooster!A4</f>
        <v/>
      </c>
      <c r="B3" s="396" t="str">
        <f>Rooster!B4</f>
        <v/>
      </c>
      <c r="C3" s="15" t="str">
        <f>Rooster!C4</f>
        <v/>
      </c>
      <c r="D3" s="11" t="str">
        <f>Rooster!D4</f>
        <v/>
      </c>
      <c r="E3" s="77"/>
      <c r="F3" s="327" t="str">
        <f>Rooster!E4</f>
        <v/>
      </c>
      <c r="G3" s="319" t="str">
        <f>IFERROR(VLOOKUP(F3, Docenten!$A$2:$G$30, 7, FALSE), "0")</f>
        <v>0</v>
      </c>
      <c r="H3" s="320">
        <f t="shared" si="1"/>
        <v>0</v>
      </c>
      <c r="I3" s="327" t="str">
        <f>Rooster!H4</f>
        <v/>
      </c>
      <c r="J3" s="321" t="str">
        <f>IFERROR(VLOOKUP(I3, Locaties!$A$2:$G$15, 7, FALSE), "0")</f>
        <v>0</v>
      </c>
      <c r="K3" s="42">
        <f t="shared" si="2"/>
        <v>0</v>
      </c>
      <c r="L3" s="429" t="str">
        <f>Januari!L3</f>
        <v/>
      </c>
      <c r="M3" s="430" t="str">
        <f>Januari!M3</f>
        <v/>
      </c>
      <c r="N3" s="321" t="str">
        <f>IFERROR(VLOOKUP(M3, Tarieven!$A$1:$J$150, 10, FALSE), "0")</f>
        <v>0</v>
      </c>
      <c r="O3" s="429" t="str">
        <f>Januari!O3</f>
        <v/>
      </c>
      <c r="P3" s="430" t="str">
        <f>Januari!P3</f>
        <v/>
      </c>
      <c r="Q3" s="325" t="str">
        <f>IFERROR(VLOOKUP(P3, Tarieven!$A$2:$J$150, 10, FALSE), "0")</f>
        <v>0</v>
      </c>
      <c r="R3" s="431" t="str">
        <f>Januari!R3</f>
        <v/>
      </c>
      <c r="S3" s="430" t="str">
        <f>Januari!S3</f>
        <v/>
      </c>
      <c r="T3" s="325" t="str">
        <f>IFERROR(VLOOKUP(S3, Tarieven!$A$2:$J$150, 10, FALSE), "0")</f>
        <v>0</v>
      </c>
      <c r="U3" s="77" t="str">
        <f>Januari!U3</f>
        <v/>
      </c>
      <c r="V3" s="327" t="str">
        <f>Januari!V3</f>
        <v/>
      </c>
      <c r="W3" s="325" t="str">
        <f>IFERROR(VLOOKUP(V3, Tarieven!$A$2:$J$150, 10, FALSE), "0")</f>
        <v>0</v>
      </c>
      <c r="X3" s="138">
        <f>Januari!X3</f>
        <v>0</v>
      </c>
      <c r="Y3" s="398">
        <v>0.0</v>
      </c>
      <c r="Z3" s="329">
        <f t="shared" si="3"/>
        <v>0</v>
      </c>
      <c r="AA3" s="32">
        <f t="shared" si="4"/>
        <v>0</v>
      </c>
      <c r="AB3" s="32">
        <f t="shared" si="5"/>
        <v>0</v>
      </c>
      <c r="AC3" s="32">
        <f t="shared" si="6"/>
        <v>0</v>
      </c>
      <c r="AD3" s="130"/>
      <c r="AE3" s="159" t="s">
        <v>312</v>
      </c>
      <c r="AF3" s="32">
        <f>SUM(AB2:AB101)</f>
        <v>8280.420333</v>
      </c>
      <c r="AG3" s="160"/>
    </row>
    <row r="4" ht="22.5" customHeight="1">
      <c r="A4" s="331" t="str">
        <f>Rooster!A5</f>
        <v>Maandag</v>
      </c>
      <c r="B4" s="396">
        <f>Rooster!B5</f>
        <v>0.625</v>
      </c>
      <c r="C4" s="15">
        <f>Rooster!C5</f>
        <v>60</v>
      </c>
      <c r="D4" s="11" t="str">
        <f>Rooster!D5</f>
        <v>Kleuterdans</v>
      </c>
      <c r="E4" s="77"/>
      <c r="F4" s="327"/>
      <c r="G4" s="319" t="str">
        <f>IFERROR(VLOOKUP(F4, Docenten!$A$2:$G$30, 7, FALSE), "0")</f>
        <v>0</v>
      </c>
      <c r="H4" s="320">
        <f t="shared" si="1"/>
        <v>0</v>
      </c>
      <c r="I4" s="327"/>
      <c r="J4" s="321" t="str">
        <f>IFERROR(VLOOKUP(I4, Locaties!$A$2:$G$15, 7, FALSE), "0")</f>
        <v>0</v>
      </c>
      <c r="K4" s="42">
        <f t="shared" si="2"/>
        <v>0</v>
      </c>
      <c r="L4" s="429" t="str">
        <f>Januari!L4</f>
        <v/>
      </c>
      <c r="M4" s="430" t="str">
        <f>Januari!M4</f>
        <v/>
      </c>
      <c r="N4" s="321" t="str">
        <f>IFERROR(VLOOKUP(M4, Tarieven!$A$1:$J$150, 10, FALSE), "0")</f>
        <v>0</v>
      </c>
      <c r="O4" s="429" t="str">
        <f>Januari!O4</f>
        <v/>
      </c>
      <c r="P4" s="430" t="str">
        <f>Januari!P4</f>
        <v/>
      </c>
      <c r="Q4" s="325" t="str">
        <f>IFERROR(VLOOKUP(P4, Tarieven!$A$2:$J$150, 10, FALSE), "0")</f>
        <v>0</v>
      </c>
      <c r="R4" s="431" t="str">
        <f>Januari!R4</f>
        <v/>
      </c>
      <c r="S4" s="430" t="str">
        <f>Januari!S4</f>
        <v/>
      </c>
      <c r="T4" s="325" t="str">
        <f>IFERROR(VLOOKUP(S4, Tarieven!$A$2:$J$150, 10, FALSE), "0")</f>
        <v>0</v>
      </c>
      <c r="U4" s="77" t="str">
        <f>Januari!U4</f>
        <v/>
      </c>
      <c r="V4" s="327" t="str">
        <f>Januari!V4</f>
        <v/>
      </c>
      <c r="W4" s="325" t="str">
        <f>IFERROR(VLOOKUP(V4, Tarieven!$A$2:$J$150, 10, FALSE), "0")</f>
        <v>0</v>
      </c>
      <c r="X4" s="138">
        <f>Januari!X4</f>
        <v>0</v>
      </c>
      <c r="Y4" s="398">
        <v>0.0</v>
      </c>
      <c r="Z4" s="329">
        <f t="shared" si="3"/>
        <v>0</v>
      </c>
      <c r="AA4" s="32">
        <f t="shared" si="4"/>
        <v>0</v>
      </c>
      <c r="AB4" s="32">
        <f t="shared" si="5"/>
        <v>0</v>
      </c>
      <c r="AC4" s="32">
        <f t="shared" si="6"/>
        <v>0</v>
      </c>
      <c r="AD4" s="130"/>
      <c r="AE4" s="159" t="s">
        <v>313</v>
      </c>
      <c r="AF4" s="32">
        <f>'Extra activiteiten'!K8</f>
        <v>220</v>
      </c>
      <c r="AG4" s="159"/>
    </row>
    <row r="5" ht="22.5" customHeight="1">
      <c r="A5" s="17" t="s">
        <v>112</v>
      </c>
      <c r="B5" s="396">
        <v>0.625</v>
      </c>
      <c r="C5" s="15">
        <v>60.0</v>
      </c>
      <c r="D5" s="11" t="s">
        <v>130</v>
      </c>
      <c r="E5" s="77">
        <v>0.0</v>
      </c>
      <c r="F5" s="70"/>
      <c r="G5" s="319" t="str">
        <f>IFERROR(VLOOKUP(F5, Docenten!$A$2:$G$30, 7, FALSE), "0")</f>
        <v>0</v>
      </c>
      <c r="H5" s="320">
        <f t="shared" si="1"/>
        <v>0</v>
      </c>
      <c r="I5" s="327" t="str">
        <f>Rooster!H6</f>
        <v>Santpoort Zuid</v>
      </c>
      <c r="J5" s="321"/>
      <c r="K5" s="42">
        <f t="shared" si="2"/>
        <v>0</v>
      </c>
      <c r="L5" s="429" t="str">
        <f>Januari!L5</f>
        <v/>
      </c>
      <c r="M5" s="430" t="str">
        <f>Januari!M5</f>
        <v/>
      </c>
      <c r="N5" s="321" t="str">
        <f>IFERROR(VLOOKUP(M5, Tarieven!$A$1:$J$150, 10, FALSE), "0")</f>
        <v>0</v>
      </c>
      <c r="O5" s="429" t="str">
        <f>Januari!O5</f>
        <v/>
      </c>
      <c r="P5" s="430" t="str">
        <f>Januari!P5</f>
        <v/>
      </c>
      <c r="Q5" s="325" t="str">
        <f>IFERROR(VLOOKUP(P5, Tarieven!$A$2:$J$150, 10, FALSE), "0")</f>
        <v>0</v>
      </c>
      <c r="R5" s="431" t="str">
        <f>Januari!R5</f>
        <v/>
      </c>
      <c r="S5" s="430" t="str">
        <f>Januari!S5</f>
        <v/>
      </c>
      <c r="T5" s="325" t="str">
        <f>IFERROR(VLOOKUP(S5, Tarieven!$A$2:$J$150, 10, FALSE), "0")</f>
        <v>0</v>
      </c>
      <c r="U5" s="77" t="str">
        <f>Januari!U5</f>
        <v/>
      </c>
      <c r="V5" s="327" t="str">
        <f>Januari!V5</f>
        <v/>
      </c>
      <c r="W5" s="325" t="str">
        <f>IFERROR(VLOOKUP(V5, Tarieven!$A$2:$J$150, 10, FALSE), "0")</f>
        <v>0</v>
      </c>
      <c r="X5" s="138">
        <f>Januari!X5</f>
        <v>0</v>
      </c>
      <c r="Y5" s="398">
        <v>0.0</v>
      </c>
      <c r="Z5" s="329">
        <f t="shared" si="3"/>
        <v>0</v>
      </c>
      <c r="AA5" s="32">
        <f t="shared" si="4"/>
        <v>0</v>
      </c>
      <c r="AB5" s="32">
        <f t="shared" si="5"/>
        <v>0</v>
      </c>
      <c r="AC5" s="32">
        <f t="shared" si="6"/>
        <v>0</v>
      </c>
      <c r="AE5" s="159"/>
      <c r="AF5" s="32">
        <f>SUM(Februari[Kosten per maand])</f>
        <v>3399.45</v>
      </c>
      <c r="AG5" s="159"/>
    </row>
    <row r="6" ht="22.5" customHeight="1">
      <c r="A6" s="331" t="str">
        <f>Rooster!A7</f>
        <v>Maandag</v>
      </c>
      <c r="B6" s="396">
        <f>Rooster!B7</f>
        <v>0.6666666667</v>
      </c>
      <c r="C6" s="15">
        <f>Rooster!C7</f>
        <v>60</v>
      </c>
      <c r="D6" s="11" t="str">
        <f>Rooster!D7</f>
        <v>Urban-Pop-Show 10+</v>
      </c>
      <c r="E6" s="77">
        <v>3.0</v>
      </c>
      <c r="F6" s="70" t="s">
        <v>318</v>
      </c>
      <c r="G6" s="319" t="str">
        <f>IFERROR(VLOOKUP(F6, Docenten!$A$2:$G$30, 7, FALSE), "0")</f>
        <v>0</v>
      </c>
      <c r="H6" s="320">
        <f t="shared" si="1"/>
        <v>0</v>
      </c>
      <c r="I6" s="327" t="str">
        <f>Rooster!H7</f>
        <v>Santpoort Zuid</v>
      </c>
      <c r="J6" s="321">
        <f>IFERROR(VLOOKUP(I6, Locaties!$A$2:$G$15, 7, FALSE), "0")</f>
        <v>18.9</v>
      </c>
      <c r="K6" s="42">
        <f t="shared" si="2"/>
        <v>18.9</v>
      </c>
      <c r="L6" s="437">
        <v>7.0</v>
      </c>
      <c r="M6" s="430" t="str">
        <f>Januari!M6</f>
        <v>1x per week abbo</v>
      </c>
      <c r="N6" s="321">
        <f>IFERROR(VLOOKUP(M6, Tarieven!$A$1:$J$150, 10, FALSE), "0")</f>
        <v>31</v>
      </c>
      <c r="O6" s="429">
        <f>Januari!O6</f>
        <v>1</v>
      </c>
      <c r="P6" s="430" t="str">
        <f>Januari!P6</f>
        <v>Cheer regulier +1 abbo</v>
      </c>
      <c r="Q6" s="325">
        <f>IFERROR(VLOOKUP(P6, Tarieven!$A$2:$J$150, 10, FALSE), "0")</f>
        <v>32.25</v>
      </c>
      <c r="R6" s="431">
        <f>Januari!R6</f>
        <v>1</v>
      </c>
      <c r="S6" s="430" t="str">
        <f>Januari!S6</f>
        <v>2x per week abbo</v>
      </c>
      <c r="T6" s="325">
        <f>IFERROR(VLOOKUP(S6, Tarieven!$A$2:$J$150, 10, FALSE), "0")</f>
        <v>28.55</v>
      </c>
      <c r="U6" s="77">
        <v>1.0</v>
      </c>
      <c r="V6" s="70" t="s">
        <v>157</v>
      </c>
      <c r="W6" s="325">
        <f>IFERROR(VLOOKUP(V6, Tarieven!$A$2:$J$150, 10, FALSE), "0")</f>
        <v>44.45</v>
      </c>
      <c r="X6" s="138">
        <f>Januari!X6</f>
        <v>4</v>
      </c>
      <c r="Y6" s="398">
        <v>0.0</v>
      </c>
      <c r="Z6" s="329">
        <f t="shared" si="3"/>
        <v>14</v>
      </c>
      <c r="AA6" s="32">
        <f t="shared" si="4"/>
        <v>56.7</v>
      </c>
      <c r="AB6" s="32">
        <f t="shared" si="5"/>
        <v>322.25</v>
      </c>
      <c r="AC6" s="32">
        <f t="shared" si="6"/>
        <v>265.55</v>
      </c>
      <c r="AD6" s="130"/>
      <c r="AE6" s="159" t="s">
        <v>315</v>
      </c>
      <c r="AF6" s="408">
        <f>Kosten!H69</f>
        <v>4298.07</v>
      </c>
      <c r="AG6" s="159" t="s">
        <v>316</v>
      </c>
    </row>
    <row r="7" ht="22.5" customHeight="1">
      <c r="A7" s="331" t="str">
        <f>Rooster!A8</f>
        <v>Maandag</v>
      </c>
      <c r="B7" s="396">
        <f>Rooster!B8</f>
        <v>0.7083333333</v>
      </c>
      <c r="C7" s="15">
        <f>Rooster!C8</f>
        <v>60</v>
      </c>
      <c r="D7" s="11" t="str">
        <f>Rooster!D8</f>
        <v>Urban-Pop-Show 12+</v>
      </c>
      <c r="E7" s="77">
        <v>3.0</v>
      </c>
      <c r="F7" s="327" t="str">
        <f>Rooster!E8</f>
        <v>Nova</v>
      </c>
      <c r="G7" s="319">
        <f>IFERROR(VLOOKUP(F7, Docenten!$A$2:$G$30, 7, FALSE), "0")</f>
        <v>22.5</v>
      </c>
      <c r="H7" s="320">
        <f t="shared" si="1"/>
        <v>22.5</v>
      </c>
      <c r="I7" s="327" t="str">
        <f>Rooster!H8</f>
        <v>Santpoort Zuid</v>
      </c>
      <c r="J7" s="321">
        <f>IFERROR(VLOOKUP(I7, Locaties!$A$2:$G$15, 7, FALSE), "0")</f>
        <v>18.9</v>
      </c>
      <c r="K7" s="42">
        <f t="shared" si="2"/>
        <v>18.9</v>
      </c>
      <c r="L7" s="429">
        <f>Januari!L7</f>
        <v>3</v>
      </c>
      <c r="M7" s="430" t="str">
        <f>Januari!M7</f>
        <v>2x per week abbo</v>
      </c>
      <c r="N7" s="321">
        <f>IFERROR(VLOOKUP(M7, Tarieven!$A$1:$J$150, 10, FALSE), "0")</f>
        <v>28.55</v>
      </c>
      <c r="O7" s="429">
        <f>Januari!O7</f>
        <v>1</v>
      </c>
      <c r="P7" s="430" t="str">
        <f>Januari!P7</f>
        <v>1x per week </v>
      </c>
      <c r="Q7" s="325">
        <f>IFERROR(VLOOKUP(P7, Tarieven!$A$2:$J$150, 10, FALSE), "0")</f>
        <v>279</v>
      </c>
      <c r="R7" s="431">
        <f>Januari!R7</f>
        <v>1</v>
      </c>
      <c r="S7" s="430" t="str">
        <f>Januari!S7</f>
        <v>Cheer regulier +1 abbo</v>
      </c>
      <c r="T7" s="325">
        <f>IFERROR(VLOOKUP(S7, Tarieven!$A$2:$J$150, 10, FALSE), "0")</f>
        <v>32.25</v>
      </c>
      <c r="U7" s="77"/>
      <c r="V7" s="327"/>
      <c r="W7" s="325" t="str">
        <f>IFERROR(VLOOKUP(V7, Tarieven!$A$2:$J$150, 10, FALSE), "0")</f>
        <v>0</v>
      </c>
      <c r="X7" s="138">
        <f>Januari!X7</f>
        <v>11</v>
      </c>
      <c r="Y7" s="398">
        <v>0.0</v>
      </c>
      <c r="Z7" s="329">
        <f t="shared" si="3"/>
        <v>16</v>
      </c>
      <c r="AA7" s="32">
        <f t="shared" si="4"/>
        <v>124.2</v>
      </c>
      <c r="AB7" s="32">
        <f t="shared" si="5"/>
        <v>396.9</v>
      </c>
      <c r="AC7" s="32">
        <f t="shared" si="6"/>
        <v>272.7</v>
      </c>
      <c r="AD7" s="409"/>
      <c r="AE7" s="410" t="s">
        <v>317</v>
      </c>
      <c r="AF7" s="411">
        <f>SUM(AF3+AF4)-AF5-AF6</f>
        <v>802.9003333</v>
      </c>
      <c r="AG7" s="412">
        <f>'Doel vs Werkelijkheid'!B2</f>
        <v>3000</v>
      </c>
    </row>
    <row r="8" ht="22.5" customHeight="1">
      <c r="A8" s="331" t="str">
        <f>Rooster!A9</f>
        <v>Maandag</v>
      </c>
      <c r="B8" s="396">
        <f>Rooster!B9</f>
        <v>0.75</v>
      </c>
      <c r="C8" s="15">
        <f>Rooster!C9</f>
        <v>60</v>
      </c>
      <c r="D8" s="11" t="str">
        <f>Rooster!D9</f>
        <v>Selectie Show</v>
      </c>
      <c r="E8" s="77">
        <v>3.0</v>
      </c>
      <c r="F8" s="327" t="str">
        <f>Rooster!E9</f>
        <v>Nova</v>
      </c>
      <c r="G8" s="319">
        <f>IFERROR(VLOOKUP(F8, Docenten!$A$2:$G$30, 7, FALSE), "0")</f>
        <v>22.5</v>
      </c>
      <c r="H8" s="320">
        <f t="shared" si="1"/>
        <v>22.5</v>
      </c>
      <c r="I8" s="327" t="str">
        <f>Rooster!H9</f>
        <v>Santpoort Zuid</v>
      </c>
      <c r="J8" s="321">
        <f>IFERROR(VLOOKUP(I8, Locaties!$A$2:$G$15, 7, FALSE), "0")</f>
        <v>18.9</v>
      </c>
      <c r="K8" s="42">
        <f t="shared" si="2"/>
        <v>18.9</v>
      </c>
      <c r="L8" s="429" t="str">
        <f>Januari!L8</f>
        <v/>
      </c>
      <c r="M8" s="430" t="str">
        <f>Januari!M8</f>
        <v/>
      </c>
      <c r="N8" s="321" t="str">
        <f>IFERROR(VLOOKUP(M8, Tarieven!$A$1:$J$150, 10, FALSE), "0")</f>
        <v>0</v>
      </c>
      <c r="O8" s="429">
        <f>Januari!O8</f>
        <v>3</v>
      </c>
      <c r="P8" s="430" t="str">
        <f>Januari!P8</f>
        <v>2x per week abbo</v>
      </c>
      <c r="Q8" s="325">
        <f>IFERROR(VLOOKUP(P8, Tarieven!$A$2:$J$150, 10, FALSE), "0")</f>
        <v>28.55</v>
      </c>
      <c r="R8" s="431">
        <f>Januari!R8</f>
        <v>2</v>
      </c>
      <c r="S8" s="430" t="str">
        <f>Januari!S8</f>
        <v>3x per week abbo</v>
      </c>
      <c r="T8" s="325">
        <f>IFERROR(VLOOKUP(S8, Tarieven!$A$2:$J$150, 10, FALSE), "0")</f>
        <v>28.93333333</v>
      </c>
      <c r="U8" s="77">
        <f>Januari!U8</f>
        <v>3</v>
      </c>
      <c r="V8" s="327" t="str">
        <f>Januari!V8</f>
        <v>Onbeperkt abbo</v>
      </c>
      <c r="W8" s="325">
        <f>IFERROR(VLOOKUP(V8, Tarieven!$A$2:$J$150, 10, FALSE), "0")</f>
        <v>27</v>
      </c>
      <c r="X8" s="138">
        <f>Januari!X8</f>
        <v>4</v>
      </c>
      <c r="Y8" s="398">
        <v>0.0</v>
      </c>
      <c r="Z8" s="329">
        <f t="shared" si="3"/>
        <v>12</v>
      </c>
      <c r="AA8" s="32">
        <f t="shared" si="4"/>
        <v>124.2</v>
      </c>
      <c r="AB8" s="32">
        <f t="shared" si="5"/>
        <v>224.5166667</v>
      </c>
      <c r="AC8" s="32">
        <f t="shared" si="6"/>
        <v>100.3166667</v>
      </c>
      <c r="AE8" s="160"/>
      <c r="AF8" s="160"/>
      <c r="AG8" s="160"/>
    </row>
    <row r="9" ht="22.5" customHeight="1">
      <c r="A9" s="331" t="str">
        <f>Rooster!A10</f>
        <v>Maandag</v>
      </c>
      <c r="B9" s="396">
        <f>Rooster!B10</f>
        <v>0.7916666667</v>
      </c>
      <c r="C9" s="15">
        <f>Rooster!C10</f>
        <v>60</v>
      </c>
      <c r="D9" s="11" t="str">
        <f>Rooster!D10</f>
        <v>Commercial 16+</v>
      </c>
      <c r="E9" s="77">
        <v>3.0</v>
      </c>
      <c r="F9" s="327" t="str">
        <f>Rooster!E10</f>
        <v>Nova</v>
      </c>
      <c r="G9" s="319">
        <f>IFERROR(VLOOKUP(F9, Docenten!$A$2:$G$30, 7, FALSE), "0")</f>
        <v>22.5</v>
      </c>
      <c r="H9" s="320">
        <f t="shared" si="1"/>
        <v>22.5</v>
      </c>
      <c r="I9" s="327" t="str">
        <f>Rooster!H10</f>
        <v>Santpoort Zuid</v>
      </c>
      <c r="J9" s="321">
        <f>IFERROR(VLOOKUP(I9, Locaties!$A$2:$G$15, 7, FALSE), "0")</f>
        <v>18.9</v>
      </c>
      <c r="K9" s="42">
        <f t="shared" si="2"/>
        <v>18.9</v>
      </c>
      <c r="L9" s="429">
        <f>Januari!L9</f>
        <v>2</v>
      </c>
      <c r="M9" s="430" t="str">
        <f>Januari!M9</f>
        <v>3x per week abbo</v>
      </c>
      <c r="N9" s="321">
        <f>IFERROR(VLOOKUP(M9, Tarieven!$A$1:$J$150, 10, FALSE), "0")</f>
        <v>28.93333333</v>
      </c>
      <c r="O9" s="429">
        <f>Januari!O9</f>
        <v>3</v>
      </c>
      <c r="P9" s="430" t="str">
        <f>Januari!P9</f>
        <v>2x per week abbo</v>
      </c>
      <c r="Q9" s="325">
        <f>IFERROR(VLOOKUP(P9, Tarieven!$A$2:$J$150, 10, FALSE), "0")</f>
        <v>28.55</v>
      </c>
      <c r="R9" s="431">
        <f>Januari!R9</f>
        <v>2</v>
      </c>
      <c r="S9" s="430" t="str">
        <f>Januari!S9</f>
        <v>Onbeperkt abbo</v>
      </c>
      <c r="T9" s="325">
        <f>IFERROR(VLOOKUP(S9, Tarieven!$A$2:$J$150, 10, FALSE), "0")</f>
        <v>27</v>
      </c>
      <c r="U9" s="77">
        <f>Januari!U9</f>
        <v>2</v>
      </c>
      <c r="V9" s="327" t="str">
        <f>Januari!V9</f>
        <v>1x per week abbo</v>
      </c>
      <c r="W9" s="325">
        <f>IFERROR(VLOOKUP(V9, Tarieven!$A$2:$J$150, 10, FALSE), "0")</f>
        <v>31</v>
      </c>
      <c r="X9" s="138">
        <f>Januari!X9</f>
        <v>5</v>
      </c>
      <c r="Y9" s="398">
        <v>0.0</v>
      </c>
      <c r="Z9" s="329">
        <f t="shared" si="3"/>
        <v>14</v>
      </c>
      <c r="AA9" s="32">
        <f t="shared" si="4"/>
        <v>124.2</v>
      </c>
      <c r="AB9" s="32">
        <f t="shared" si="5"/>
        <v>259.5166667</v>
      </c>
      <c r="AC9" s="32">
        <f t="shared" si="6"/>
        <v>135.3166667</v>
      </c>
      <c r="AE9" s="159" t="s">
        <v>19</v>
      </c>
      <c r="AF9" s="413">
        <f>Z101</f>
        <v>465</v>
      </c>
      <c r="AG9" s="160"/>
    </row>
    <row r="10" ht="22.5" customHeight="1">
      <c r="A10" s="331" t="str">
        <f>Rooster!A11</f>
        <v>Maandag</v>
      </c>
      <c r="B10" s="396">
        <f>Rooster!B11</f>
        <v>0.8333333333</v>
      </c>
      <c r="C10" s="15">
        <f>Rooster!C11</f>
        <v>60</v>
      </c>
      <c r="D10" s="11" t="str">
        <f>Rooster!D11</f>
        <v>Commercial 20+</v>
      </c>
      <c r="E10" s="77">
        <v>3.0</v>
      </c>
      <c r="F10" s="327" t="str">
        <f>Rooster!E11</f>
        <v>Nova</v>
      </c>
      <c r="G10" s="319">
        <f>IFERROR(VLOOKUP(F10, Docenten!$A$2:$G$30, 7, FALSE), "0")</f>
        <v>22.5</v>
      </c>
      <c r="H10" s="320">
        <f t="shared" si="1"/>
        <v>22.5</v>
      </c>
      <c r="I10" s="327" t="str">
        <f>Rooster!H11</f>
        <v>Santpoort Zuid</v>
      </c>
      <c r="J10" s="321">
        <f>IFERROR(VLOOKUP(I10, Locaties!$A$2:$G$15, 7, FALSE), "0")</f>
        <v>18.9</v>
      </c>
      <c r="K10" s="42">
        <f t="shared" si="2"/>
        <v>18.9</v>
      </c>
      <c r="L10" s="429">
        <f>Januari!L10</f>
        <v>5</v>
      </c>
      <c r="M10" s="430" t="str">
        <f>Januari!M10</f>
        <v>Volwassenen 2x abbo</v>
      </c>
      <c r="N10" s="321">
        <f>IFERROR(VLOOKUP(M10, Tarieven!$A$1:$J$150, 10, FALSE), "0")</f>
        <v>27.255</v>
      </c>
      <c r="O10" s="429">
        <f>Januari!O10</f>
        <v>2</v>
      </c>
      <c r="P10" s="430" t="str">
        <f>Januari!P10</f>
        <v>Volwassenen 1x abbo</v>
      </c>
      <c r="Q10" s="325">
        <f>IFERROR(VLOOKUP(P10, Tarieven!$A$2:$J$150, 10, FALSE), "0")</f>
        <v>25.596</v>
      </c>
      <c r="R10" s="431" t="str">
        <f>Januari!R10</f>
        <v/>
      </c>
      <c r="S10" s="430" t="str">
        <f>Januari!S10</f>
        <v/>
      </c>
      <c r="T10" s="325" t="str">
        <f>IFERROR(VLOOKUP(S10, Tarieven!$A$2:$J$150, 10, FALSE), "0")</f>
        <v>0</v>
      </c>
      <c r="U10" s="77" t="str">
        <f>Januari!U10</f>
        <v/>
      </c>
      <c r="V10" s="327" t="str">
        <f>Januari!V10</f>
        <v/>
      </c>
      <c r="W10" s="325" t="str">
        <f>IFERROR(VLOOKUP(V10, Tarieven!$A$2:$J$150, 10, FALSE), "0")</f>
        <v>0</v>
      </c>
      <c r="X10" s="138">
        <f>Januari!X10</f>
        <v>8</v>
      </c>
      <c r="Y10" s="398">
        <v>0.0</v>
      </c>
      <c r="Z10" s="329">
        <f t="shared" si="3"/>
        <v>15</v>
      </c>
      <c r="AA10" s="32">
        <f t="shared" si="4"/>
        <v>124.2</v>
      </c>
      <c r="AB10" s="32">
        <f t="shared" si="5"/>
        <v>187.467</v>
      </c>
      <c r="AC10" s="32">
        <f t="shared" si="6"/>
        <v>63.267</v>
      </c>
      <c r="AE10" s="330"/>
      <c r="AF10" s="330"/>
    </row>
    <row r="11" ht="22.5" customHeight="1">
      <c r="A11" s="331" t="str">
        <f>Rooster!A12</f>
        <v>Maandag</v>
      </c>
      <c r="B11" s="396">
        <f>Rooster!B12</f>
        <v>0.875</v>
      </c>
      <c r="C11" s="15">
        <f>Rooster!C12</f>
        <v>60</v>
      </c>
      <c r="D11" s="11" t="str">
        <f>Rooster!D12</f>
        <v>Jazz 20+</v>
      </c>
      <c r="E11" s="77">
        <v>3.0</v>
      </c>
      <c r="F11" s="327" t="str">
        <f>Rooster!E12</f>
        <v>Nova</v>
      </c>
      <c r="G11" s="319">
        <f>IFERROR(VLOOKUP(F11, Docenten!$A$2:$G$30, 7, FALSE), "0")</f>
        <v>22.5</v>
      </c>
      <c r="H11" s="320">
        <f t="shared" si="1"/>
        <v>22.5</v>
      </c>
      <c r="I11" s="327" t="str">
        <f>Rooster!H12</f>
        <v>Santpoort Zuid</v>
      </c>
      <c r="J11" s="321">
        <f>IFERROR(VLOOKUP(I11, Locaties!$A$2:$G$15, 7, FALSE), "0")</f>
        <v>18.9</v>
      </c>
      <c r="K11" s="42">
        <f t="shared" si="2"/>
        <v>18.9</v>
      </c>
      <c r="L11" s="429">
        <f>Januari!L11</f>
        <v>4</v>
      </c>
      <c r="M11" s="430" t="str">
        <f>Januari!M11</f>
        <v>Volwassenen 2x abbo</v>
      </c>
      <c r="N11" s="321">
        <f>IFERROR(VLOOKUP(M11, Tarieven!$A$1:$J$150, 10, FALSE), "0")</f>
        <v>27.255</v>
      </c>
      <c r="O11" s="437">
        <v>1.0</v>
      </c>
      <c r="P11" s="438" t="s">
        <v>107</v>
      </c>
      <c r="Q11" s="432">
        <v>140.0</v>
      </c>
      <c r="R11" s="431" t="str">
        <f>Januari!R11</f>
        <v/>
      </c>
      <c r="S11" s="430" t="str">
        <f>Januari!S11</f>
        <v/>
      </c>
      <c r="T11" s="325" t="str">
        <f>IFERROR(VLOOKUP(S11, Tarieven!$A$2:$J$150, 10, FALSE), "0")</f>
        <v>0</v>
      </c>
      <c r="U11" s="77" t="str">
        <f>Januari!U11</f>
        <v/>
      </c>
      <c r="V11" s="327" t="str">
        <f>Januari!V11</f>
        <v/>
      </c>
      <c r="W11" s="325" t="str">
        <f>IFERROR(VLOOKUP(V11, Tarieven!$A$2:$J$150, 10, FALSE), "0")</f>
        <v>0</v>
      </c>
      <c r="X11" s="138">
        <f>Januari!X11</f>
        <v>4</v>
      </c>
      <c r="Y11" s="398">
        <v>0.0</v>
      </c>
      <c r="Z11" s="329">
        <f t="shared" si="3"/>
        <v>9</v>
      </c>
      <c r="AA11" s="32">
        <f t="shared" si="4"/>
        <v>124.2</v>
      </c>
      <c r="AB11" s="32">
        <f t="shared" si="5"/>
        <v>249.02</v>
      </c>
      <c r="AC11" s="32">
        <f t="shared" si="6"/>
        <v>124.82</v>
      </c>
      <c r="AE11" s="330"/>
      <c r="AF11" s="330"/>
    </row>
    <row r="12" ht="22.5" customHeight="1">
      <c r="A12" s="331" t="str">
        <f>Rooster!A13</f>
        <v>Maandag</v>
      </c>
      <c r="B12" s="396">
        <f>Rooster!B13</f>
        <v>0.6666666667</v>
      </c>
      <c r="C12" s="15">
        <f>Rooster!C13</f>
        <v>60</v>
      </c>
      <c r="D12" s="11" t="str">
        <f>Rooster!D13</f>
        <v>Streetdance 6+</v>
      </c>
      <c r="E12" s="77">
        <v>3.0</v>
      </c>
      <c r="F12" s="327" t="str">
        <f>Rooster!E13</f>
        <v>Julia</v>
      </c>
      <c r="G12" s="319">
        <f>IFERROR(VLOOKUP(F12, Docenten!$A$2:$G$30, 7, FALSE), "0")</f>
        <v>15</v>
      </c>
      <c r="H12" s="320">
        <f t="shared" si="1"/>
        <v>15</v>
      </c>
      <c r="I12" s="327" t="str">
        <f>Rooster!H13</f>
        <v>Santpoort Noord</v>
      </c>
      <c r="J12" s="321">
        <f>IFERROR(VLOOKUP(I12, Locaties!$A$2:$G$15, 7, FALSE), "0")</f>
        <v>14.2</v>
      </c>
      <c r="K12" s="42">
        <f t="shared" si="2"/>
        <v>14.2</v>
      </c>
      <c r="L12" s="429">
        <f>Januari!L12</f>
        <v>2</v>
      </c>
      <c r="M12" s="430" t="str">
        <f>Januari!M12</f>
        <v>2x per week abbo</v>
      </c>
      <c r="N12" s="321">
        <f>IFERROR(VLOOKUP(M12, Tarieven!$A$1:$J$150, 10, FALSE), "0")</f>
        <v>28.55</v>
      </c>
      <c r="O12" s="429">
        <f>Januari!O12</f>
        <v>8</v>
      </c>
      <c r="P12" s="430" t="str">
        <f>Januari!P12</f>
        <v>1x per week abbo</v>
      </c>
      <c r="Q12" s="325">
        <f>IFERROR(VLOOKUP(P12, Tarieven!$A$2:$J$150, 10, FALSE), "0")</f>
        <v>31</v>
      </c>
      <c r="R12" s="431"/>
      <c r="S12" s="430"/>
      <c r="T12" s="325" t="str">
        <f>IFERROR(VLOOKUP(S12, Tarieven!$A$2:$J$150, 10, FALSE), "0")</f>
        <v>0</v>
      </c>
      <c r="U12" s="77" t="str">
        <f>Januari!U12</f>
        <v/>
      </c>
      <c r="V12" s="327" t="str">
        <f>Januari!V12</f>
        <v/>
      </c>
      <c r="W12" s="325" t="str">
        <f>IFERROR(VLOOKUP(V12, Tarieven!$A$2:$J$150, 10, FALSE), "0")</f>
        <v>0</v>
      </c>
      <c r="X12" s="138">
        <f>Januari!X12</f>
        <v>2</v>
      </c>
      <c r="Y12" s="398">
        <v>0.0</v>
      </c>
      <c r="Z12" s="329">
        <f t="shared" si="3"/>
        <v>12</v>
      </c>
      <c r="AA12" s="32">
        <f t="shared" si="4"/>
        <v>87.6</v>
      </c>
      <c r="AB12" s="32">
        <f t="shared" si="5"/>
        <v>305.1</v>
      </c>
      <c r="AC12" s="32">
        <f t="shared" si="6"/>
        <v>217.5</v>
      </c>
      <c r="AE12" s="330"/>
      <c r="AF12" s="330"/>
    </row>
    <row r="13" ht="22.5" customHeight="1">
      <c r="A13" s="331" t="str">
        <f>Rooster!A14</f>
        <v>Maandag</v>
      </c>
      <c r="B13" s="396">
        <f>Rooster!B14</f>
        <v>0.7083333333</v>
      </c>
      <c r="C13" s="15">
        <f>Rooster!C14</f>
        <v>60</v>
      </c>
      <c r="D13" s="11" t="str">
        <f>Rooster!D14</f>
        <v>Streetdance 8+</v>
      </c>
      <c r="E13" s="77">
        <v>3.0</v>
      </c>
      <c r="F13" s="327" t="str">
        <f>Rooster!E14</f>
        <v>Julia</v>
      </c>
      <c r="G13" s="319">
        <f>IFERROR(VLOOKUP(F13, Docenten!$A$2:$G$30, 7, FALSE), "0")</f>
        <v>15</v>
      </c>
      <c r="H13" s="320">
        <f t="shared" si="1"/>
        <v>15</v>
      </c>
      <c r="I13" s="327" t="str">
        <f>Rooster!H14</f>
        <v>Santpoort Noord</v>
      </c>
      <c r="J13" s="321">
        <f>IFERROR(VLOOKUP(I13, Locaties!$A$2:$G$15, 7, FALSE), "0")</f>
        <v>14.2</v>
      </c>
      <c r="K13" s="42">
        <f t="shared" si="2"/>
        <v>14.2</v>
      </c>
      <c r="L13" s="429">
        <f>Januari!L13</f>
        <v>1</v>
      </c>
      <c r="M13" s="430" t="str">
        <f>Januari!M13</f>
        <v>1x per week abbo</v>
      </c>
      <c r="N13" s="321">
        <f>IFERROR(VLOOKUP(M13, Tarieven!$A$1:$J$150, 10, FALSE), "0")</f>
        <v>31</v>
      </c>
      <c r="O13" s="429">
        <f>Januari!O13</f>
        <v>5</v>
      </c>
      <c r="P13" s="430" t="str">
        <f>Januari!P13</f>
        <v>2x per week abbo</v>
      </c>
      <c r="Q13" s="325">
        <f>IFERROR(VLOOKUP(P13, Tarieven!$A$2:$J$150, 10, FALSE), "0")</f>
        <v>28.55</v>
      </c>
      <c r="R13" s="441">
        <v>1.0</v>
      </c>
      <c r="S13" s="438" t="s">
        <v>46</v>
      </c>
      <c r="T13" s="432">
        <v>140.0</v>
      </c>
      <c r="U13" s="77" t="str">
        <f>Januari!U13</f>
        <v/>
      </c>
      <c r="V13" s="327" t="str">
        <f>Januari!V13</f>
        <v/>
      </c>
      <c r="W13" s="325" t="str">
        <f>IFERROR(VLOOKUP(V13, Tarieven!$A$2:$J$150, 10, FALSE), "0")</f>
        <v>0</v>
      </c>
      <c r="X13" s="138">
        <f>Januari!X13</f>
        <v>13</v>
      </c>
      <c r="Y13" s="398">
        <v>0.0</v>
      </c>
      <c r="Z13" s="329">
        <f t="shared" si="3"/>
        <v>20</v>
      </c>
      <c r="AA13" s="32">
        <f t="shared" si="4"/>
        <v>87.6</v>
      </c>
      <c r="AB13" s="32">
        <f t="shared" si="5"/>
        <v>313.75</v>
      </c>
      <c r="AC13" s="32">
        <f t="shared" si="6"/>
        <v>226.15</v>
      </c>
      <c r="AE13" s="330"/>
      <c r="AF13" s="330"/>
    </row>
    <row r="14" ht="22.5" customHeight="1">
      <c r="A14" s="331" t="str">
        <f>Rooster!A15</f>
        <v>Dinsdag</v>
      </c>
      <c r="B14" s="396">
        <f>Rooster!B15</f>
        <v>0.6666666667</v>
      </c>
      <c r="C14" s="15">
        <f>Rooster!C15</f>
        <v>60</v>
      </c>
      <c r="D14" s="11" t="str">
        <f>Rooster!D15</f>
        <v>Modern 8+</v>
      </c>
      <c r="E14" s="77">
        <v>3.0</v>
      </c>
      <c r="F14" s="327" t="str">
        <f>Rooster!E15</f>
        <v>Eigenaar</v>
      </c>
      <c r="G14" s="319">
        <f>IFERROR(VLOOKUP(F14, Docenten!$A$2:$G$30, 7, FALSE), "0")</f>
        <v>0</v>
      </c>
      <c r="H14" s="320">
        <f t="shared" si="1"/>
        <v>0</v>
      </c>
      <c r="I14" s="327" t="str">
        <f>Rooster!H15</f>
        <v>Santpoort Zuid</v>
      </c>
      <c r="J14" s="321">
        <f>IFERROR(VLOOKUP(I14, Locaties!$A$2:$G$15, 7, FALSE), "0")</f>
        <v>18.9</v>
      </c>
      <c r="K14" s="42">
        <f t="shared" si="2"/>
        <v>18.9</v>
      </c>
      <c r="L14" s="429">
        <f>Januari!L14</f>
        <v>5</v>
      </c>
      <c r="M14" s="430" t="str">
        <f>Januari!M14</f>
        <v>2x per week abbo</v>
      </c>
      <c r="N14" s="321">
        <f>IFERROR(VLOOKUP(M14, Tarieven!$A$1:$J$150, 10, FALSE), "0")</f>
        <v>28.55</v>
      </c>
      <c r="O14" s="429">
        <f>Januari!O14</f>
        <v>1</v>
      </c>
      <c r="P14" s="430" t="str">
        <f>Januari!P14</f>
        <v>1x per week abbo</v>
      </c>
      <c r="Q14" s="325">
        <f>IFERROR(VLOOKUP(P14, Tarieven!$A$2:$J$150, 10, FALSE), "0")</f>
        <v>31</v>
      </c>
      <c r="R14" s="431">
        <f>Januari!R14</f>
        <v>2</v>
      </c>
      <c r="S14" s="430" t="str">
        <f>Januari!S14</f>
        <v>Cheer regulier + onbeperkt abbo</v>
      </c>
      <c r="T14" s="325">
        <f>IFERROR(VLOOKUP(S14, Tarieven!$A$2:$J$150, 10, FALSE), "0")</f>
        <v>44.45</v>
      </c>
      <c r="U14" s="77">
        <f>Januari!U14</f>
        <v>1</v>
      </c>
      <c r="V14" s="327" t="str">
        <f>Januari!V14</f>
        <v>Cheer regulier +1 abbo</v>
      </c>
      <c r="W14" s="325">
        <f>IFERROR(VLOOKUP(V14, Tarieven!$A$2:$J$150, 10, FALSE), "0")</f>
        <v>32.25</v>
      </c>
      <c r="X14" s="138">
        <f>Januari!X14</f>
        <v>8</v>
      </c>
      <c r="Y14" s="398">
        <v>0.0</v>
      </c>
      <c r="Z14" s="329">
        <f t="shared" si="3"/>
        <v>17</v>
      </c>
      <c r="AA14" s="32">
        <f t="shared" si="4"/>
        <v>56.7</v>
      </c>
      <c r="AB14" s="32">
        <f t="shared" si="5"/>
        <v>294.9</v>
      </c>
      <c r="AC14" s="32">
        <f t="shared" si="6"/>
        <v>238.2</v>
      </c>
    </row>
    <row r="15" ht="22.5" customHeight="1">
      <c r="A15" s="331" t="str">
        <f>Rooster!A16</f>
        <v>Dinsdag</v>
      </c>
      <c r="B15" s="396">
        <f>Rooster!B16</f>
        <v>0.7083333333</v>
      </c>
      <c r="C15" s="15">
        <f>Rooster!C16</f>
        <v>60</v>
      </c>
      <c r="D15" s="11" t="str">
        <f>Rooster!D16</f>
        <v>Selectie show 8+</v>
      </c>
      <c r="E15" s="77">
        <v>3.0</v>
      </c>
      <c r="F15" s="327" t="str">
        <f>Rooster!E16</f>
        <v>Eigenaar</v>
      </c>
      <c r="G15" s="319">
        <f>IFERROR(VLOOKUP(F15, Docenten!$A$2:$G$30, 7, FALSE), "0")</f>
        <v>0</v>
      </c>
      <c r="H15" s="320">
        <f t="shared" si="1"/>
        <v>0</v>
      </c>
      <c r="I15" s="327" t="str">
        <f>Rooster!H16</f>
        <v>Santpoort Zuid</v>
      </c>
      <c r="J15" s="321">
        <f>IFERROR(VLOOKUP(I15, Locaties!$A$2:$G$15, 7, FALSE), "0")</f>
        <v>18.9</v>
      </c>
      <c r="K15" s="42">
        <f t="shared" si="2"/>
        <v>18.9</v>
      </c>
      <c r="L15" s="429">
        <f>Januari!L15</f>
        <v>2</v>
      </c>
      <c r="M15" s="430" t="str">
        <f>Januari!M15</f>
        <v>Cheer regulier + onbeperkt abbo</v>
      </c>
      <c r="N15" s="321">
        <f>IFERROR(VLOOKUP(M15, Tarieven!$A$1:$J$150, 10, FALSE), "0")</f>
        <v>44.45</v>
      </c>
      <c r="O15" s="429">
        <f>Januari!O15</f>
        <v>2</v>
      </c>
      <c r="P15" s="430" t="str">
        <f>Januari!P15</f>
        <v>2x per week abbo</v>
      </c>
      <c r="Q15" s="325">
        <f>IFERROR(VLOOKUP(P15, Tarieven!$A$2:$J$150, 10, FALSE), "0")</f>
        <v>28.55</v>
      </c>
      <c r="R15" s="431" t="str">
        <f>Januari!R15</f>
        <v/>
      </c>
      <c r="S15" s="430" t="str">
        <f>Januari!S15</f>
        <v/>
      </c>
      <c r="T15" s="325" t="str">
        <f>IFERROR(VLOOKUP(S15, Tarieven!$A$2:$J$150, 10, FALSE), "0")</f>
        <v>0</v>
      </c>
      <c r="U15" s="77">
        <f>Januari!U15</f>
        <v>1</v>
      </c>
      <c r="V15" s="327" t="str">
        <f>Januari!V15</f>
        <v>Cheer regulier +2 abbo</v>
      </c>
      <c r="W15" s="325">
        <f>IFERROR(VLOOKUP(V15, Tarieven!$A$2:$J$150, 10, FALSE), "0")</f>
        <v>29.03333333</v>
      </c>
      <c r="X15" s="138">
        <f>Januari!X15</f>
        <v>7</v>
      </c>
      <c r="Y15" s="398">
        <v>0.0</v>
      </c>
      <c r="Z15" s="329">
        <f t="shared" si="3"/>
        <v>12</v>
      </c>
      <c r="AA15" s="32">
        <f t="shared" si="4"/>
        <v>56.7</v>
      </c>
      <c r="AB15" s="32">
        <f t="shared" si="5"/>
        <v>175.0333333</v>
      </c>
      <c r="AC15" s="32">
        <f t="shared" si="6"/>
        <v>118.3333333</v>
      </c>
    </row>
    <row r="16" ht="22.5" customHeight="1">
      <c r="A16" s="331" t="str">
        <f>Rooster!A17</f>
        <v>Dinsdag</v>
      </c>
      <c r="B16" s="396">
        <f>Rooster!B17</f>
        <v>0.75</v>
      </c>
      <c r="C16" s="15">
        <f>Rooster!C17</f>
        <v>90</v>
      </c>
      <c r="D16" s="11" t="str">
        <f>Rooster!D17</f>
        <v>Selectie Cheer</v>
      </c>
      <c r="E16" s="77">
        <v>3.0</v>
      </c>
      <c r="F16" s="327" t="str">
        <f>Rooster!E17</f>
        <v>Eigenaar</v>
      </c>
      <c r="G16" s="319">
        <f>IFERROR(VLOOKUP(F16, Docenten!$A$2:$G$30, 7, FALSE), "0")</f>
        <v>0</v>
      </c>
      <c r="H16" s="320">
        <f t="shared" si="1"/>
        <v>0</v>
      </c>
      <c r="I16" s="327" t="str">
        <f>Rooster!H17</f>
        <v>Santpoort Zuid</v>
      </c>
      <c r="J16" s="321">
        <f>IFERROR(VLOOKUP(I16, Locaties!$A$2:$G$15, 7, FALSE), "0")</f>
        <v>18.9</v>
      </c>
      <c r="K16" s="42">
        <f t="shared" si="2"/>
        <v>28.35</v>
      </c>
      <c r="L16" s="429">
        <f>Januari!L16</f>
        <v>2</v>
      </c>
      <c r="M16" s="430" t="str">
        <f>Januari!M16</f>
        <v>Cheer selectie +2 abbo</v>
      </c>
      <c r="N16" s="321">
        <f>IFERROR(VLOOKUP(M16, Tarieven!$A$1:$J$150, 10, FALSE), "0")</f>
        <v>31.53333333</v>
      </c>
      <c r="O16" s="429">
        <f>Januari!O16</f>
        <v>1</v>
      </c>
      <c r="P16" s="430" t="str">
        <f>Januari!P16</f>
        <v>Cheer selectie +1 abbo</v>
      </c>
      <c r="Q16" s="325">
        <f>IFERROR(VLOOKUP(P16, Tarieven!$A$2:$J$150, 10, FALSE), "0")</f>
        <v>34.25</v>
      </c>
      <c r="R16" s="431" t="str">
        <f>Januari!R16</f>
        <v/>
      </c>
      <c r="S16" s="430" t="str">
        <f>Januari!S16</f>
        <v/>
      </c>
      <c r="T16" s="325" t="str">
        <f>IFERROR(VLOOKUP(S16, Tarieven!$A$2:$J$150, 10, FALSE), "0")</f>
        <v>0</v>
      </c>
      <c r="U16" s="77" t="str">
        <f>Januari!U16</f>
        <v/>
      </c>
      <c r="V16" s="327" t="str">
        <f>Januari!V16</f>
        <v/>
      </c>
      <c r="W16" s="325" t="str">
        <f>IFERROR(VLOOKUP(V16, Tarieven!$A$2:$J$150, 10, FALSE), "0")</f>
        <v>0</v>
      </c>
      <c r="X16" s="138">
        <f>Januari!X16</f>
        <v>8</v>
      </c>
      <c r="Y16" s="398">
        <v>0.0</v>
      </c>
      <c r="Z16" s="329">
        <f t="shared" si="3"/>
        <v>11</v>
      </c>
      <c r="AA16" s="32">
        <f t="shared" si="4"/>
        <v>85.05</v>
      </c>
      <c r="AB16" s="32">
        <f t="shared" si="5"/>
        <v>97.31666667</v>
      </c>
      <c r="AC16" s="32">
        <f t="shared" si="6"/>
        <v>12.26666667</v>
      </c>
    </row>
    <row r="17" ht="22.5" customHeight="1">
      <c r="A17" s="331" t="str">
        <f>Rooster!A18</f>
        <v>Dinsdag</v>
      </c>
      <c r="B17" s="396">
        <f>Rooster!B18</f>
        <v>0.8125</v>
      </c>
      <c r="C17" s="15">
        <f>Rooster!C18</f>
        <v>60</v>
      </c>
      <c r="D17" s="11" t="str">
        <f>Rooster!D18</f>
        <v>Hiphop 15+</v>
      </c>
      <c r="E17" s="77">
        <v>3.0</v>
      </c>
      <c r="F17" s="327" t="str">
        <f>Rooster!E18</f>
        <v>Eigenaar</v>
      </c>
      <c r="G17" s="319">
        <f>IFERROR(VLOOKUP(F17, Docenten!$A$2:$G$30, 7, FALSE), "0")</f>
        <v>0</v>
      </c>
      <c r="H17" s="320">
        <f t="shared" si="1"/>
        <v>0</v>
      </c>
      <c r="I17" s="327" t="str">
        <f>Rooster!H18</f>
        <v>Santpoort Zuid</v>
      </c>
      <c r="J17" s="321">
        <f>IFERROR(VLOOKUP(I17, Locaties!$A$2:$G$15, 7, FALSE), "0")</f>
        <v>18.9</v>
      </c>
      <c r="K17" s="42">
        <f t="shared" si="2"/>
        <v>18.9</v>
      </c>
      <c r="L17" s="429">
        <f>Januari!L17</f>
        <v>4</v>
      </c>
      <c r="M17" s="430" t="str">
        <f>Januari!M17</f>
        <v>3x per week abbo</v>
      </c>
      <c r="N17" s="321">
        <f>IFERROR(VLOOKUP(M17, Tarieven!$A$1:$J$150, 10, FALSE), "0")</f>
        <v>28.93333333</v>
      </c>
      <c r="O17" s="429">
        <f>Januari!O17</f>
        <v>1</v>
      </c>
      <c r="P17" s="430" t="str">
        <f>Januari!P17</f>
        <v>2x per week abbo</v>
      </c>
      <c r="Q17" s="325">
        <f>IFERROR(VLOOKUP(P17, Tarieven!$A$2:$J$150, 10, FALSE), "0")</f>
        <v>28.55</v>
      </c>
      <c r="R17" s="431">
        <f>Januari!R17</f>
        <v>2</v>
      </c>
      <c r="S17" s="430" t="str">
        <f>Januari!S17</f>
        <v>1x per week abbo</v>
      </c>
      <c r="T17" s="325">
        <f>IFERROR(VLOOKUP(S17, Tarieven!$A$2:$J$150, 10, FALSE), "0")</f>
        <v>31</v>
      </c>
      <c r="U17" s="77" t="str">
        <f>Januari!U17</f>
        <v/>
      </c>
      <c r="V17" s="327" t="str">
        <f>Januari!V17</f>
        <v/>
      </c>
      <c r="W17" s="325" t="str">
        <f>IFERROR(VLOOKUP(V17, Tarieven!$A$2:$J$150, 10, FALSE), "0")</f>
        <v>0</v>
      </c>
      <c r="X17" s="138">
        <f>Januari!X17</f>
        <v>9</v>
      </c>
      <c r="Y17" s="398">
        <v>0.0</v>
      </c>
      <c r="Z17" s="329">
        <f t="shared" si="3"/>
        <v>16</v>
      </c>
      <c r="AA17" s="32">
        <f t="shared" si="4"/>
        <v>56.7</v>
      </c>
      <c r="AB17" s="32">
        <f t="shared" si="5"/>
        <v>206.2833333</v>
      </c>
      <c r="AC17" s="32">
        <f t="shared" si="6"/>
        <v>149.5833333</v>
      </c>
    </row>
    <row r="18" ht="22.5" customHeight="1">
      <c r="A18" s="331" t="str">
        <f>Rooster!A19</f>
        <v>Woensdag</v>
      </c>
      <c r="B18" s="396">
        <f>Rooster!B19</f>
        <v>0.6041666667</v>
      </c>
      <c r="C18" s="15">
        <f>Rooster!C19</f>
        <v>60</v>
      </c>
      <c r="D18" s="11" t="str">
        <f>Rooster!D19</f>
        <v>Streetdance 6+</v>
      </c>
      <c r="E18" s="77">
        <v>3.0</v>
      </c>
      <c r="F18" s="327" t="str">
        <f>Rooster!E19</f>
        <v>Julia</v>
      </c>
      <c r="G18" s="319">
        <f>IFERROR(VLOOKUP(F18, Docenten!$A$2:$G$30, 7, FALSE), "0")</f>
        <v>15</v>
      </c>
      <c r="H18" s="320">
        <f t="shared" si="1"/>
        <v>15</v>
      </c>
      <c r="I18" s="327" t="str">
        <f>Rooster!H19</f>
        <v>Santpoort Noord</v>
      </c>
      <c r="J18" s="321">
        <f>IFERROR(VLOOKUP(I18, Locaties!$A$2:$G$15, 7, FALSE), "0")</f>
        <v>14.2</v>
      </c>
      <c r="K18" s="42">
        <f t="shared" si="2"/>
        <v>14.2</v>
      </c>
      <c r="L18" s="429">
        <f>Januari!L18</f>
        <v>1</v>
      </c>
      <c r="M18" s="430" t="str">
        <f>Januari!M18</f>
        <v>2x per week abbo</v>
      </c>
      <c r="N18" s="321">
        <f>IFERROR(VLOOKUP(M18, Tarieven!$A$1:$J$150, 10, FALSE), "0")</f>
        <v>28.55</v>
      </c>
      <c r="O18" s="437">
        <v>3.0</v>
      </c>
      <c r="P18" s="430" t="str">
        <f>Januari!P18</f>
        <v>1x per week abbo</v>
      </c>
      <c r="Q18" s="325">
        <f>IFERROR(VLOOKUP(P18, Tarieven!$A$2:$J$150, 10, FALSE), "0")</f>
        <v>31</v>
      </c>
      <c r="R18" s="431" t="str">
        <f>Januari!R18</f>
        <v/>
      </c>
      <c r="S18" s="430" t="str">
        <f>Januari!S18</f>
        <v/>
      </c>
      <c r="T18" s="325" t="str">
        <f>IFERROR(VLOOKUP(S18, Tarieven!$A$2:$J$150, 10, FALSE), "0")</f>
        <v>0</v>
      </c>
      <c r="U18" s="77" t="str">
        <f>Januari!U18</f>
        <v/>
      </c>
      <c r="V18" s="327" t="str">
        <f>Januari!V18</f>
        <v/>
      </c>
      <c r="W18" s="325" t="str">
        <f>IFERROR(VLOOKUP(V18, Tarieven!$A$2:$J$150, 10, FALSE), "0")</f>
        <v>0</v>
      </c>
      <c r="X18" s="138">
        <f>Januari!X18</f>
        <v>9</v>
      </c>
      <c r="Y18" s="398">
        <v>0.0</v>
      </c>
      <c r="Z18" s="329">
        <f t="shared" si="3"/>
        <v>13</v>
      </c>
      <c r="AA18" s="32">
        <f t="shared" si="4"/>
        <v>87.6</v>
      </c>
      <c r="AB18" s="32">
        <f t="shared" si="5"/>
        <v>121.55</v>
      </c>
      <c r="AC18" s="32">
        <f t="shared" si="6"/>
        <v>33.95</v>
      </c>
    </row>
    <row r="19" ht="22.5" customHeight="1">
      <c r="A19" s="331" t="str">
        <f>Rooster!A20</f>
        <v>Woensdag</v>
      </c>
      <c r="B19" s="396">
        <f>Rooster!B20</f>
        <v>0.6458333333</v>
      </c>
      <c r="C19" s="15">
        <f>Rooster!C20</f>
        <v>60</v>
      </c>
      <c r="D19" s="11" t="str">
        <f>Rooster!D20</f>
        <v>Streetdance 8+</v>
      </c>
      <c r="E19" s="77">
        <v>3.0</v>
      </c>
      <c r="F19" s="327" t="str">
        <f>Rooster!E20</f>
        <v>Julia</v>
      </c>
      <c r="G19" s="319">
        <f>IFERROR(VLOOKUP(F19, Docenten!$A$2:$G$30, 7, FALSE), "0")</f>
        <v>15</v>
      </c>
      <c r="H19" s="320">
        <f t="shared" si="1"/>
        <v>15</v>
      </c>
      <c r="I19" s="327" t="str">
        <f>Rooster!H20</f>
        <v>Santpoort Noord</v>
      </c>
      <c r="J19" s="321">
        <f>IFERROR(VLOOKUP(I19, Locaties!$A$2:$G$15, 7, FALSE), "0")</f>
        <v>14.2</v>
      </c>
      <c r="K19" s="42">
        <f t="shared" si="2"/>
        <v>14.2</v>
      </c>
      <c r="L19" s="437">
        <v>4.0</v>
      </c>
      <c r="M19" s="430" t="str">
        <f>Januari!M19</f>
        <v>1x per week abbo</v>
      </c>
      <c r="N19" s="321">
        <f>IFERROR(VLOOKUP(M19, Tarieven!$A$1:$J$150, 10, FALSE), "0")</f>
        <v>31</v>
      </c>
      <c r="O19" s="429">
        <f>Januari!O19</f>
        <v>1</v>
      </c>
      <c r="P19" s="430" t="str">
        <f>Januari!P19</f>
        <v>Cheer regulier +1 abbo</v>
      </c>
      <c r="Q19" s="325">
        <f>IFERROR(VLOOKUP(P19, Tarieven!$A$2:$J$150, 10, FALSE), "0")</f>
        <v>32.25</v>
      </c>
      <c r="R19" s="431">
        <f>Januari!R19</f>
        <v>1</v>
      </c>
      <c r="S19" s="430" t="str">
        <f>Januari!S19</f>
        <v>Cheer regulier + onbeperkt abbo</v>
      </c>
      <c r="T19" s="325">
        <f>IFERROR(VLOOKUP(S19, Tarieven!$A$2:$J$150, 10, FALSE), "0")</f>
        <v>44.45</v>
      </c>
      <c r="U19" s="77">
        <f>Januari!U19</f>
        <v>1</v>
      </c>
      <c r="V19" s="327" t="str">
        <f>Januari!V19</f>
        <v>1x per week </v>
      </c>
      <c r="W19" s="325">
        <f>IFERROR(VLOOKUP(V19, Tarieven!$A$2:$J$150, 10, FALSE), "0")</f>
        <v>279</v>
      </c>
      <c r="X19" s="138">
        <f>Januari!X19</f>
        <v>11</v>
      </c>
      <c r="Y19" s="398">
        <v>0.0</v>
      </c>
      <c r="Z19" s="329">
        <f t="shared" si="3"/>
        <v>18</v>
      </c>
      <c r="AA19" s="32">
        <f t="shared" si="4"/>
        <v>87.6</v>
      </c>
      <c r="AB19" s="32">
        <f t="shared" si="5"/>
        <v>479.7</v>
      </c>
      <c r="AC19" s="32">
        <f t="shared" si="6"/>
        <v>392.1</v>
      </c>
    </row>
    <row r="20" ht="22.5" customHeight="1">
      <c r="A20" s="331" t="str">
        <f>Rooster!A21</f>
        <v>Woensdag</v>
      </c>
      <c r="B20" s="396">
        <f>Rooster!B21</f>
        <v>0.6875</v>
      </c>
      <c r="C20" s="15">
        <f>Rooster!C21</f>
        <v>60</v>
      </c>
      <c r="D20" s="11" t="str">
        <f>Rooster!D21</f>
        <v>Modern 11+</v>
      </c>
      <c r="E20" s="77">
        <v>3.0</v>
      </c>
      <c r="F20" s="327" t="str">
        <f>Rooster!E21</f>
        <v>Julia</v>
      </c>
      <c r="G20" s="319">
        <f>IFERROR(VLOOKUP(F20, Docenten!$A$2:$G$30, 7, FALSE), "0")</f>
        <v>15</v>
      </c>
      <c r="H20" s="320">
        <f t="shared" si="1"/>
        <v>15</v>
      </c>
      <c r="I20" s="327" t="str">
        <f>Rooster!H21</f>
        <v>Santpoort Noord</v>
      </c>
      <c r="J20" s="321">
        <f>IFERROR(VLOOKUP(I20, Locaties!$A$2:$G$15, 7, FALSE), "0")</f>
        <v>14.2</v>
      </c>
      <c r="K20" s="42">
        <f t="shared" si="2"/>
        <v>14.2</v>
      </c>
      <c r="L20" s="429">
        <f>Januari!L20</f>
        <v>3</v>
      </c>
      <c r="M20" s="430" t="str">
        <f>Januari!M20</f>
        <v>1x per week abbo</v>
      </c>
      <c r="N20" s="321">
        <f>IFERROR(VLOOKUP(M20, Tarieven!$A$1:$J$150, 10, FALSE), "0")</f>
        <v>31</v>
      </c>
      <c r="O20" s="429">
        <f>Januari!O20</f>
        <v>1</v>
      </c>
      <c r="P20" s="430" t="str">
        <f>Januari!P20</f>
        <v>Cheer regulier +1 abbo</v>
      </c>
      <c r="Q20" s="325">
        <f>IFERROR(VLOOKUP(P20, Tarieven!$A$2:$J$150, 10, FALSE), "0")</f>
        <v>32.25</v>
      </c>
      <c r="R20" s="431">
        <f>Januari!R20</f>
        <v>1</v>
      </c>
      <c r="S20" s="430" t="str">
        <f>Januari!S20</f>
        <v>Cheer regulier + onbeperkt abbo</v>
      </c>
      <c r="T20" s="325"/>
      <c r="U20" s="77" t="str">
        <f>Januari!U20</f>
        <v/>
      </c>
      <c r="V20" s="327" t="str">
        <f>Januari!V20</f>
        <v/>
      </c>
      <c r="W20" s="325" t="str">
        <f>IFERROR(VLOOKUP(V20, Tarieven!$A$2:$J$150, 10, FALSE), "0")</f>
        <v>0</v>
      </c>
      <c r="X20" s="138">
        <f>Januari!X20</f>
        <v>9</v>
      </c>
      <c r="Y20" s="398">
        <v>0.0</v>
      </c>
      <c r="Z20" s="329">
        <f t="shared" si="3"/>
        <v>14</v>
      </c>
      <c r="AA20" s="32">
        <f t="shared" si="4"/>
        <v>87.6</v>
      </c>
      <c r="AB20" s="32">
        <f t="shared" si="5"/>
        <v>125.25</v>
      </c>
      <c r="AC20" s="32">
        <f t="shared" si="6"/>
        <v>37.65</v>
      </c>
    </row>
    <row r="21" ht="22.5" customHeight="1">
      <c r="A21" s="331" t="str">
        <f>Rooster!A22</f>
        <v>Woensdag</v>
      </c>
      <c r="B21" s="396">
        <f>Rooster!B22</f>
        <v>0.7291666667</v>
      </c>
      <c r="C21" s="15">
        <f>Rooster!C22</f>
        <v>60</v>
      </c>
      <c r="D21" s="11" t="str">
        <f>Rooster!D22</f>
        <v>Selectie Hiphop 11+</v>
      </c>
      <c r="E21" s="77">
        <v>3.0</v>
      </c>
      <c r="F21" s="327" t="str">
        <f>Rooster!E22</f>
        <v>Eigenaar</v>
      </c>
      <c r="G21" s="319">
        <f>IFERROR(VLOOKUP(F21, Docenten!$A$2:$G$30, 7, FALSE), "0")</f>
        <v>0</v>
      </c>
      <c r="H21" s="320">
        <f t="shared" si="1"/>
        <v>0</v>
      </c>
      <c r="I21" s="327" t="str">
        <f>Rooster!H22</f>
        <v>Santpoort Noord</v>
      </c>
      <c r="J21" s="321">
        <f>IFERROR(VLOOKUP(I21, Locaties!$A$2:$G$15, 7, FALSE), "0")</f>
        <v>14.2</v>
      </c>
      <c r="K21" s="42">
        <f t="shared" si="2"/>
        <v>14.2</v>
      </c>
      <c r="L21" s="429">
        <f>Januari!L21</f>
        <v>1</v>
      </c>
      <c r="M21" s="430" t="str">
        <f>Januari!M21</f>
        <v>1x per week abbo</v>
      </c>
      <c r="N21" s="321">
        <f>IFERROR(VLOOKUP(M21, Tarieven!$A$1:$J$150, 10, FALSE), "0")</f>
        <v>31</v>
      </c>
      <c r="O21" s="429">
        <f>Januari!O21</f>
        <v>3</v>
      </c>
      <c r="P21" s="430" t="str">
        <f>Januari!P21</f>
        <v>2x per week abbo</v>
      </c>
      <c r="Q21" s="325">
        <f>IFERROR(VLOOKUP(P21, Tarieven!$A$2:$J$150, 10, FALSE), "0")</f>
        <v>28.55</v>
      </c>
      <c r="R21" s="431">
        <f>Januari!R21</f>
        <v>1</v>
      </c>
      <c r="S21" s="430" t="str">
        <f>Januari!S21</f>
        <v>Cheer regulier +1 abbo</v>
      </c>
      <c r="T21" s="325"/>
      <c r="U21" s="77" t="str">
        <f>Januari!U21</f>
        <v/>
      </c>
      <c r="V21" s="327" t="str">
        <f>Januari!V21</f>
        <v/>
      </c>
      <c r="W21" s="325" t="str">
        <f>IFERROR(VLOOKUP(V21, Tarieven!$A$2:$J$150, 10, FALSE), "0")</f>
        <v>0</v>
      </c>
      <c r="X21" s="138">
        <f>Januari!X21</f>
        <v>11</v>
      </c>
      <c r="Y21" s="398">
        <v>0.0</v>
      </c>
      <c r="Z21" s="329">
        <f t="shared" si="3"/>
        <v>16</v>
      </c>
      <c r="AA21" s="32">
        <f t="shared" si="4"/>
        <v>42.6</v>
      </c>
      <c r="AB21" s="32">
        <f t="shared" si="5"/>
        <v>116.65</v>
      </c>
      <c r="AC21" s="32">
        <f t="shared" si="6"/>
        <v>74.05</v>
      </c>
    </row>
    <row r="22" ht="22.5" customHeight="1">
      <c r="A22" s="331" t="str">
        <f>Rooster!A23</f>
        <v>Woensdag</v>
      </c>
      <c r="B22" s="396">
        <f>Rooster!B23</f>
        <v>0.7708333333</v>
      </c>
      <c r="C22" s="15">
        <f>Rooster!C23</f>
        <v>60</v>
      </c>
      <c r="D22" s="11" t="str">
        <f>Rooster!D23</f>
        <v>Show 12+</v>
      </c>
      <c r="E22" s="77">
        <v>3.0</v>
      </c>
      <c r="F22" s="327" t="str">
        <f>Rooster!E23</f>
        <v>Eigenaar</v>
      </c>
      <c r="G22" s="319">
        <f>IFERROR(VLOOKUP(F22, Docenten!$A$2:$G$30, 7, FALSE), "0")</f>
        <v>0</v>
      </c>
      <c r="H22" s="320">
        <f t="shared" si="1"/>
        <v>0</v>
      </c>
      <c r="I22" s="327" t="str">
        <f>Rooster!H23</f>
        <v>Santpoort Noord</v>
      </c>
      <c r="J22" s="321">
        <f>IFERROR(VLOOKUP(I22, Locaties!$A$2:$G$15, 7, FALSE), "0")</f>
        <v>14.2</v>
      </c>
      <c r="K22" s="42">
        <f t="shared" si="2"/>
        <v>14.2</v>
      </c>
      <c r="L22" s="429">
        <f>Januari!L22</f>
        <v>1</v>
      </c>
      <c r="M22" s="430" t="str">
        <f>Januari!M22</f>
        <v>Cheer selectie +1 abbo</v>
      </c>
      <c r="N22" s="321">
        <f>IFERROR(VLOOKUP(M22, Tarieven!$A$1:$J$150, 10, FALSE), "0")</f>
        <v>34.25</v>
      </c>
      <c r="O22" s="429" t="str">
        <f>Januari!O22</f>
        <v/>
      </c>
      <c r="P22" s="430" t="str">
        <f>Januari!P22</f>
        <v/>
      </c>
      <c r="Q22" s="325" t="str">
        <f>IFERROR(VLOOKUP(P22, Tarieven!$A$2:$J$150, 10, FALSE), "0")</f>
        <v>0</v>
      </c>
      <c r="R22" s="431" t="str">
        <f>Januari!R22</f>
        <v/>
      </c>
      <c r="S22" s="430" t="str">
        <f>Januari!S22</f>
        <v/>
      </c>
      <c r="T22" s="325" t="str">
        <f>IFERROR(VLOOKUP(S22, Tarieven!$A$2:$J$150, 10, FALSE), "0")</f>
        <v>0</v>
      </c>
      <c r="U22" s="77" t="str">
        <f>Januari!U22</f>
        <v/>
      </c>
      <c r="V22" s="327" t="str">
        <f>Januari!V22</f>
        <v/>
      </c>
      <c r="W22" s="325" t="str">
        <f>IFERROR(VLOOKUP(V22, Tarieven!$A$2:$J$150, 10, FALSE), "0")</f>
        <v>0</v>
      </c>
      <c r="X22" s="138">
        <f>Januari!X22</f>
        <v>9</v>
      </c>
      <c r="Y22" s="398">
        <v>0.0</v>
      </c>
      <c r="Z22" s="329">
        <f t="shared" si="3"/>
        <v>10</v>
      </c>
      <c r="AA22" s="32">
        <f t="shared" si="4"/>
        <v>42.6</v>
      </c>
      <c r="AB22" s="32">
        <f t="shared" si="5"/>
        <v>34.25</v>
      </c>
      <c r="AC22" s="32">
        <f t="shared" si="6"/>
        <v>-8.35</v>
      </c>
    </row>
    <row r="23" ht="22.5" customHeight="1">
      <c r="A23" s="331" t="str">
        <f>Rooster!A24</f>
        <v/>
      </c>
      <c r="B23" s="396" t="str">
        <f>Rooster!B24</f>
        <v/>
      </c>
      <c r="C23" s="15" t="str">
        <f>Rooster!C24</f>
        <v/>
      </c>
      <c r="D23" s="11" t="str">
        <f>Rooster!D24</f>
        <v/>
      </c>
      <c r="E23" s="77"/>
      <c r="F23" s="327" t="str">
        <f>Rooster!E24</f>
        <v/>
      </c>
      <c r="G23" s="319" t="str">
        <f>IFERROR(VLOOKUP(F23, Docenten!$A$2:$G$30, 7, FALSE), "0")</f>
        <v>0</v>
      </c>
      <c r="H23" s="320">
        <f t="shared" si="1"/>
        <v>0</v>
      </c>
      <c r="I23" s="327" t="str">
        <f>Rooster!H24</f>
        <v/>
      </c>
      <c r="J23" s="321" t="str">
        <f>IFERROR(VLOOKUP(I23, Locaties!$A$2:$G$15, 7, FALSE), "0")</f>
        <v>0</v>
      </c>
      <c r="K23" s="42">
        <f t="shared" si="2"/>
        <v>0</v>
      </c>
      <c r="L23" s="429" t="str">
        <f>Januari!L23</f>
        <v/>
      </c>
      <c r="M23" s="430" t="str">
        <f>Januari!M23</f>
        <v/>
      </c>
      <c r="N23" s="321" t="str">
        <f>IFERROR(VLOOKUP(M23, Tarieven!$A$1:$J$150, 10, FALSE), "0")</f>
        <v>0</v>
      </c>
      <c r="O23" s="429" t="str">
        <f>Januari!O23</f>
        <v/>
      </c>
      <c r="P23" s="430" t="str">
        <f>Januari!P23</f>
        <v/>
      </c>
      <c r="Q23" s="325" t="str">
        <f>IFERROR(VLOOKUP(P23, Tarieven!$A$2:$J$150, 10, FALSE), "0")</f>
        <v>0</v>
      </c>
      <c r="R23" s="431" t="str">
        <f>Januari!R23</f>
        <v/>
      </c>
      <c r="S23" s="430" t="str">
        <f>Januari!S23</f>
        <v/>
      </c>
      <c r="T23" s="325" t="str">
        <f>IFERROR(VLOOKUP(S23, Tarieven!$A$2:$J$150, 10, FALSE), "0")</f>
        <v>0</v>
      </c>
      <c r="U23" s="77" t="str">
        <f>Januari!U23</f>
        <v/>
      </c>
      <c r="V23" s="327" t="str">
        <f>Januari!V23</f>
        <v/>
      </c>
      <c r="W23" s="325" t="str">
        <f>IFERROR(VLOOKUP(V23, Tarieven!$A$2:$J$150, 10, FALSE), "0")</f>
        <v>0</v>
      </c>
      <c r="X23" s="138">
        <f>Januari!X23</f>
        <v>0</v>
      </c>
      <c r="Y23" s="398">
        <v>0.0</v>
      </c>
      <c r="Z23" s="329">
        <f t="shared" si="3"/>
        <v>0</v>
      </c>
      <c r="AA23" s="32">
        <f t="shared" si="4"/>
        <v>0</v>
      </c>
      <c r="AB23" s="32">
        <f t="shared" si="5"/>
        <v>0</v>
      </c>
      <c r="AC23" s="32">
        <f t="shared" si="6"/>
        <v>0</v>
      </c>
    </row>
    <row r="24" ht="22.5" customHeight="1">
      <c r="A24" s="331" t="str">
        <f>Rooster!A25</f>
        <v>Donderdag</v>
      </c>
      <c r="B24" s="396">
        <f>Rooster!B25</f>
        <v>0.6458333333</v>
      </c>
      <c r="C24" s="15">
        <f>Rooster!C25</f>
        <v>60</v>
      </c>
      <c r="D24" s="11" t="str">
        <f>Rooster!D25</f>
        <v>Showdance 6+</v>
      </c>
      <c r="E24" s="77">
        <v>3.0</v>
      </c>
      <c r="F24" s="70" t="s">
        <v>59</v>
      </c>
      <c r="G24" s="319">
        <f>IFERROR(VLOOKUP(F24, Docenten!$A$2:$G$30, 7, FALSE), "0")</f>
        <v>20</v>
      </c>
      <c r="H24" s="320">
        <f t="shared" si="1"/>
        <v>20</v>
      </c>
      <c r="I24" s="327" t="str">
        <f>Rooster!H25</f>
        <v>Santpoort Zuid</v>
      </c>
      <c r="J24" s="321">
        <f>IFERROR(VLOOKUP(I24, Locaties!$A$2:$G$15, 7, FALSE), "0")</f>
        <v>18.9</v>
      </c>
      <c r="K24" s="42">
        <f t="shared" si="2"/>
        <v>18.9</v>
      </c>
      <c r="L24" s="437">
        <v>6.0</v>
      </c>
      <c r="M24" s="430" t="str">
        <f>Januari!M24</f>
        <v>1x per week abbo</v>
      </c>
      <c r="N24" s="321">
        <f>IFERROR(VLOOKUP(M24, Tarieven!$A$1:$J$150, 10, FALSE), "0")</f>
        <v>31</v>
      </c>
      <c r="O24" s="429">
        <f>Januari!O24</f>
        <v>3</v>
      </c>
      <c r="P24" s="430" t="str">
        <f>Januari!P24</f>
        <v>2x per week abbo</v>
      </c>
      <c r="Q24" s="325">
        <f>IFERROR(VLOOKUP(P24, Tarieven!$A$2:$J$150, 10, FALSE), "0")</f>
        <v>28.55</v>
      </c>
      <c r="R24" s="431" t="str">
        <f>Januari!R24</f>
        <v/>
      </c>
      <c r="S24" s="430" t="str">
        <f>Januari!S24</f>
        <v/>
      </c>
      <c r="T24" s="325" t="str">
        <f>IFERROR(VLOOKUP(S24, Tarieven!$A$2:$J$150, 10, FALSE), "0")</f>
        <v>0</v>
      </c>
      <c r="U24" s="77" t="str">
        <f>Januari!U24</f>
        <v/>
      </c>
      <c r="V24" s="327" t="str">
        <f>Januari!V24</f>
        <v/>
      </c>
      <c r="W24" s="325" t="str">
        <f>IFERROR(VLOOKUP(V24, Tarieven!$A$2:$J$150, 10, FALSE), "0")</f>
        <v>0</v>
      </c>
      <c r="X24" s="138">
        <f>Januari!X24</f>
        <v>4</v>
      </c>
      <c r="Y24" s="398">
        <v>0.0</v>
      </c>
      <c r="Z24" s="329">
        <f t="shared" si="3"/>
        <v>13</v>
      </c>
      <c r="AA24" s="32">
        <f t="shared" si="4"/>
        <v>116.7</v>
      </c>
      <c r="AB24" s="32">
        <f t="shared" si="5"/>
        <v>271.65</v>
      </c>
      <c r="AC24" s="32">
        <f t="shared" si="6"/>
        <v>154.95</v>
      </c>
    </row>
    <row r="25" ht="22.5" customHeight="1">
      <c r="A25" s="331" t="str">
        <f>Rooster!A26</f>
        <v>Donderdag</v>
      </c>
      <c r="B25" s="396">
        <f>Rooster!B26</f>
        <v>0.6875</v>
      </c>
      <c r="C25" s="15">
        <f>Rooster!C26</f>
        <v>60</v>
      </c>
      <c r="D25" s="11" t="str">
        <f>Rooster!D26</f>
        <v>Showdance 8+</v>
      </c>
      <c r="E25" s="77">
        <v>3.0</v>
      </c>
      <c r="F25" s="70" t="s">
        <v>59</v>
      </c>
      <c r="G25" s="319">
        <f>IFERROR(VLOOKUP(F25, Docenten!$A$2:$G$30, 7, FALSE), "0")</f>
        <v>20</v>
      </c>
      <c r="H25" s="320">
        <f t="shared" si="1"/>
        <v>20</v>
      </c>
      <c r="I25" s="327" t="str">
        <f>Rooster!H26</f>
        <v>Santpoort Zuid</v>
      </c>
      <c r="J25" s="321">
        <f>IFERROR(VLOOKUP(I25, Locaties!$A$2:$G$15, 7, FALSE), "0")</f>
        <v>18.9</v>
      </c>
      <c r="K25" s="42">
        <f t="shared" si="2"/>
        <v>18.9</v>
      </c>
      <c r="L25" s="437">
        <v>5.0</v>
      </c>
      <c r="M25" s="430" t="str">
        <f>Januari!M25</f>
        <v>1x per week abbo</v>
      </c>
      <c r="N25" s="321">
        <f>IFERROR(VLOOKUP(M25, Tarieven!$A$1:$J$150, 10, FALSE), "0")</f>
        <v>31</v>
      </c>
      <c r="O25" s="437">
        <v>2.0</v>
      </c>
      <c r="P25" s="430" t="str">
        <f>Januari!P25</f>
        <v>2x per week abbo</v>
      </c>
      <c r="Q25" s="325">
        <f>IFERROR(VLOOKUP(P25, Tarieven!$A$2:$J$150, 10, FALSE), "0")</f>
        <v>28.55</v>
      </c>
      <c r="R25" s="431" t="str">
        <f>Januari!R25</f>
        <v/>
      </c>
      <c r="S25" s="430" t="str">
        <f>Januari!S25</f>
        <v/>
      </c>
      <c r="T25" s="325" t="str">
        <f>IFERROR(VLOOKUP(S25, Tarieven!$A$2:$J$150, 10, FALSE), "0")</f>
        <v>0</v>
      </c>
      <c r="U25" s="77" t="str">
        <f>Januari!U25</f>
        <v/>
      </c>
      <c r="V25" s="327" t="str">
        <f>Januari!V25</f>
        <v/>
      </c>
      <c r="W25" s="325" t="str">
        <f>IFERROR(VLOOKUP(V25, Tarieven!$A$2:$J$150, 10, FALSE), "0")</f>
        <v>0</v>
      </c>
      <c r="X25" s="138">
        <f>Januari!X25</f>
        <v>4</v>
      </c>
      <c r="Y25" s="398">
        <v>0.0</v>
      </c>
      <c r="Z25" s="329">
        <f t="shared" si="3"/>
        <v>11</v>
      </c>
      <c r="AA25" s="32">
        <f t="shared" si="4"/>
        <v>116.7</v>
      </c>
      <c r="AB25" s="32">
        <f t="shared" si="5"/>
        <v>212.1</v>
      </c>
      <c r="AC25" s="32">
        <f t="shared" si="6"/>
        <v>95.4</v>
      </c>
    </row>
    <row r="26" ht="22.5" customHeight="1">
      <c r="A26" s="331" t="str">
        <f>Rooster!A27</f>
        <v>Donderdag</v>
      </c>
      <c r="B26" s="396">
        <f>Rooster!B27</f>
        <v>0.7291666667</v>
      </c>
      <c r="C26" s="15">
        <f>Rooster!C27</f>
        <v>60</v>
      </c>
      <c r="D26" s="11" t="str">
        <f>Rooster!D27</f>
        <v>Modern 14+</v>
      </c>
      <c r="E26" s="77">
        <v>3.0</v>
      </c>
      <c r="F26" s="70" t="s">
        <v>59</v>
      </c>
      <c r="G26" s="319">
        <f>IFERROR(VLOOKUP(F26, Docenten!$A$2:$G$30, 7, FALSE), "0")</f>
        <v>20</v>
      </c>
      <c r="H26" s="320">
        <f t="shared" si="1"/>
        <v>20</v>
      </c>
      <c r="I26" s="327" t="str">
        <f>Rooster!H27</f>
        <v>Santpoort Zuid</v>
      </c>
      <c r="J26" s="321">
        <f>IFERROR(VLOOKUP(I26, Locaties!$A$2:$G$15, 7, FALSE), "0")</f>
        <v>18.9</v>
      </c>
      <c r="K26" s="42">
        <f t="shared" si="2"/>
        <v>18.9</v>
      </c>
      <c r="L26" s="429">
        <f>Januari!L26</f>
        <v>3</v>
      </c>
      <c r="M26" s="430" t="str">
        <f>Januari!M26</f>
        <v>3x per week abbo</v>
      </c>
      <c r="N26" s="321">
        <f>IFERROR(VLOOKUP(M26, Tarieven!$A$1:$J$150, 10, FALSE), "0")</f>
        <v>28.93333333</v>
      </c>
      <c r="O26" s="429">
        <f>Januari!O26</f>
        <v>1</v>
      </c>
      <c r="P26" s="430" t="str">
        <f>Januari!P26</f>
        <v>2x per week abbo</v>
      </c>
      <c r="Q26" s="325">
        <f>IFERROR(VLOOKUP(P26, Tarieven!$A$2:$J$150, 10, FALSE), "0")</f>
        <v>28.55</v>
      </c>
      <c r="R26" s="431">
        <f>Januari!R26</f>
        <v>2</v>
      </c>
      <c r="S26" s="430" t="str">
        <f>Januari!S26</f>
        <v>Cheer selectie +2 abbo</v>
      </c>
      <c r="T26" s="325">
        <f>IFERROR(VLOOKUP(S26, Tarieven!$A$2:$J$150, 10, FALSE), "0")</f>
        <v>31.53333333</v>
      </c>
      <c r="U26" s="77" t="str">
        <f>Januari!U26</f>
        <v/>
      </c>
      <c r="V26" s="327" t="str">
        <f>Januari!V26</f>
        <v/>
      </c>
      <c r="W26" s="325" t="str">
        <f>IFERROR(VLOOKUP(V26, Tarieven!$A$2:$J$150, 10, FALSE), "0")</f>
        <v>0</v>
      </c>
      <c r="X26" s="138">
        <f>Januari!X26</f>
        <v>7</v>
      </c>
      <c r="Y26" s="398">
        <v>0.0</v>
      </c>
      <c r="Z26" s="329">
        <f t="shared" si="3"/>
        <v>13</v>
      </c>
      <c r="AA26" s="32">
        <f t="shared" si="4"/>
        <v>116.7</v>
      </c>
      <c r="AB26" s="32">
        <f t="shared" si="5"/>
        <v>178.4166667</v>
      </c>
      <c r="AC26" s="32">
        <f t="shared" si="6"/>
        <v>61.71666667</v>
      </c>
    </row>
    <row r="27" ht="22.5" customHeight="1">
      <c r="A27" s="331" t="str">
        <f>Rooster!A28</f>
        <v>Donderdag</v>
      </c>
      <c r="B27" s="396">
        <f>Rooster!B28</f>
        <v>0.7708333333</v>
      </c>
      <c r="C27" s="15">
        <f>Rooster!C28</f>
        <v>60</v>
      </c>
      <c r="D27" s="11" t="str">
        <f>Rooster!D28</f>
        <v>Commercial 14+</v>
      </c>
      <c r="E27" s="77">
        <v>3.0</v>
      </c>
      <c r="F27" s="327" t="str">
        <f>Rooster!E28</f>
        <v>Nova</v>
      </c>
      <c r="G27" s="319">
        <f>IFERROR(VLOOKUP(F27, Docenten!$A$2:$G$30, 7, FALSE), "0")</f>
        <v>22.5</v>
      </c>
      <c r="H27" s="320">
        <f t="shared" si="1"/>
        <v>22.5</v>
      </c>
      <c r="I27" s="327" t="str">
        <f>Rooster!H28</f>
        <v>Santpoort Zuid</v>
      </c>
      <c r="J27" s="321">
        <f>IFERROR(VLOOKUP(I27, Locaties!$A$2:$G$15, 7, FALSE), "0")</f>
        <v>18.9</v>
      </c>
      <c r="K27" s="42">
        <f t="shared" si="2"/>
        <v>18.9</v>
      </c>
      <c r="L27" s="429">
        <f>Januari!L27</f>
        <v>5</v>
      </c>
      <c r="M27" s="430" t="str">
        <f>Januari!M27</f>
        <v>3x per week abbo</v>
      </c>
      <c r="N27" s="321">
        <f>IFERROR(VLOOKUP(M27, Tarieven!$A$1:$J$150, 10, FALSE), "0")</f>
        <v>28.93333333</v>
      </c>
      <c r="O27" s="429">
        <f>Januari!O27</f>
        <v>2</v>
      </c>
      <c r="P27" s="430" t="str">
        <f>Januari!P27</f>
        <v>2x per week abbo</v>
      </c>
      <c r="Q27" s="325">
        <f>IFERROR(VLOOKUP(P27, Tarieven!$A$2:$J$150, 10, FALSE), "0")</f>
        <v>28.55</v>
      </c>
      <c r="R27" s="431">
        <f>Januari!R27</f>
        <v>2</v>
      </c>
      <c r="S27" s="430" t="str">
        <f>Januari!S27</f>
        <v>Cheer selectie +2 abbo</v>
      </c>
      <c r="T27" s="325">
        <f>IFERROR(VLOOKUP(S27, Tarieven!$A$2:$J$150, 10, FALSE), "0")</f>
        <v>31.53333333</v>
      </c>
      <c r="U27" s="77">
        <f>Januari!U27</f>
        <v>1</v>
      </c>
      <c r="V27" s="327" t="str">
        <f>Januari!V27</f>
        <v>1x per week abbo</v>
      </c>
      <c r="W27" s="325">
        <f>IFERROR(VLOOKUP(V27, Tarieven!$A$2:$J$150, 10, FALSE), "0")</f>
        <v>31</v>
      </c>
      <c r="X27" s="138">
        <f>Januari!X27</f>
        <v>10</v>
      </c>
      <c r="Y27" s="398">
        <v>0.0</v>
      </c>
      <c r="Z27" s="329">
        <f t="shared" si="3"/>
        <v>20</v>
      </c>
      <c r="AA27" s="32">
        <f t="shared" si="4"/>
        <v>124.2</v>
      </c>
      <c r="AB27" s="32">
        <f t="shared" si="5"/>
        <v>295.8333333</v>
      </c>
      <c r="AC27" s="32">
        <f t="shared" si="6"/>
        <v>171.6333333</v>
      </c>
    </row>
    <row r="28" ht="22.5" customHeight="1">
      <c r="A28" s="331" t="str">
        <f>Rooster!A29</f>
        <v>Donderdag</v>
      </c>
      <c r="B28" s="396">
        <f>Rooster!B29</f>
        <v>0.8125</v>
      </c>
      <c r="C28" s="15">
        <f>Rooster!C29</f>
        <v>60</v>
      </c>
      <c r="D28" s="11" t="str">
        <f>Rooster!D29</f>
        <v>Selectie Hiphop 16+</v>
      </c>
      <c r="E28" s="77">
        <v>3.0</v>
      </c>
      <c r="F28" s="327" t="str">
        <f>Rooster!E29</f>
        <v>Nova</v>
      </c>
      <c r="G28" s="319">
        <f>IFERROR(VLOOKUP(F28, Docenten!$A$2:$G$30, 7, FALSE), "0")</f>
        <v>22.5</v>
      </c>
      <c r="H28" s="320">
        <f t="shared" si="1"/>
        <v>22.5</v>
      </c>
      <c r="I28" s="327" t="str">
        <f>Rooster!H29</f>
        <v>Santpoort Zuid</v>
      </c>
      <c r="J28" s="321">
        <f>IFERROR(VLOOKUP(I28, Locaties!$A$2:$G$15, 7, FALSE), "0")</f>
        <v>18.9</v>
      </c>
      <c r="K28" s="42">
        <f t="shared" si="2"/>
        <v>18.9</v>
      </c>
      <c r="L28" s="429">
        <f>Januari!L28</f>
        <v>2</v>
      </c>
      <c r="M28" s="430" t="str">
        <f>Januari!M28</f>
        <v>Cheer selectie +2 abbo</v>
      </c>
      <c r="N28" s="321">
        <f>IFERROR(VLOOKUP(M28, Tarieven!$A$1:$J$150, 10, FALSE), "0")</f>
        <v>31.53333333</v>
      </c>
      <c r="O28" s="429">
        <f>Januari!O28</f>
        <v>3</v>
      </c>
      <c r="P28" s="430" t="str">
        <f>Januari!P28</f>
        <v>3x per week abbo</v>
      </c>
      <c r="Q28" s="325">
        <f>IFERROR(VLOOKUP(P28, Tarieven!$A$2:$J$150, 10, FALSE), "0")</f>
        <v>28.93333333</v>
      </c>
      <c r="R28" s="431">
        <f>Januari!R28</f>
        <v>2</v>
      </c>
      <c r="S28" s="430" t="str">
        <f>Januari!S28</f>
        <v>2x per week abbo</v>
      </c>
      <c r="T28" s="325">
        <f>IFERROR(VLOOKUP(S28, Tarieven!$A$2:$J$150, 10, FALSE), "0")</f>
        <v>28.55</v>
      </c>
      <c r="U28" s="77" t="str">
        <f>Januari!U28</f>
        <v/>
      </c>
      <c r="V28" s="327" t="str">
        <f>Januari!V28</f>
        <v/>
      </c>
      <c r="W28" s="325" t="str">
        <f>IFERROR(VLOOKUP(V28, Tarieven!$A$2:$J$150, 10, FALSE), "0")</f>
        <v>0</v>
      </c>
      <c r="X28" s="138">
        <f>Januari!X28</f>
        <v>8</v>
      </c>
      <c r="Y28" s="398">
        <v>0.0</v>
      </c>
      <c r="Z28" s="329">
        <f t="shared" si="3"/>
        <v>15</v>
      </c>
      <c r="AA28" s="32">
        <f t="shared" si="4"/>
        <v>124.2</v>
      </c>
      <c r="AB28" s="32">
        <f t="shared" si="5"/>
        <v>206.9666667</v>
      </c>
      <c r="AC28" s="32">
        <f t="shared" si="6"/>
        <v>82.76666667</v>
      </c>
    </row>
    <row r="29" ht="22.5" customHeight="1">
      <c r="A29" s="331" t="str">
        <f>Rooster!A30</f>
        <v>Donderdag</v>
      </c>
      <c r="B29" s="396">
        <f>Rooster!B30</f>
        <v>0.8541666667</v>
      </c>
      <c r="C29" s="15">
        <f>Rooster!C30</f>
        <v>60</v>
      </c>
      <c r="D29" s="11" t="str">
        <f>Rooster!D30</f>
        <v>Modern 16+</v>
      </c>
      <c r="E29" s="77">
        <v>3.0</v>
      </c>
      <c r="F29" s="327" t="str">
        <f>Rooster!E30</f>
        <v>Nova</v>
      </c>
      <c r="G29" s="319">
        <f>IFERROR(VLOOKUP(F29, Docenten!$A$2:$G$30, 7, FALSE), "0")</f>
        <v>22.5</v>
      </c>
      <c r="H29" s="320">
        <f t="shared" si="1"/>
        <v>22.5</v>
      </c>
      <c r="I29" s="327" t="str">
        <f>Rooster!H30</f>
        <v>Santpoort Zuid</v>
      </c>
      <c r="J29" s="321">
        <f>IFERROR(VLOOKUP(I29, Locaties!$A$2:$G$15, 7, FALSE), "0")</f>
        <v>18.9</v>
      </c>
      <c r="K29" s="42">
        <f t="shared" si="2"/>
        <v>18.9</v>
      </c>
      <c r="L29" s="429">
        <f>Januari!L29</f>
        <v>1</v>
      </c>
      <c r="M29" s="430" t="str">
        <f>Januari!M29</f>
        <v>1x per week abbo</v>
      </c>
      <c r="N29" s="321">
        <f>IFERROR(VLOOKUP(M29, Tarieven!$A$1:$J$150, 10, FALSE), "0")</f>
        <v>31</v>
      </c>
      <c r="O29" s="429">
        <f>Januari!O29</f>
        <v>2</v>
      </c>
      <c r="P29" s="430" t="str">
        <f>Januari!P29</f>
        <v>3x per week abbo</v>
      </c>
      <c r="Q29" s="325">
        <f>IFERROR(VLOOKUP(P29, Tarieven!$A$2:$J$150, 10, FALSE), "0")</f>
        <v>28.93333333</v>
      </c>
      <c r="R29" s="431" t="str">
        <f>Januari!R29</f>
        <v/>
      </c>
      <c r="S29" s="430" t="str">
        <f>Januari!S29</f>
        <v/>
      </c>
      <c r="T29" s="325" t="str">
        <f>IFERROR(VLOOKUP(S29, Tarieven!$A$2:$J$150, 10, FALSE), "0")</f>
        <v>0</v>
      </c>
      <c r="U29" s="77" t="str">
        <f>Januari!U29</f>
        <v/>
      </c>
      <c r="V29" s="327" t="str">
        <f>Januari!V29</f>
        <v/>
      </c>
      <c r="W29" s="325" t="str">
        <f>IFERROR(VLOOKUP(V29, Tarieven!$A$2:$J$150, 10, FALSE), "0")</f>
        <v>0</v>
      </c>
      <c r="X29" s="138">
        <f>Januari!X29</f>
        <v>5</v>
      </c>
      <c r="Y29" s="398">
        <v>0.0</v>
      </c>
      <c r="Z29" s="329">
        <f t="shared" si="3"/>
        <v>8</v>
      </c>
      <c r="AA29" s="32">
        <f t="shared" si="4"/>
        <v>124.2</v>
      </c>
      <c r="AB29" s="32">
        <f t="shared" si="5"/>
        <v>88.86666667</v>
      </c>
      <c r="AC29" s="32">
        <f t="shared" si="6"/>
        <v>-35.33333333</v>
      </c>
    </row>
    <row r="30" ht="22.5" customHeight="1">
      <c r="A30" s="331" t="str">
        <f>Rooster!A31</f>
        <v>Vrijdag</v>
      </c>
      <c r="B30" s="396">
        <f>Rooster!B31</f>
        <v>0.625</v>
      </c>
      <c r="C30" s="15">
        <f>Rooster!C31</f>
        <v>60</v>
      </c>
      <c r="D30" s="11" t="str">
        <f>Rooster!D31</f>
        <v>Selectie Hiphop 8+</v>
      </c>
      <c r="E30" s="77">
        <v>3.0</v>
      </c>
      <c r="F30" s="327" t="str">
        <f>Rooster!E31</f>
        <v>Eigenaar</v>
      </c>
      <c r="G30" s="319">
        <f>IFERROR(VLOOKUP(F30, Docenten!$A$2:$G$30, 7, FALSE), "0")</f>
        <v>0</v>
      </c>
      <c r="H30" s="320">
        <f t="shared" si="1"/>
        <v>0</v>
      </c>
      <c r="I30" s="327" t="str">
        <f>Rooster!H31</f>
        <v>Santpoort Zuid</v>
      </c>
      <c r="J30" s="321">
        <f>IFERROR(VLOOKUP(I30, Locaties!$A$2:$G$15, 7, FALSE), "0")</f>
        <v>18.9</v>
      </c>
      <c r="K30" s="42">
        <f t="shared" si="2"/>
        <v>18.9</v>
      </c>
      <c r="L30" s="429">
        <f>Januari!L30</f>
        <v>5</v>
      </c>
      <c r="M30" s="430" t="str">
        <f>Januari!M30</f>
        <v>2x per week abbo</v>
      </c>
      <c r="N30" s="321">
        <f>IFERROR(VLOOKUP(M30, Tarieven!$A$1:$J$150, 10, FALSE), "0")</f>
        <v>28.55</v>
      </c>
      <c r="O30" s="429">
        <f>Januari!O30</f>
        <v>3</v>
      </c>
      <c r="P30" s="430" t="str">
        <f>Januari!P30</f>
        <v>Cheer regulier + onbeperkt abbo</v>
      </c>
      <c r="Q30" s="325">
        <f>IFERROR(VLOOKUP(P30, Tarieven!$A$2:$J$150, 10, FALSE), "0")</f>
        <v>44.45</v>
      </c>
      <c r="R30" s="431">
        <f>Januari!R30</f>
        <v>1</v>
      </c>
      <c r="S30" s="430" t="str">
        <f>Januari!S30</f>
        <v>Cheer regulier +2 abbo</v>
      </c>
      <c r="T30" s="325">
        <f>IFERROR(VLOOKUP(S30, Tarieven!$A$2:$J$150, 10, FALSE), "0")</f>
        <v>29.03333333</v>
      </c>
      <c r="U30" s="77" t="str">
        <f>Januari!U30</f>
        <v/>
      </c>
      <c r="V30" s="327" t="str">
        <f>Januari!V30</f>
        <v/>
      </c>
      <c r="W30" s="325" t="str">
        <f>IFERROR(VLOOKUP(V30, Tarieven!$A$2:$J$150, 10, FALSE), "0")</f>
        <v>0</v>
      </c>
      <c r="X30" s="138">
        <f>Januari!X30</f>
        <v>4</v>
      </c>
      <c r="Y30" s="398">
        <v>0.0</v>
      </c>
      <c r="Z30" s="329">
        <f t="shared" si="3"/>
        <v>13</v>
      </c>
      <c r="AA30" s="32">
        <f t="shared" si="4"/>
        <v>56.7</v>
      </c>
      <c r="AB30" s="32">
        <f t="shared" si="5"/>
        <v>305.1333333</v>
      </c>
      <c r="AC30" s="32">
        <f t="shared" si="6"/>
        <v>248.4333333</v>
      </c>
    </row>
    <row r="31" ht="22.5" customHeight="1">
      <c r="A31" s="331" t="str">
        <f>Rooster!A32</f>
        <v>Vrijdag</v>
      </c>
      <c r="B31" s="396">
        <f>Rooster!B32</f>
        <v>0.6666666667</v>
      </c>
      <c r="C31" s="15">
        <f>Rooster!C32</f>
        <v>60</v>
      </c>
      <c r="D31" s="11" t="str">
        <f>Rooster!D32</f>
        <v>Cheer 8+</v>
      </c>
      <c r="E31" s="77">
        <v>3.0</v>
      </c>
      <c r="F31" s="327" t="str">
        <f>Rooster!E32</f>
        <v>Eigenaar</v>
      </c>
      <c r="G31" s="319">
        <f>IFERROR(VLOOKUP(F31, Docenten!$A$2:$G$30, 7, FALSE), "0")</f>
        <v>0</v>
      </c>
      <c r="H31" s="320">
        <f t="shared" si="1"/>
        <v>0</v>
      </c>
      <c r="I31" s="327" t="str">
        <f>Rooster!H32</f>
        <v>Santpoort Zuid</v>
      </c>
      <c r="J31" s="321">
        <f>IFERROR(VLOOKUP(I31, Locaties!$A$2:$G$15, 7, FALSE), "0")</f>
        <v>18.9</v>
      </c>
      <c r="K31" s="42">
        <f t="shared" si="2"/>
        <v>18.9</v>
      </c>
      <c r="L31" s="429">
        <f>Januari!L31</f>
        <v>3</v>
      </c>
      <c r="M31" s="430" t="str">
        <f>Januari!M31</f>
        <v>Cheer regulier + onbeperkt abbo</v>
      </c>
      <c r="N31" s="321">
        <f>IFERROR(VLOOKUP(M31, Tarieven!$A$1:$J$150, 10, FALSE), "0")</f>
        <v>44.45</v>
      </c>
      <c r="O31" s="429">
        <f>Januari!O31</f>
        <v>5</v>
      </c>
      <c r="P31" s="430" t="str">
        <f>Januari!P31</f>
        <v>Cheer regulier +1 abbo</v>
      </c>
      <c r="Q31" s="325">
        <f>IFERROR(VLOOKUP(P31, Tarieven!$A$2:$J$150, 10, FALSE), "0")</f>
        <v>32.25</v>
      </c>
      <c r="R31" s="431">
        <f>Januari!R31</f>
        <v>1</v>
      </c>
      <c r="S31" s="430" t="str">
        <f>Januari!S31</f>
        <v>Cheer regulier abbo</v>
      </c>
      <c r="T31" s="325">
        <f>IFERROR(VLOOKUP(S31, Tarieven!$A$2:$J$150, 10, FALSE), "0")</f>
        <v>33.5</v>
      </c>
      <c r="U31" s="77"/>
      <c r="V31" s="327"/>
      <c r="W31" s="325" t="str">
        <f>IFERROR(VLOOKUP(V31, Tarieven!$A$2:$J$150, 10, FALSE), "0")</f>
        <v>0</v>
      </c>
      <c r="X31" s="138">
        <f>Januari!X31</f>
        <v>11</v>
      </c>
      <c r="Y31" s="398">
        <v>0.0</v>
      </c>
      <c r="Z31" s="329">
        <f t="shared" si="3"/>
        <v>20</v>
      </c>
      <c r="AA31" s="32">
        <f t="shared" si="4"/>
        <v>56.7</v>
      </c>
      <c r="AB31" s="32">
        <f t="shared" si="5"/>
        <v>328.1</v>
      </c>
      <c r="AC31" s="32">
        <f t="shared" si="6"/>
        <v>271.4</v>
      </c>
    </row>
    <row r="32" ht="22.5" customHeight="1">
      <c r="A32" s="331" t="str">
        <f>Rooster!A33</f>
        <v>Vrijdag</v>
      </c>
      <c r="B32" s="396">
        <f>Rooster!B33</f>
        <v>0.7083333333</v>
      </c>
      <c r="C32" s="15">
        <f>Rooster!C33</f>
        <v>60</v>
      </c>
      <c r="D32" s="11" t="str">
        <f>Rooster!D33</f>
        <v>Cheer 12+</v>
      </c>
      <c r="E32" s="77">
        <v>3.0</v>
      </c>
      <c r="F32" s="327" t="str">
        <f>Rooster!E33</f>
        <v>Eigenaar</v>
      </c>
      <c r="G32" s="319">
        <f>IFERROR(VLOOKUP(F32, Docenten!$A$2:$G$30, 7, FALSE), "0")</f>
        <v>0</v>
      </c>
      <c r="H32" s="320">
        <f t="shared" si="1"/>
        <v>0</v>
      </c>
      <c r="I32" s="327" t="str">
        <f>Rooster!H33</f>
        <v>Santpoort Zuid</v>
      </c>
      <c r="J32" s="321">
        <f>IFERROR(VLOOKUP(I32, Locaties!$A$2:$G$15, 7, FALSE), "0")</f>
        <v>18.9</v>
      </c>
      <c r="K32" s="42">
        <f t="shared" si="2"/>
        <v>18.9</v>
      </c>
      <c r="L32" s="429">
        <f>Januari!L32</f>
        <v>4</v>
      </c>
      <c r="M32" s="430" t="str">
        <f>Januari!M32</f>
        <v>Cheer regulier +1 abbo</v>
      </c>
      <c r="N32" s="321">
        <f>IFERROR(VLOOKUP(M32, Tarieven!$A$1:$J$150, 10, FALSE), "0")</f>
        <v>32.25</v>
      </c>
      <c r="O32" s="429">
        <f>Januari!O32</f>
        <v>3</v>
      </c>
      <c r="P32" s="430" t="str">
        <f>Januari!P32</f>
        <v>Cheer regulier + onbeperkt abbo</v>
      </c>
      <c r="Q32" s="325">
        <f>IFERROR(VLOOKUP(P32, Tarieven!$A$2:$J$150, 10, FALSE), "0")</f>
        <v>44.45</v>
      </c>
      <c r="R32" s="431">
        <f>Januari!R32</f>
        <v>1</v>
      </c>
      <c r="S32" s="430" t="str">
        <f>Januari!S32</f>
        <v>Cheer regulier abbo</v>
      </c>
      <c r="T32" s="325">
        <f>IFERROR(VLOOKUP(S32, Tarieven!$A$2:$J$150, 10, FALSE), "0")</f>
        <v>33.5</v>
      </c>
      <c r="U32" s="77">
        <f>Januari!U32</f>
        <v>2</v>
      </c>
      <c r="V32" s="327" t="str">
        <f>Januari!V32</f>
        <v>1x per week abbo</v>
      </c>
      <c r="W32" s="325">
        <f>IFERROR(VLOOKUP(V32, Tarieven!$A$2:$J$150, 10, FALSE), "0")</f>
        <v>31</v>
      </c>
      <c r="X32" s="138">
        <f>Januari!X32</f>
        <v>5</v>
      </c>
      <c r="Y32" s="398">
        <v>0.0</v>
      </c>
      <c r="Z32" s="329">
        <f t="shared" si="3"/>
        <v>15</v>
      </c>
      <c r="AA32" s="32">
        <f t="shared" si="4"/>
        <v>56.7</v>
      </c>
      <c r="AB32" s="32">
        <f t="shared" si="5"/>
        <v>357.85</v>
      </c>
      <c r="AC32" s="32">
        <f t="shared" si="6"/>
        <v>301.15</v>
      </c>
    </row>
    <row r="33" ht="22.5" customHeight="1">
      <c r="A33" s="331" t="str">
        <f>Rooster!A34</f>
        <v>Vrijdag</v>
      </c>
      <c r="B33" s="396">
        <f>Rooster!B34</f>
        <v>0.75</v>
      </c>
      <c r="C33" s="15">
        <f>Rooster!C34</f>
        <v>60</v>
      </c>
      <c r="D33" s="11" t="str">
        <f>Rooster!D34</f>
        <v>Urban-pop-Show 11+</v>
      </c>
      <c r="E33" s="77">
        <v>3.0</v>
      </c>
      <c r="F33" s="327" t="str">
        <f>Rooster!E34</f>
        <v>Eigenaar</v>
      </c>
      <c r="G33" s="319">
        <f>IFERROR(VLOOKUP(F33, Docenten!$A$2:$G$30, 7, FALSE), "0")</f>
        <v>0</v>
      </c>
      <c r="H33" s="320">
        <f t="shared" si="1"/>
        <v>0</v>
      </c>
      <c r="I33" s="327" t="str">
        <f>Rooster!H34</f>
        <v>Santpoort Noord</v>
      </c>
      <c r="J33" s="321">
        <f>IFERROR(VLOOKUP(I33, Locaties!$A$2:$G$15, 7, FALSE), "0")</f>
        <v>14.2</v>
      </c>
      <c r="K33" s="42">
        <f t="shared" si="2"/>
        <v>14.2</v>
      </c>
      <c r="L33" s="429">
        <f>Januari!L33</f>
        <v>2</v>
      </c>
      <c r="M33" s="430" t="str">
        <f>Januari!M33</f>
        <v>Cheer regulier +1 abbo</v>
      </c>
      <c r="N33" s="321">
        <f>IFERROR(VLOOKUP(M33, Tarieven!$A$1:$J$150, 10, FALSE), "0")</f>
        <v>32.25</v>
      </c>
      <c r="O33" s="429">
        <f>Januari!O33</f>
        <v>2</v>
      </c>
      <c r="P33" s="430" t="str">
        <f>Januari!P33</f>
        <v>1x per week abbo</v>
      </c>
      <c r="Q33" s="325"/>
      <c r="R33" s="431" t="str">
        <f>Januari!R33</f>
        <v/>
      </c>
      <c r="S33" s="430" t="str">
        <f>Januari!S33</f>
        <v/>
      </c>
      <c r="T33" s="325" t="str">
        <f>IFERROR(VLOOKUP(S33, Tarieven!$A$2:$J$150, 10, FALSE), "0")</f>
        <v>0</v>
      </c>
      <c r="U33" s="77"/>
      <c r="V33" s="327"/>
      <c r="W33" s="325" t="str">
        <f>IFERROR(VLOOKUP(V33, Tarieven!$A$2:$J$150, 10, FALSE), "0")</f>
        <v>0</v>
      </c>
      <c r="X33" s="138">
        <f>Januari!X33</f>
        <v>8</v>
      </c>
      <c r="Y33" s="398">
        <v>0.0</v>
      </c>
      <c r="Z33" s="329">
        <f t="shared" si="3"/>
        <v>12</v>
      </c>
      <c r="AA33" s="32">
        <f t="shared" si="4"/>
        <v>42.6</v>
      </c>
      <c r="AB33" s="32">
        <f t="shared" si="5"/>
        <v>64.5</v>
      </c>
      <c r="AC33" s="32">
        <f t="shared" si="6"/>
        <v>21.9</v>
      </c>
    </row>
    <row r="34" ht="22.5" customHeight="1">
      <c r="A34" s="331" t="str">
        <f>Rooster!A35</f>
        <v>Zaterdag</v>
      </c>
      <c r="B34" s="396">
        <f>Rooster!B35</f>
        <v>0.375</v>
      </c>
      <c r="C34" s="15">
        <f>Rooster!C35</f>
        <v>60</v>
      </c>
      <c r="D34" s="11" t="str">
        <f>Rooster!D35</f>
        <v>Peuters</v>
      </c>
      <c r="E34" s="77">
        <v>3.0</v>
      </c>
      <c r="F34" s="327" t="str">
        <f>Rooster!E35</f>
        <v>Frederique</v>
      </c>
      <c r="G34" s="319">
        <f>IFERROR(VLOOKUP(F34, Docenten!$A$2:$G$30, 7, FALSE), "0")</f>
        <v>12.5</v>
      </c>
      <c r="H34" s="320">
        <f t="shared" si="1"/>
        <v>12.5</v>
      </c>
      <c r="I34" s="327" t="str">
        <f>Rooster!H35</f>
        <v>Santpoort Noord</v>
      </c>
      <c r="J34" s="321">
        <f>IFERROR(VLOOKUP(I34, Locaties!$A$2:$G$15, 7, FALSE), "0")</f>
        <v>14.2</v>
      </c>
      <c r="K34" s="42">
        <f t="shared" si="2"/>
        <v>14.2</v>
      </c>
      <c r="L34" s="437">
        <v>12.0</v>
      </c>
      <c r="M34" s="430" t="str">
        <f>Januari!M34</f>
        <v>1x per week abbo</v>
      </c>
      <c r="N34" s="321">
        <f>IFERROR(VLOOKUP(M34, Tarieven!$A$1:$J$150, 10, FALSE), "0")</f>
        <v>31</v>
      </c>
      <c r="O34" s="429">
        <f>Januari!O34</f>
        <v>1</v>
      </c>
      <c r="P34" s="430" t="str">
        <f>Januari!P34</f>
        <v/>
      </c>
      <c r="Q34" s="325" t="str">
        <f>IFERROR(VLOOKUP(P34, Tarieven!$A$2:$J$150, 10, FALSE), "0")</f>
        <v>0</v>
      </c>
      <c r="R34" s="431" t="str">
        <f>Januari!R34</f>
        <v/>
      </c>
      <c r="S34" s="430" t="str">
        <f>Januari!S34</f>
        <v/>
      </c>
      <c r="T34" s="325" t="str">
        <f>IFERROR(VLOOKUP(S34, Tarieven!$A$2:$J$150, 10, FALSE), "0")</f>
        <v>0</v>
      </c>
      <c r="U34" s="77" t="str">
        <f>Januari!U34</f>
        <v/>
      </c>
      <c r="V34" s="327" t="str">
        <f>Januari!V34</f>
        <v/>
      </c>
      <c r="W34" s="325" t="str">
        <f>IFERROR(VLOOKUP(V34, Tarieven!$A$2:$J$150, 10, FALSE), "0")</f>
        <v>0</v>
      </c>
      <c r="X34" s="138">
        <f>Januari!X34</f>
        <v>4</v>
      </c>
      <c r="Y34" s="398">
        <v>0.0</v>
      </c>
      <c r="Z34" s="329">
        <f t="shared" si="3"/>
        <v>17</v>
      </c>
      <c r="AA34" s="32">
        <f t="shared" si="4"/>
        <v>80.1</v>
      </c>
      <c r="AB34" s="32">
        <f t="shared" si="5"/>
        <v>372</v>
      </c>
      <c r="AC34" s="32">
        <f t="shared" si="6"/>
        <v>291.9</v>
      </c>
    </row>
    <row r="35" ht="22.5" customHeight="1">
      <c r="A35" s="331" t="str">
        <f>Rooster!A36</f>
        <v>Zaterdag</v>
      </c>
      <c r="B35" s="396">
        <f>Rooster!B36</f>
        <v>0.40625</v>
      </c>
      <c r="C35" s="15">
        <f>Rooster!C36</f>
        <v>60</v>
      </c>
      <c r="D35" s="11" t="str">
        <f>Rooster!D36</f>
        <v>Kleuters</v>
      </c>
      <c r="E35" s="77">
        <v>3.0</v>
      </c>
      <c r="F35" s="327" t="str">
        <f>Rooster!E36</f>
        <v>Frederique</v>
      </c>
      <c r="G35" s="319">
        <f>IFERROR(VLOOKUP(F35, Docenten!$A$2:$G$30, 7, FALSE), "0")</f>
        <v>12.5</v>
      </c>
      <c r="H35" s="320">
        <f t="shared" si="1"/>
        <v>12.5</v>
      </c>
      <c r="I35" s="327" t="str">
        <f>Rooster!H36</f>
        <v>Santpoort Noord</v>
      </c>
      <c r="J35" s="321">
        <f>IFERROR(VLOOKUP(I35, Locaties!$A$2:$G$15, 7, FALSE), "0")</f>
        <v>14.2</v>
      </c>
      <c r="K35" s="42">
        <f t="shared" si="2"/>
        <v>14.2</v>
      </c>
      <c r="L35" s="429">
        <f>Januari!L35</f>
        <v>11</v>
      </c>
      <c r="M35" s="430" t="str">
        <f>Januari!M35</f>
        <v>1x per week abbo</v>
      </c>
      <c r="N35" s="321">
        <f>IFERROR(VLOOKUP(M35, Tarieven!$A$1:$J$150, 10, FALSE), "0")</f>
        <v>31</v>
      </c>
      <c r="O35" s="429" t="str">
        <f>Januari!O35</f>
        <v/>
      </c>
      <c r="P35" s="430" t="str">
        <f>Januari!P35</f>
        <v/>
      </c>
      <c r="Q35" s="325"/>
      <c r="R35" s="431" t="str">
        <f>Januari!R35</f>
        <v/>
      </c>
      <c r="S35" s="430" t="str">
        <f>Januari!S35</f>
        <v/>
      </c>
      <c r="T35" s="325" t="str">
        <f>IFERROR(VLOOKUP(S35, Tarieven!$A$2:$J$150, 10, FALSE), "0")</f>
        <v>0</v>
      </c>
      <c r="U35" s="77" t="str">
        <f>Januari!U35</f>
        <v/>
      </c>
      <c r="V35" s="327" t="str">
        <f>Januari!V35</f>
        <v/>
      </c>
      <c r="W35" s="325" t="str">
        <f>IFERROR(VLOOKUP(V35, Tarieven!$A$2:$J$150, 10, FALSE), "0")</f>
        <v>0</v>
      </c>
      <c r="X35" s="138">
        <f>Januari!X35</f>
        <v>5</v>
      </c>
      <c r="Y35" s="398">
        <v>0.0</v>
      </c>
      <c r="Z35" s="329">
        <f t="shared" si="3"/>
        <v>16</v>
      </c>
      <c r="AA35" s="32">
        <f t="shared" si="4"/>
        <v>80.1</v>
      </c>
      <c r="AB35" s="32">
        <f t="shared" si="5"/>
        <v>341</v>
      </c>
      <c r="AC35" s="32">
        <f t="shared" si="6"/>
        <v>260.9</v>
      </c>
    </row>
    <row r="36" ht="22.5" customHeight="1">
      <c r="A36" s="331" t="str">
        <f>Rooster!A37</f>
        <v>Zaterdag</v>
      </c>
      <c r="B36" s="396">
        <f>Rooster!B37</f>
        <v>0.4375</v>
      </c>
      <c r="C36" s="15">
        <f>Rooster!C37</f>
        <v>60</v>
      </c>
      <c r="D36" s="11" t="str">
        <f>Rooster!D37</f>
        <v>Showdance 5-6</v>
      </c>
      <c r="E36" s="77">
        <v>3.0</v>
      </c>
      <c r="F36" s="327" t="str">
        <f>Rooster!E37</f>
        <v>Frederique</v>
      </c>
      <c r="G36" s="319">
        <f>IFERROR(VLOOKUP(F36, Docenten!$A$2:$G$30, 7, FALSE), "0")</f>
        <v>12.5</v>
      </c>
      <c r="H36" s="320">
        <f t="shared" si="1"/>
        <v>12.5</v>
      </c>
      <c r="I36" s="327" t="str">
        <f>Rooster!H37</f>
        <v>Santpoort Noord</v>
      </c>
      <c r="J36" s="321">
        <f>IFERROR(VLOOKUP(I36, Locaties!$A$2:$G$15, 7, FALSE), "0")</f>
        <v>14.2</v>
      </c>
      <c r="K36" s="42">
        <f t="shared" si="2"/>
        <v>14.2</v>
      </c>
      <c r="L36" s="429">
        <f>Januari!L36</f>
        <v>1</v>
      </c>
      <c r="M36" s="430" t="str">
        <f>Januari!M36</f>
        <v>1x per week abbo</v>
      </c>
      <c r="N36" s="321">
        <f>IFERROR(VLOOKUP(M36, Tarieven!$A$1:$J$150, 10, FALSE), "0")</f>
        <v>31</v>
      </c>
      <c r="O36" s="429" t="str">
        <f>Januari!O36</f>
        <v/>
      </c>
      <c r="P36" s="430" t="str">
        <f>Januari!P36</f>
        <v/>
      </c>
      <c r="Q36" s="325" t="str">
        <f>IFERROR(VLOOKUP(P36, Tarieven!$A$2:$J$150, 10, FALSE), "0")</f>
        <v>0</v>
      </c>
      <c r="R36" s="431" t="str">
        <f>Januari!R36</f>
        <v/>
      </c>
      <c r="S36" s="430" t="str">
        <f>Januari!S36</f>
        <v/>
      </c>
      <c r="T36" s="325" t="str">
        <f>IFERROR(VLOOKUP(S36, Tarieven!$A$2:$J$150, 10, FALSE), "0")</f>
        <v>0</v>
      </c>
      <c r="U36" s="77" t="str">
        <f>Januari!U36</f>
        <v/>
      </c>
      <c r="V36" s="327" t="str">
        <f>Januari!V36</f>
        <v/>
      </c>
      <c r="W36" s="325" t="str">
        <f>IFERROR(VLOOKUP(V36, Tarieven!$A$2:$J$150, 10, FALSE), "0")</f>
        <v>0</v>
      </c>
      <c r="X36" s="138">
        <f>Januari!X36</f>
        <v>9</v>
      </c>
      <c r="Y36" s="398">
        <v>0.0</v>
      </c>
      <c r="Z36" s="329">
        <f t="shared" si="3"/>
        <v>10</v>
      </c>
      <c r="AA36" s="32">
        <f t="shared" si="4"/>
        <v>80.1</v>
      </c>
      <c r="AB36" s="32">
        <f t="shared" si="5"/>
        <v>31</v>
      </c>
      <c r="AC36" s="32">
        <f t="shared" si="6"/>
        <v>-49.1</v>
      </c>
    </row>
    <row r="37" ht="22.5" customHeight="1">
      <c r="A37" s="331" t="str">
        <f>Rooster!A38</f>
        <v>Zaterdag</v>
      </c>
      <c r="B37" s="396">
        <f>Rooster!B38</f>
        <v>0.4791666667</v>
      </c>
      <c r="C37" s="15">
        <f>Rooster!C38</f>
        <v>60</v>
      </c>
      <c r="D37" s="11" t="str">
        <f>Rooster!D38</f>
        <v>Showdance 7+</v>
      </c>
      <c r="E37" s="77">
        <v>3.0</v>
      </c>
      <c r="F37" s="327" t="str">
        <f>Rooster!E38</f>
        <v>Frederique</v>
      </c>
      <c r="G37" s="319">
        <f>IFERROR(VLOOKUP(F37, Docenten!$A$2:$G$30, 7, FALSE), "0")</f>
        <v>12.5</v>
      </c>
      <c r="H37" s="320">
        <f t="shared" si="1"/>
        <v>12.5</v>
      </c>
      <c r="I37" s="327" t="str">
        <f>Rooster!H38</f>
        <v>Santpoort Noord</v>
      </c>
      <c r="J37" s="321">
        <f>IFERROR(VLOOKUP(I37, Locaties!$A$2:$G$15, 7, FALSE), "0")</f>
        <v>14.2</v>
      </c>
      <c r="K37" s="42">
        <f t="shared" si="2"/>
        <v>14.2</v>
      </c>
      <c r="L37" s="429">
        <f>Januari!L37</f>
        <v>6</v>
      </c>
      <c r="M37" s="430" t="str">
        <f>Januari!M37</f>
        <v>1x per week abbo</v>
      </c>
      <c r="N37" s="321">
        <f>IFERROR(VLOOKUP(M37, Tarieven!$A$1:$J$150, 10, FALSE), "0")</f>
        <v>31</v>
      </c>
      <c r="O37" s="429">
        <f>Januari!O37</f>
        <v>1</v>
      </c>
      <c r="P37" s="430" t="str">
        <f>Januari!P37</f>
        <v>2x per week abbo</v>
      </c>
      <c r="Q37" s="325">
        <f>IFERROR(VLOOKUP(P37, Tarieven!$A$2:$J$150, 10, FALSE), "0")</f>
        <v>28.55</v>
      </c>
      <c r="R37" s="431" t="str">
        <f>Januari!R37</f>
        <v/>
      </c>
      <c r="S37" s="430" t="str">
        <f>Januari!S37</f>
        <v/>
      </c>
      <c r="T37" s="325" t="str">
        <f>IFERROR(VLOOKUP(S37, Tarieven!$A$2:$J$150, 10, FALSE), "0")</f>
        <v>0</v>
      </c>
      <c r="U37" s="77" t="str">
        <f>Januari!U37</f>
        <v/>
      </c>
      <c r="V37" s="327" t="str">
        <f>Januari!V37</f>
        <v/>
      </c>
      <c r="W37" s="325" t="str">
        <f>IFERROR(VLOOKUP(V37, Tarieven!$A$2:$J$150, 10, FALSE), "0")</f>
        <v>0</v>
      </c>
      <c r="X37" s="138">
        <f>Januari!X37</f>
        <v>4</v>
      </c>
      <c r="Y37" s="398">
        <v>0.0</v>
      </c>
      <c r="Z37" s="329">
        <f t="shared" si="3"/>
        <v>11</v>
      </c>
      <c r="AA37" s="32">
        <f t="shared" si="4"/>
        <v>80.1</v>
      </c>
      <c r="AB37" s="32">
        <f t="shared" si="5"/>
        <v>214.55</v>
      </c>
      <c r="AC37" s="32">
        <f t="shared" si="6"/>
        <v>134.45</v>
      </c>
    </row>
    <row r="38" ht="22.5" customHeight="1">
      <c r="A38" s="331" t="str">
        <f>Rooster!A39</f>
        <v>Zaterdag</v>
      </c>
      <c r="B38" s="396">
        <f>Rooster!B39</f>
        <v>0.4166666667</v>
      </c>
      <c r="C38" s="15">
        <f>Rooster!C39</f>
        <v>60</v>
      </c>
      <c r="D38" s="11" t="str">
        <f>Rooster!D39</f>
        <v>Peuters</v>
      </c>
      <c r="E38" s="77">
        <v>3.0</v>
      </c>
      <c r="F38" s="327" t="str">
        <f>Rooster!E39</f>
        <v>Tess</v>
      </c>
      <c r="G38" s="319">
        <f>IFERROR(VLOOKUP(F38, Docenten!$A$2:$G$30, 7, FALSE), "0")</f>
        <v>17.5</v>
      </c>
      <c r="H38" s="320">
        <f t="shared" si="1"/>
        <v>17.5</v>
      </c>
      <c r="I38" s="327" t="str">
        <f>Rooster!H39</f>
        <v>Santpoort Zuid</v>
      </c>
      <c r="J38" s="321">
        <f>IFERROR(VLOOKUP(I38, Locaties!$A$2:$G$15, 7, FALSE), "0")</f>
        <v>18.9</v>
      </c>
      <c r="K38" s="42">
        <f t="shared" si="2"/>
        <v>18.9</v>
      </c>
      <c r="L38" s="429" t="str">
        <f>Januari!L38</f>
        <v/>
      </c>
      <c r="M38" s="430" t="str">
        <f>Januari!M38</f>
        <v/>
      </c>
      <c r="N38" s="321" t="str">
        <f>IFERROR(VLOOKUP(M38, Tarieven!$A$1:$J$150, 10, FALSE), "0")</f>
        <v>0</v>
      </c>
      <c r="O38" s="429" t="str">
        <f>Januari!O38</f>
        <v/>
      </c>
      <c r="P38" s="430" t="str">
        <f>Januari!P38</f>
        <v/>
      </c>
      <c r="Q38" s="325" t="str">
        <f>IFERROR(VLOOKUP(P38, Tarieven!$A$2:$J$150, 10, FALSE), "0")</f>
        <v>0</v>
      </c>
      <c r="R38" s="431" t="str">
        <f>Januari!R38</f>
        <v/>
      </c>
      <c r="S38" s="430" t="str">
        <f>Januari!S38</f>
        <v/>
      </c>
      <c r="T38" s="325" t="str">
        <f>IFERROR(VLOOKUP(S38, Tarieven!$A$2:$J$150, 10, FALSE), "0")</f>
        <v>0</v>
      </c>
      <c r="U38" s="77" t="str">
        <f>Januari!U38</f>
        <v/>
      </c>
      <c r="V38" s="327" t="str">
        <f>Januari!V38</f>
        <v/>
      </c>
      <c r="W38" s="325" t="str">
        <f>IFERROR(VLOOKUP(V38, Tarieven!$A$2:$J$150, 10, FALSE), "0")</f>
        <v>0</v>
      </c>
      <c r="X38" s="138">
        <f>Januari!X38</f>
        <v>0</v>
      </c>
      <c r="Y38" s="398">
        <v>0.0</v>
      </c>
      <c r="Z38" s="329">
        <f t="shared" si="3"/>
        <v>0</v>
      </c>
      <c r="AA38" s="32">
        <f t="shared" si="4"/>
        <v>109.2</v>
      </c>
      <c r="AB38" s="32">
        <f t="shared" si="5"/>
        <v>0</v>
      </c>
      <c r="AC38" s="32">
        <f t="shared" si="6"/>
        <v>-109.2</v>
      </c>
    </row>
    <row r="39" ht="22.5" customHeight="1">
      <c r="A39" s="331" t="str">
        <f>Rooster!A40</f>
        <v>Zaterdag</v>
      </c>
      <c r="B39" s="396">
        <f>Rooster!B40</f>
        <v>0.4479166667</v>
      </c>
      <c r="C39" s="15">
        <f>Rooster!C40</f>
        <v>60</v>
      </c>
      <c r="D39" s="11" t="str">
        <f>Rooster!D40</f>
        <v>Kleuters</v>
      </c>
      <c r="E39" s="77">
        <v>3.0</v>
      </c>
      <c r="F39" s="327" t="str">
        <f>Rooster!E40</f>
        <v>Tess</v>
      </c>
      <c r="G39" s="319">
        <f>IFERROR(VLOOKUP(F39, Docenten!$A$2:$G$30, 7, FALSE), "0")</f>
        <v>17.5</v>
      </c>
      <c r="H39" s="320">
        <f t="shared" si="1"/>
        <v>17.5</v>
      </c>
      <c r="I39" s="327" t="str">
        <f>Rooster!H40</f>
        <v>Santpoort Zuid</v>
      </c>
      <c r="J39" s="321">
        <f>IFERROR(VLOOKUP(I39, Locaties!$A$2:$G$15, 7, FALSE), "0")</f>
        <v>18.9</v>
      </c>
      <c r="K39" s="42">
        <f t="shared" si="2"/>
        <v>18.9</v>
      </c>
      <c r="L39" s="437">
        <v>9.0</v>
      </c>
      <c r="M39" s="430" t="str">
        <f>Januari!M39</f>
        <v>1x per week abbo</v>
      </c>
      <c r="N39" s="321">
        <f>IFERROR(VLOOKUP(M39, Tarieven!$A$1:$J$150, 10, FALSE), "0")</f>
        <v>31</v>
      </c>
      <c r="O39" s="437">
        <v>1.0</v>
      </c>
      <c r="P39" s="438" t="s">
        <v>46</v>
      </c>
      <c r="Q39" s="432">
        <v>20.0</v>
      </c>
      <c r="R39" s="431">
        <f>Januari!R39</f>
        <v>1</v>
      </c>
      <c r="S39" s="430" t="str">
        <f>Januari!S39</f>
        <v>1x per week </v>
      </c>
      <c r="T39" s="325">
        <f>IFERROR(VLOOKUP(S39, Tarieven!$A$2:$J$150, 10, FALSE), "0")</f>
        <v>279</v>
      </c>
      <c r="U39" s="77">
        <f>Januari!U39</f>
        <v>1</v>
      </c>
      <c r="V39" s="327" t="str">
        <f>Januari!V39</f>
        <v>Aangepast tarief</v>
      </c>
      <c r="W39" s="325">
        <f>IFERROR(VLOOKUP(V39, Tarieven!$A$2:$J$150, 10, FALSE), "0")</f>
        <v>0</v>
      </c>
      <c r="X39" s="138">
        <f>Januari!X39</f>
        <v>0</v>
      </c>
      <c r="Y39" s="398">
        <v>0.0</v>
      </c>
      <c r="Z39" s="329">
        <f t="shared" si="3"/>
        <v>12</v>
      </c>
      <c r="AA39" s="32">
        <f t="shared" si="4"/>
        <v>109.2</v>
      </c>
      <c r="AB39" s="32">
        <f t="shared" si="5"/>
        <v>578</v>
      </c>
      <c r="AC39" s="32">
        <f t="shared" si="6"/>
        <v>468.8</v>
      </c>
    </row>
    <row r="40" ht="22.5" customHeight="1">
      <c r="A40" s="331" t="str">
        <f>Rooster!A41</f>
        <v/>
      </c>
      <c r="B40" s="396" t="str">
        <f>Rooster!B41</f>
        <v/>
      </c>
      <c r="C40" s="15" t="str">
        <f>Rooster!C41</f>
        <v/>
      </c>
      <c r="D40" s="11" t="str">
        <f>Rooster!D41</f>
        <v/>
      </c>
      <c r="E40" s="77"/>
      <c r="F40" s="327" t="str">
        <f>Rooster!E41</f>
        <v/>
      </c>
      <c r="G40" s="319" t="str">
        <f>IFERROR(VLOOKUP(F40, Docenten!$A$2:$G$30, 7, FALSE), "0")</f>
        <v>0</v>
      </c>
      <c r="H40" s="320">
        <f t="shared" si="1"/>
        <v>0</v>
      </c>
      <c r="I40" s="327" t="str">
        <f>Rooster!H41</f>
        <v/>
      </c>
      <c r="J40" s="321" t="str">
        <f>IFERROR(VLOOKUP(I40, Locaties!$A$2:$G$15, 7, FALSE), "0")</f>
        <v>0</v>
      </c>
      <c r="K40" s="42">
        <f t="shared" si="2"/>
        <v>0</v>
      </c>
      <c r="L40" s="429" t="str">
        <f>Januari!L40</f>
        <v/>
      </c>
      <c r="M40" s="430" t="str">
        <f>Januari!M40</f>
        <v/>
      </c>
      <c r="N40" s="321" t="str">
        <f>IFERROR(VLOOKUP(M40, Tarieven!$A$1:$J$150, 10, FALSE), "0")</f>
        <v>0</v>
      </c>
      <c r="O40" s="429" t="str">
        <f>Januari!O40</f>
        <v/>
      </c>
      <c r="P40" s="430" t="str">
        <f>Januari!P40</f>
        <v/>
      </c>
      <c r="Q40" s="325" t="str">
        <f>IFERROR(VLOOKUP(P40, Tarieven!$A$2:$J$150, 10, FALSE), "0")</f>
        <v>0</v>
      </c>
      <c r="R40" s="431" t="str">
        <f>Januari!R40</f>
        <v/>
      </c>
      <c r="S40" s="430" t="str">
        <f>Januari!S40</f>
        <v/>
      </c>
      <c r="T40" s="325" t="str">
        <f>IFERROR(VLOOKUP(S40, Tarieven!$A$2:$J$150, 10, FALSE), "0")</f>
        <v>0</v>
      </c>
      <c r="U40" s="77" t="str">
        <f>Januari!U40</f>
        <v/>
      </c>
      <c r="V40" s="327" t="str">
        <f>Januari!V40</f>
        <v/>
      </c>
      <c r="W40" s="325" t="str">
        <f>IFERROR(VLOOKUP(V40, Tarieven!$A$2:$J$150, 10, FALSE), "0")</f>
        <v>0</v>
      </c>
      <c r="X40" s="138">
        <f>Januari!X40</f>
        <v>0</v>
      </c>
      <c r="Y40" s="398">
        <v>0.0</v>
      </c>
      <c r="Z40" s="329">
        <f t="shared" si="3"/>
        <v>0</v>
      </c>
      <c r="AA40" s="32">
        <f t="shared" si="4"/>
        <v>0</v>
      </c>
      <c r="AB40" s="32">
        <f t="shared" si="5"/>
        <v>0</v>
      </c>
      <c r="AC40" s="32">
        <f t="shared" si="6"/>
        <v>0</v>
      </c>
    </row>
    <row r="41" ht="22.5" customHeight="1">
      <c r="A41" s="331" t="str">
        <f>Rooster!A42</f>
        <v/>
      </c>
      <c r="B41" s="396" t="str">
        <f>Rooster!B42</f>
        <v/>
      </c>
      <c r="C41" s="15" t="str">
        <f>Rooster!C42</f>
        <v/>
      </c>
      <c r="D41" s="11" t="str">
        <f>Rooster!D42</f>
        <v/>
      </c>
      <c r="E41" s="77"/>
      <c r="F41" s="327" t="str">
        <f>Rooster!E42</f>
        <v/>
      </c>
      <c r="G41" s="319" t="str">
        <f>IFERROR(VLOOKUP(F41, Docenten!$A$2:$G$30, 7, FALSE), "0")</f>
        <v>0</v>
      </c>
      <c r="H41" s="320">
        <f t="shared" si="1"/>
        <v>0</v>
      </c>
      <c r="I41" s="327" t="str">
        <f>Rooster!H42</f>
        <v/>
      </c>
      <c r="J41" s="321" t="str">
        <f>IFERROR(VLOOKUP(I41, Locaties!$A$2:$G$15, 7, FALSE), "0")</f>
        <v>0</v>
      </c>
      <c r="K41" s="42">
        <f t="shared" si="2"/>
        <v>0</v>
      </c>
      <c r="L41" s="429" t="str">
        <f>Januari!L41</f>
        <v/>
      </c>
      <c r="M41" s="430" t="str">
        <f>Januari!M41</f>
        <v/>
      </c>
      <c r="N41" s="321" t="str">
        <f>IFERROR(VLOOKUP(M41, Tarieven!$A$1:$J$150, 10, FALSE), "0")</f>
        <v>0</v>
      </c>
      <c r="O41" s="429" t="str">
        <f>Januari!O41</f>
        <v/>
      </c>
      <c r="P41" s="430" t="str">
        <f>Januari!P41</f>
        <v/>
      </c>
      <c r="Q41" s="325" t="str">
        <f>IFERROR(VLOOKUP(P41, Tarieven!$A$2:$J$150, 10, FALSE), "0")</f>
        <v>0</v>
      </c>
      <c r="R41" s="431" t="str">
        <f>Januari!R41</f>
        <v/>
      </c>
      <c r="S41" s="430" t="str">
        <f>Januari!S41</f>
        <v/>
      </c>
      <c r="T41" s="325" t="str">
        <f>IFERROR(VLOOKUP(S41, Tarieven!$A$2:$J$150, 10, FALSE), "0")</f>
        <v>0</v>
      </c>
      <c r="U41" s="77" t="str">
        <f>Januari!U41</f>
        <v/>
      </c>
      <c r="V41" s="327" t="str">
        <f>Januari!V41</f>
        <v/>
      </c>
      <c r="W41" s="325" t="str">
        <f>IFERROR(VLOOKUP(V41, Tarieven!$A$2:$J$150, 10, FALSE), "0")</f>
        <v>0</v>
      </c>
      <c r="X41" s="138">
        <f>Januari!X41</f>
        <v>0</v>
      </c>
      <c r="Y41" s="398">
        <v>0.0</v>
      </c>
      <c r="Z41" s="329">
        <f t="shared" si="3"/>
        <v>0</v>
      </c>
      <c r="AA41" s="32">
        <f t="shared" si="4"/>
        <v>0</v>
      </c>
      <c r="AB41" s="32">
        <f t="shared" si="5"/>
        <v>0</v>
      </c>
      <c r="AC41" s="32">
        <f t="shared" si="6"/>
        <v>0</v>
      </c>
    </row>
    <row r="42" ht="22.5" customHeight="1">
      <c r="A42" s="331" t="str">
        <f>Rooster!A43</f>
        <v>Maandag</v>
      </c>
      <c r="B42" s="396">
        <f>Rooster!B43</f>
        <v>0.3958333333</v>
      </c>
      <c r="C42" s="15">
        <f>Rooster!C43</f>
        <v>60</v>
      </c>
      <c r="D42" s="11" t="str">
        <f>Rooster!D43</f>
        <v>Kinderopvang</v>
      </c>
      <c r="E42" s="77">
        <v>4.0</v>
      </c>
      <c r="F42" s="327" t="str">
        <f>Rooster!E43</f>
        <v>Opvang T</v>
      </c>
      <c r="G42" s="319">
        <f>IFERROR(VLOOKUP(F42, Docenten!$A$2:$G$30, 7, FALSE), "0")</f>
        <v>45</v>
      </c>
      <c r="H42" s="320">
        <f t="shared" si="1"/>
        <v>45</v>
      </c>
      <c r="I42" s="327" t="str">
        <f>Rooster!H43</f>
        <v/>
      </c>
      <c r="J42" s="321" t="str">
        <f>IFERROR(VLOOKUP(I42, Locaties!$A$2:$G$15, 7, FALSE), "0")</f>
        <v>0</v>
      </c>
      <c r="K42" s="42">
        <f t="shared" si="2"/>
        <v>0</v>
      </c>
      <c r="L42" s="429">
        <f>Januari!L42</f>
        <v>1</v>
      </c>
      <c r="M42" s="430" t="str">
        <f>Januari!M42</f>
        <v>Aangepast tarief</v>
      </c>
      <c r="N42" s="442">
        <v>320.0</v>
      </c>
      <c r="O42" s="429" t="str">
        <f>Januari!O42</f>
        <v/>
      </c>
      <c r="P42" s="430" t="str">
        <f>Januari!P42</f>
        <v/>
      </c>
      <c r="Q42" s="325" t="str">
        <f>IFERROR(VLOOKUP(P42, Tarieven!$A$2:$J$150, 10, FALSE), "0")</f>
        <v>0</v>
      </c>
      <c r="R42" s="431" t="str">
        <f>Januari!R42</f>
        <v/>
      </c>
      <c r="S42" s="430" t="str">
        <f>Januari!S42</f>
        <v/>
      </c>
      <c r="T42" s="325" t="str">
        <f>IFERROR(VLOOKUP(S42, Tarieven!$A$2:$J$150, 10, FALSE), "0")</f>
        <v>0</v>
      </c>
      <c r="U42" s="77" t="str">
        <f>Januari!U42</f>
        <v/>
      </c>
      <c r="V42" s="327" t="str">
        <f>Januari!V42</f>
        <v/>
      </c>
      <c r="W42" s="325" t="str">
        <f>IFERROR(VLOOKUP(V42, Tarieven!$A$2:$J$150, 10, FALSE), "0")</f>
        <v>0</v>
      </c>
      <c r="X42" s="138">
        <f>Januari!X42</f>
        <v>0</v>
      </c>
      <c r="Y42" s="398">
        <v>0.0</v>
      </c>
      <c r="Z42" s="329">
        <f t="shared" si="3"/>
        <v>1</v>
      </c>
      <c r="AA42" s="32">
        <f t="shared" si="4"/>
        <v>180</v>
      </c>
      <c r="AB42" s="32">
        <f t="shared" si="5"/>
        <v>320</v>
      </c>
      <c r="AC42" s="32">
        <f t="shared" si="6"/>
        <v>140</v>
      </c>
    </row>
    <row r="43" ht="22.5" customHeight="1">
      <c r="A43" s="331" t="str">
        <f>Rooster!A44</f>
        <v>Vrijdag</v>
      </c>
      <c r="B43" s="396">
        <f>Rooster!B44</f>
        <v>0.7916666667</v>
      </c>
      <c r="C43" s="15">
        <v>60.0</v>
      </c>
      <c r="D43" s="11" t="str">
        <f>Rooster!D44</f>
        <v>Prive training</v>
      </c>
      <c r="E43" s="77"/>
      <c r="F43" s="327"/>
      <c r="G43" s="319"/>
      <c r="H43" s="320"/>
      <c r="I43" s="70"/>
      <c r="J43" s="321" t="str">
        <f>IFERROR(VLOOKUP(I43, Locaties!$A$2:$G$15, 7, FALSE), "0")</f>
        <v>0</v>
      </c>
      <c r="K43" s="42">
        <f t="shared" si="2"/>
        <v>0</v>
      </c>
      <c r="L43" s="429" t="str">
        <f>Januari!L43</f>
        <v/>
      </c>
      <c r="M43" s="430" t="str">
        <f>Januari!M43</f>
        <v/>
      </c>
      <c r="N43" s="321" t="str">
        <f>IFERROR(VLOOKUP(M43, Tarieven!$A$1:$J$150, 10, FALSE), "0")</f>
        <v>0</v>
      </c>
      <c r="O43" s="429" t="str">
        <f>Januari!O43</f>
        <v/>
      </c>
      <c r="P43" s="430" t="str">
        <f>Januari!P43</f>
        <v/>
      </c>
      <c r="Q43" s="325" t="str">
        <f>IFERROR(VLOOKUP(P43, Tarieven!$A$2:$J$150, 10, FALSE), "0")</f>
        <v>0</v>
      </c>
      <c r="R43" s="431" t="str">
        <f>Januari!R43</f>
        <v/>
      </c>
      <c r="S43" s="430" t="str">
        <f>Januari!S43</f>
        <v/>
      </c>
      <c r="T43" s="325" t="str">
        <f>IFERROR(VLOOKUP(S43, Tarieven!$A$2:$J$150, 10, FALSE), "0")</f>
        <v>0</v>
      </c>
      <c r="U43" s="77" t="str">
        <f>Januari!U43</f>
        <v/>
      </c>
      <c r="V43" s="327" t="str">
        <f>Januari!V43</f>
        <v/>
      </c>
      <c r="W43" s="325" t="str">
        <f>IFERROR(VLOOKUP(V43, Tarieven!$A$2:$J$150, 10, FALSE), "0")</f>
        <v>0</v>
      </c>
      <c r="X43" s="138">
        <f>Januari!X43</f>
        <v>0</v>
      </c>
      <c r="Y43" s="398">
        <v>0.0</v>
      </c>
      <c r="Z43" s="329">
        <f t="shared" si="3"/>
        <v>0</v>
      </c>
      <c r="AA43" s="32">
        <f t="shared" si="4"/>
        <v>0</v>
      </c>
      <c r="AB43" s="32">
        <f t="shared" si="5"/>
        <v>0</v>
      </c>
      <c r="AC43" s="32">
        <f t="shared" si="6"/>
        <v>0</v>
      </c>
    </row>
    <row r="44" ht="22.5" customHeight="1">
      <c r="A44" s="331" t="str">
        <f>Rooster!A45</f>
        <v>Zaterdag</v>
      </c>
      <c r="B44" s="396">
        <f>Rooster!B45</f>
        <v>0.5625</v>
      </c>
      <c r="C44" s="15">
        <v>60.0</v>
      </c>
      <c r="D44" s="11" t="str">
        <f>Rooster!D45</f>
        <v>Prive training</v>
      </c>
      <c r="E44" s="77"/>
      <c r="F44" s="327"/>
      <c r="G44" s="319"/>
      <c r="H44" s="320"/>
      <c r="I44" s="70"/>
      <c r="J44" s="321" t="str">
        <f>IFERROR(VLOOKUP(I44, Locaties!$A$2:$G$15, 7, FALSE), "0")</f>
        <v>0</v>
      </c>
      <c r="K44" s="42">
        <f t="shared" si="2"/>
        <v>0</v>
      </c>
      <c r="L44" s="429" t="str">
        <f>Januari!L44</f>
        <v/>
      </c>
      <c r="M44" s="430" t="str">
        <f>Januari!M44</f>
        <v/>
      </c>
      <c r="N44" s="321" t="str">
        <f>IFERROR(VLOOKUP(M44, Tarieven!$A$1:$J$150, 10, FALSE), "0")</f>
        <v>0</v>
      </c>
      <c r="O44" s="429" t="str">
        <f>Januari!O44</f>
        <v/>
      </c>
      <c r="P44" s="430" t="str">
        <f>Januari!P44</f>
        <v/>
      </c>
      <c r="Q44" s="325" t="str">
        <f>IFERROR(VLOOKUP(P44, Tarieven!$A$2:$J$150, 10, FALSE), "0")</f>
        <v>0</v>
      </c>
      <c r="R44" s="431" t="str">
        <f>Januari!R44</f>
        <v/>
      </c>
      <c r="S44" s="430" t="str">
        <f>Januari!S44</f>
        <v/>
      </c>
      <c r="T44" s="325" t="str">
        <f>IFERROR(VLOOKUP(S44, Tarieven!$A$2:$J$150, 10, FALSE), "0")</f>
        <v>0</v>
      </c>
      <c r="U44" s="77" t="str">
        <f>Januari!U44</f>
        <v/>
      </c>
      <c r="V44" s="327" t="str">
        <f>Januari!V44</f>
        <v/>
      </c>
      <c r="W44" s="325" t="str">
        <f>IFERROR(VLOOKUP(V44, Tarieven!$A$2:$J$150, 10, FALSE), "0")</f>
        <v>0</v>
      </c>
      <c r="X44" s="138">
        <f>Januari!X44</f>
        <v>0</v>
      </c>
      <c r="Y44" s="398">
        <v>0.0</v>
      </c>
      <c r="Z44" s="329">
        <f t="shared" si="3"/>
        <v>0</v>
      </c>
      <c r="AA44" s="32">
        <f t="shared" si="4"/>
        <v>0</v>
      </c>
      <c r="AB44" s="32">
        <f t="shared" si="5"/>
        <v>0</v>
      </c>
      <c r="AC44" s="32">
        <f t="shared" si="6"/>
        <v>0</v>
      </c>
    </row>
    <row r="45" ht="22.5" customHeight="1">
      <c r="A45" s="331" t="str">
        <f>Rooster!A46</f>
        <v/>
      </c>
      <c r="B45" s="396" t="str">
        <f>Rooster!B46</f>
        <v/>
      </c>
      <c r="C45" s="15" t="str">
        <f>Rooster!C46</f>
        <v/>
      </c>
      <c r="D45" s="11" t="str">
        <f>Rooster!D46</f>
        <v/>
      </c>
      <c r="E45" s="77"/>
      <c r="F45" s="327" t="str">
        <f>Rooster!E46</f>
        <v/>
      </c>
      <c r="G45" s="319" t="str">
        <f>IFERROR(VLOOKUP(F45, Docenten!$A$2:$G$30, 7, FALSE), "0")</f>
        <v>0</v>
      </c>
      <c r="H45" s="320">
        <f t="shared" ref="H45:H101" si="7">SUM(G45/60)*C45</f>
        <v>0</v>
      </c>
      <c r="I45" s="327" t="str">
        <f>Rooster!H46</f>
        <v/>
      </c>
      <c r="J45" s="321" t="str">
        <f>IFERROR(VLOOKUP(I45, Locaties!$A$2:$G$15, 7, FALSE), "0")</f>
        <v>0</v>
      </c>
      <c r="K45" s="42">
        <f t="shared" si="2"/>
        <v>0</v>
      </c>
      <c r="L45" s="429" t="str">
        <f>Januari!L45</f>
        <v/>
      </c>
      <c r="M45" s="430" t="str">
        <f>Januari!M45</f>
        <v/>
      </c>
      <c r="N45" s="321" t="str">
        <f>IFERROR(VLOOKUP(M45, Tarieven!$A$1:$J$150, 10, FALSE), "0")</f>
        <v>0</v>
      </c>
      <c r="O45" s="429" t="str">
        <f>Januari!O45</f>
        <v/>
      </c>
      <c r="P45" s="430" t="str">
        <f>Januari!P45</f>
        <v/>
      </c>
      <c r="Q45" s="325" t="str">
        <f>IFERROR(VLOOKUP(P45, Tarieven!$A$2:$J$150, 10, FALSE), "0")</f>
        <v>0</v>
      </c>
      <c r="R45" s="431" t="str">
        <f>Januari!R45</f>
        <v/>
      </c>
      <c r="S45" s="430" t="str">
        <f>Januari!S45</f>
        <v/>
      </c>
      <c r="T45" s="325" t="str">
        <f>IFERROR(VLOOKUP(S45, Tarieven!$A$2:$J$150, 10, FALSE), "0")</f>
        <v>0</v>
      </c>
      <c r="U45" s="77" t="str">
        <f>Januari!U45</f>
        <v/>
      </c>
      <c r="V45" s="327" t="str">
        <f>Januari!V45</f>
        <v/>
      </c>
      <c r="W45" s="325" t="str">
        <f>IFERROR(VLOOKUP(V45, Tarieven!$A$2:$J$150, 10, FALSE), "0")</f>
        <v>0</v>
      </c>
      <c r="X45" s="138">
        <f>Januari!X45</f>
        <v>0</v>
      </c>
      <c r="Y45" s="398">
        <v>0.0</v>
      </c>
      <c r="Z45" s="329">
        <f t="shared" si="3"/>
        <v>0</v>
      </c>
      <c r="AA45" s="32">
        <f t="shared" si="4"/>
        <v>0</v>
      </c>
      <c r="AB45" s="32">
        <f t="shared" si="5"/>
        <v>0</v>
      </c>
      <c r="AC45" s="32">
        <f t="shared" si="6"/>
        <v>0</v>
      </c>
    </row>
    <row r="46" ht="22.5" customHeight="1">
      <c r="A46" s="331" t="str">
        <f>Rooster!A47</f>
        <v/>
      </c>
      <c r="B46" s="396" t="str">
        <f>Rooster!B47</f>
        <v/>
      </c>
      <c r="C46" s="15" t="str">
        <f>Rooster!C47</f>
        <v/>
      </c>
      <c r="D46" s="11" t="str">
        <f>Rooster!D47</f>
        <v/>
      </c>
      <c r="E46" s="77"/>
      <c r="F46" s="327" t="str">
        <f>Rooster!E47</f>
        <v/>
      </c>
      <c r="G46" s="319" t="str">
        <f>IFERROR(VLOOKUP(F46, Docenten!$A$2:$G$30, 7, FALSE), "0")</f>
        <v>0</v>
      </c>
      <c r="H46" s="320">
        <f t="shared" si="7"/>
        <v>0</v>
      </c>
      <c r="I46" s="327" t="str">
        <f>Rooster!H47</f>
        <v/>
      </c>
      <c r="J46" s="321" t="str">
        <f>IFERROR(VLOOKUP(I46, Locaties!$A$2:$G$15, 7, FALSE), "0")</f>
        <v>0</v>
      </c>
      <c r="K46" s="42">
        <f t="shared" si="2"/>
        <v>0</v>
      </c>
      <c r="L46" s="429" t="str">
        <f>Januari!L46</f>
        <v/>
      </c>
      <c r="M46" s="430" t="str">
        <f>Januari!M46</f>
        <v/>
      </c>
      <c r="N46" s="321" t="str">
        <f>IFERROR(VLOOKUP(M46, Tarieven!$A$1:$J$150, 10, FALSE), "0")</f>
        <v>0</v>
      </c>
      <c r="O46" s="429" t="str">
        <f>Januari!O46</f>
        <v/>
      </c>
      <c r="P46" s="430" t="str">
        <f>Januari!P46</f>
        <v/>
      </c>
      <c r="Q46" s="325" t="str">
        <f>IFERROR(VLOOKUP(P46, Tarieven!$A$2:$J$150, 10, FALSE), "0")</f>
        <v>0</v>
      </c>
      <c r="R46" s="431" t="str">
        <f>Januari!R46</f>
        <v/>
      </c>
      <c r="S46" s="430" t="str">
        <f>Januari!S46</f>
        <v/>
      </c>
      <c r="T46" s="325" t="str">
        <f>IFERROR(VLOOKUP(S46, Tarieven!$A$2:$J$150, 10, FALSE), "0")</f>
        <v>0</v>
      </c>
      <c r="U46" s="77" t="str">
        <f>Januari!U46</f>
        <v/>
      </c>
      <c r="V46" s="327" t="str">
        <f>Januari!V46</f>
        <v/>
      </c>
      <c r="W46" s="325" t="str">
        <f>IFERROR(VLOOKUP(V46, Tarieven!$A$2:$J$150, 10, FALSE), "0")</f>
        <v>0</v>
      </c>
      <c r="X46" s="138">
        <f>Januari!X46</f>
        <v>0</v>
      </c>
      <c r="Y46" s="398">
        <v>0.0</v>
      </c>
      <c r="Z46" s="329">
        <f t="shared" si="3"/>
        <v>0</v>
      </c>
      <c r="AA46" s="32">
        <f t="shared" si="4"/>
        <v>0</v>
      </c>
      <c r="AB46" s="32">
        <f t="shared" si="5"/>
        <v>0</v>
      </c>
      <c r="AC46" s="32">
        <f t="shared" si="6"/>
        <v>0</v>
      </c>
    </row>
    <row r="47" ht="22.5" customHeight="1">
      <c r="A47" s="331" t="str">
        <f>Rooster!A48</f>
        <v>Donderdag</v>
      </c>
      <c r="B47" s="396">
        <f>Rooster!B48</f>
        <v>0.75</v>
      </c>
      <c r="C47" s="15">
        <f>Rooster!C48</f>
        <v>60</v>
      </c>
      <c r="D47" s="11" t="str">
        <f>Rooster!D48</f>
        <v>Turnen 6+</v>
      </c>
      <c r="E47" s="77">
        <v>3.0</v>
      </c>
      <c r="F47" s="327" t="str">
        <f>Rooster!E48</f>
        <v>Dion + 3</v>
      </c>
      <c r="G47" s="319">
        <f>IFERROR(VLOOKUP(F47, Docenten!$A$2:$G$30, 7, FALSE), "0")</f>
        <v>34</v>
      </c>
      <c r="H47" s="320">
        <f t="shared" si="7"/>
        <v>34</v>
      </c>
      <c r="I47" s="327" t="str">
        <f>Rooster!H48</f>
        <v>Santpoort Noord</v>
      </c>
      <c r="J47" s="321">
        <f>IFERROR(VLOOKUP(I47, Locaties!$A$2:$G$15, 7, FALSE), "0")</f>
        <v>14.2</v>
      </c>
      <c r="K47" s="42">
        <f t="shared" si="2"/>
        <v>14.2</v>
      </c>
      <c r="L47" s="429">
        <f>Januari!L47</f>
        <v>10</v>
      </c>
      <c r="M47" s="430" t="str">
        <f>Januari!M47</f>
        <v>Aangepast tarief</v>
      </c>
      <c r="N47" s="321">
        <f>IFERROR(VLOOKUP(M47, Tarieven!$A$1:$J$150, 10, FALSE), "0")</f>
        <v>0</v>
      </c>
      <c r="O47" s="437">
        <v>1.0</v>
      </c>
      <c r="P47" s="438" t="s">
        <v>46</v>
      </c>
      <c r="Q47" s="432">
        <v>75.0</v>
      </c>
      <c r="R47" s="431" t="str">
        <f>Januari!R47</f>
        <v/>
      </c>
      <c r="S47" s="430" t="str">
        <f>Januari!S47</f>
        <v/>
      </c>
      <c r="T47" s="325" t="str">
        <f>IFERROR(VLOOKUP(S47, Tarieven!$A$2:$J$150, 10, FALSE), "0")</f>
        <v>0</v>
      </c>
      <c r="U47" s="77" t="str">
        <f>Januari!U47</f>
        <v/>
      </c>
      <c r="V47" s="327" t="str">
        <f>Januari!V47</f>
        <v/>
      </c>
      <c r="W47" s="325" t="str">
        <f>IFERROR(VLOOKUP(V47, Tarieven!$A$2:$J$150, 10, FALSE), "0")</f>
        <v>0</v>
      </c>
      <c r="X47" s="138">
        <f>Januari!X47</f>
        <v>0</v>
      </c>
      <c r="Y47" s="398">
        <v>0.0</v>
      </c>
      <c r="Z47" s="329">
        <f t="shared" si="3"/>
        <v>11</v>
      </c>
      <c r="AA47" s="32">
        <f t="shared" si="4"/>
        <v>144.6</v>
      </c>
      <c r="AB47" s="32">
        <f t="shared" si="5"/>
        <v>75</v>
      </c>
      <c r="AC47" s="32">
        <f t="shared" si="6"/>
        <v>-69.6</v>
      </c>
    </row>
    <row r="48" ht="22.5" customHeight="1">
      <c r="A48" s="331" t="str">
        <f>Rooster!A49</f>
        <v>Donderdag</v>
      </c>
      <c r="B48" s="396">
        <f>Rooster!B49</f>
        <v>0.7916666667</v>
      </c>
      <c r="C48" s="15">
        <f>Rooster!C49</f>
        <v>60</v>
      </c>
      <c r="D48" s="11" t="str">
        <f>Rooster!D49</f>
        <v>Turnen 12+</v>
      </c>
      <c r="E48" s="77">
        <v>3.0</v>
      </c>
      <c r="F48" s="327" t="str">
        <f>Rooster!E49</f>
        <v>Dion + 3</v>
      </c>
      <c r="G48" s="319">
        <f>IFERROR(VLOOKUP(F48, Docenten!$A$2:$G$30, 7, FALSE), "0")</f>
        <v>34</v>
      </c>
      <c r="H48" s="320">
        <f t="shared" si="7"/>
        <v>34</v>
      </c>
      <c r="I48" s="327" t="str">
        <f>Rooster!H49</f>
        <v>Santpoort Noord</v>
      </c>
      <c r="J48" s="321">
        <f>IFERROR(VLOOKUP(I48, Locaties!$A$2:$G$15, 7, FALSE), "0")</f>
        <v>14.2</v>
      </c>
      <c r="K48" s="42">
        <f t="shared" si="2"/>
        <v>14.2</v>
      </c>
      <c r="L48" s="429">
        <f>Januari!L48</f>
        <v>6</v>
      </c>
      <c r="M48" s="430" t="str">
        <f>Januari!M48</f>
        <v>Aangepast tarief</v>
      </c>
      <c r="N48" s="321">
        <f>IFERROR(VLOOKUP(M48, Tarieven!$A$1:$J$150, 10, FALSE), "0")</f>
        <v>0</v>
      </c>
      <c r="O48" s="437">
        <v>2.0</v>
      </c>
      <c r="P48" s="438" t="s">
        <v>46</v>
      </c>
      <c r="Q48" s="432">
        <v>65.0</v>
      </c>
      <c r="R48" s="431" t="str">
        <f>Januari!R48</f>
        <v/>
      </c>
      <c r="S48" s="430" t="str">
        <f>Januari!S48</f>
        <v/>
      </c>
      <c r="T48" s="325" t="str">
        <f>IFERROR(VLOOKUP(S48, Tarieven!$A$2:$J$150, 10, FALSE), "0")</f>
        <v>0</v>
      </c>
      <c r="U48" s="77" t="str">
        <f>Januari!U48</f>
        <v/>
      </c>
      <c r="V48" s="327" t="str">
        <f>Januari!V48</f>
        <v/>
      </c>
      <c r="W48" s="325" t="str">
        <f>IFERROR(VLOOKUP(V48, Tarieven!$A$2:$J$150, 10, FALSE), "0")</f>
        <v>0</v>
      </c>
      <c r="X48" s="138">
        <f>Januari!X48</f>
        <v>0</v>
      </c>
      <c r="Y48" s="398">
        <v>0.0</v>
      </c>
      <c r="Z48" s="329">
        <f t="shared" si="3"/>
        <v>8</v>
      </c>
      <c r="AA48" s="32">
        <f t="shared" si="4"/>
        <v>144.6</v>
      </c>
      <c r="AB48" s="32">
        <f t="shared" si="5"/>
        <v>130</v>
      </c>
      <c r="AC48" s="32">
        <f t="shared" si="6"/>
        <v>-14.6</v>
      </c>
    </row>
    <row r="49" ht="22.5" customHeight="1">
      <c r="A49" s="331" t="str">
        <f>Rooster!A50</f>
        <v/>
      </c>
      <c r="B49" s="396" t="str">
        <f>Rooster!B50</f>
        <v/>
      </c>
      <c r="C49" s="15" t="str">
        <f>Rooster!C50</f>
        <v/>
      </c>
      <c r="D49" s="11" t="str">
        <f>Rooster!D50</f>
        <v/>
      </c>
      <c r="E49" s="77"/>
      <c r="F49" s="327" t="str">
        <f>Rooster!E50</f>
        <v/>
      </c>
      <c r="G49" s="319" t="str">
        <f>IFERROR(VLOOKUP(F49, Docenten!$A$2:$G$30, 7, FALSE), "0")</f>
        <v>0</v>
      </c>
      <c r="H49" s="320">
        <f t="shared" si="7"/>
        <v>0</v>
      </c>
      <c r="I49" s="327" t="str">
        <f>Rooster!H50</f>
        <v/>
      </c>
      <c r="J49" s="321" t="str">
        <f>IFERROR(VLOOKUP(I49, Locaties!$A$2:$G$15, 7, FALSE), "0")</f>
        <v>0</v>
      </c>
      <c r="K49" s="42">
        <f t="shared" si="2"/>
        <v>0</v>
      </c>
      <c r="L49" s="429" t="str">
        <f>Januari!L49</f>
        <v/>
      </c>
      <c r="M49" s="430" t="str">
        <f>Januari!M49</f>
        <v/>
      </c>
      <c r="N49" s="321" t="str">
        <f>IFERROR(VLOOKUP(M49, Tarieven!$A$1:$J$150, 10, FALSE), "0")</f>
        <v>0</v>
      </c>
      <c r="O49" s="429" t="str">
        <f>Januari!O49</f>
        <v/>
      </c>
      <c r="P49" s="430" t="str">
        <f>Januari!P49</f>
        <v/>
      </c>
      <c r="Q49" s="325" t="str">
        <f>IFERROR(VLOOKUP(P49, Tarieven!$A$2:$J$150, 10, FALSE), "0")</f>
        <v>0</v>
      </c>
      <c r="R49" s="431" t="str">
        <f>Januari!R49</f>
        <v/>
      </c>
      <c r="S49" s="430" t="str">
        <f>Januari!S49</f>
        <v/>
      </c>
      <c r="T49" s="325" t="str">
        <f>IFERROR(VLOOKUP(S49, Tarieven!$A$2:$J$150, 10, FALSE), "0")</f>
        <v>0</v>
      </c>
      <c r="U49" s="77" t="str">
        <f>Januari!U49</f>
        <v/>
      </c>
      <c r="V49" s="327" t="str">
        <f>Januari!V49</f>
        <v/>
      </c>
      <c r="W49" s="325" t="str">
        <f>IFERROR(VLOOKUP(V49, Tarieven!$A$2:$J$150, 10, FALSE), "0")</f>
        <v>0</v>
      </c>
      <c r="X49" s="138">
        <f>Januari!X49</f>
        <v>0</v>
      </c>
      <c r="Y49" s="398">
        <v>0.0</v>
      </c>
      <c r="Z49" s="329">
        <f t="shared" si="3"/>
        <v>0</v>
      </c>
      <c r="AA49" s="32">
        <f t="shared" si="4"/>
        <v>0</v>
      </c>
      <c r="AB49" s="32">
        <f t="shared" si="5"/>
        <v>0</v>
      </c>
      <c r="AC49" s="32">
        <f t="shared" si="6"/>
        <v>0</v>
      </c>
    </row>
    <row r="50" ht="22.5" customHeight="1">
      <c r="A50" s="331" t="str">
        <f>Rooster!A51</f>
        <v/>
      </c>
      <c r="B50" s="396" t="str">
        <f>Rooster!B51</f>
        <v/>
      </c>
      <c r="C50" s="15" t="str">
        <f>Rooster!C51</f>
        <v/>
      </c>
      <c r="D50" s="11" t="str">
        <f>Rooster!D51</f>
        <v/>
      </c>
      <c r="E50" s="77"/>
      <c r="F50" s="327" t="str">
        <f>Rooster!E51</f>
        <v/>
      </c>
      <c r="G50" s="319" t="str">
        <f>IFERROR(VLOOKUP(F50, Docenten!$A$2:$G$30, 7, FALSE), "0")</f>
        <v>0</v>
      </c>
      <c r="H50" s="320">
        <f t="shared" si="7"/>
        <v>0</v>
      </c>
      <c r="I50" s="327" t="str">
        <f>Rooster!H51</f>
        <v/>
      </c>
      <c r="J50" s="321" t="str">
        <f>IFERROR(VLOOKUP(I50, Locaties!$A$2:$G$15, 7, FALSE), "0")</f>
        <v>0</v>
      </c>
      <c r="K50" s="42">
        <f t="shared" si="2"/>
        <v>0</v>
      </c>
      <c r="L50" s="429" t="str">
        <f>Januari!L50</f>
        <v/>
      </c>
      <c r="M50" s="430" t="str">
        <f>Januari!M50</f>
        <v/>
      </c>
      <c r="N50" s="321" t="str">
        <f>IFERROR(VLOOKUP(M50, Tarieven!$A$1:$J$150, 10, FALSE), "0")</f>
        <v>0</v>
      </c>
      <c r="O50" s="429" t="str">
        <f>Januari!O50</f>
        <v/>
      </c>
      <c r="P50" s="430" t="str">
        <f>Januari!P50</f>
        <v/>
      </c>
      <c r="Q50" s="325" t="str">
        <f>IFERROR(VLOOKUP(P50, Tarieven!$A$2:$J$150, 10, FALSE), "0")</f>
        <v>0</v>
      </c>
      <c r="R50" s="431" t="str">
        <f>Januari!R50</f>
        <v/>
      </c>
      <c r="S50" s="430" t="str">
        <f>Januari!S50</f>
        <v/>
      </c>
      <c r="T50" s="325" t="str">
        <f>IFERROR(VLOOKUP(S50, Tarieven!$A$2:$J$150, 10, FALSE), "0")</f>
        <v>0</v>
      </c>
      <c r="U50" s="77" t="str">
        <f>Januari!U50</f>
        <v/>
      </c>
      <c r="V50" s="327" t="str">
        <f>Januari!V50</f>
        <v/>
      </c>
      <c r="W50" s="325" t="str">
        <f>IFERROR(VLOOKUP(V50, Tarieven!$A$2:$J$150, 10, FALSE), "0")</f>
        <v>0</v>
      </c>
      <c r="X50" s="138">
        <f>Januari!X50</f>
        <v>0</v>
      </c>
      <c r="Y50" s="398">
        <v>0.0</v>
      </c>
      <c r="Z50" s="329">
        <f t="shared" si="3"/>
        <v>0</v>
      </c>
      <c r="AA50" s="32">
        <f t="shared" si="4"/>
        <v>0</v>
      </c>
      <c r="AB50" s="32">
        <f t="shared" si="5"/>
        <v>0</v>
      </c>
      <c r="AC50" s="32">
        <f t="shared" si="6"/>
        <v>0</v>
      </c>
    </row>
    <row r="51" ht="22.5" customHeight="1">
      <c r="A51" s="331" t="str">
        <f>Rooster!A52</f>
        <v/>
      </c>
      <c r="B51" s="396" t="str">
        <f>Rooster!B52</f>
        <v/>
      </c>
      <c r="C51" s="15" t="str">
        <f>Rooster!C52</f>
        <v/>
      </c>
      <c r="D51" s="11" t="str">
        <f>Rooster!D52</f>
        <v/>
      </c>
      <c r="E51" s="77"/>
      <c r="F51" s="327" t="str">
        <f>Rooster!E52</f>
        <v/>
      </c>
      <c r="G51" s="319" t="str">
        <f>IFERROR(VLOOKUP(F51, Docenten!$A$2:$G$30, 7, FALSE), "0")</f>
        <v>0</v>
      </c>
      <c r="H51" s="320">
        <f t="shared" si="7"/>
        <v>0</v>
      </c>
      <c r="I51" s="327" t="str">
        <f>Rooster!H52</f>
        <v/>
      </c>
      <c r="J51" s="321" t="str">
        <f>IFERROR(VLOOKUP(I51, Locaties!$A$2:$G$15, 7, FALSE), "0")</f>
        <v>0</v>
      </c>
      <c r="K51" s="42">
        <f t="shared" si="2"/>
        <v>0</v>
      </c>
      <c r="L51" s="429" t="str">
        <f>Januari!L51</f>
        <v/>
      </c>
      <c r="M51" s="430" t="str">
        <f>Januari!M51</f>
        <v/>
      </c>
      <c r="N51" s="321" t="str">
        <f>IFERROR(VLOOKUP(M51, Tarieven!$A$1:$J$150, 10, FALSE), "0")</f>
        <v>0</v>
      </c>
      <c r="O51" s="429" t="str">
        <f>Januari!O51</f>
        <v/>
      </c>
      <c r="P51" s="430" t="str">
        <f>Januari!P51</f>
        <v/>
      </c>
      <c r="Q51" s="325" t="str">
        <f>IFERROR(VLOOKUP(P51, Tarieven!$A$2:$J$150, 10, FALSE), "0")</f>
        <v>0</v>
      </c>
      <c r="R51" s="431" t="str">
        <f>Januari!R51</f>
        <v/>
      </c>
      <c r="S51" s="430" t="str">
        <f>Januari!S51</f>
        <v/>
      </c>
      <c r="T51" s="325" t="str">
        <f>IFERROR(VLOOKUP(S51, Tarieven!$A$2:$J$150, 10, FALSE), "0")</f>
        <v>0</v>
      </c>
      <c r="U51" s="77" t="str">
        <f>Januari!U51</f>
        <v/>
      </c>
      <c r="V51" s="327" t="str">
        <f>Januari!V51</f>
        <v/>
      </c>
      <c r="W51" s="325" t="str">
        <f>IFERROR(VLOOKUP(V51, Tarieven!$A$2:$J$150, 10, FALSE), "0")</f>
        <v>0</v>
      </c>
      <c r="X51" s="138">
        <f>Januari!X51</f>
        <v>0</v>
      </c>
      <c r="Y51" s="398">
        <v>0.0</v>
      </c>
      <c r="Z51" s="329">
        <f t="shared" si="3"/>
        <v>0</v>
      </c>
      <c r="AA51" s="32">
        <f t="shared" si="4"/>
        <v>0</v>
      </c>
      <c r="AB51" s="32">
        <f t="shared" si="5"/>
        <v>0</v>
      </c>
      <c r="AC51" s="32">
        <f t="shared" si="6"/>
        <v>0</v>
      </c>
    </row>
    <row r="52" ht="22.5" customHeight="1">
      <c r="A52" s="331" t="str">
        <f>Rooster!A53</f>
        <v/>
      </c>
      <c r="B52" s="396" t="str">
        <f>Rooster!B53</f>
        <v/>
      </c>
      <c r="C52" s="15" t="str">
        <f>Rooster!C53</f>
        <v/>
      </c>
      <c r="D52" s="11" t="str">
        <f>Rooster!D53</f>
        <v/>
      </c>
      <c r="E52" s="77"/>
      <c r="F52" s="327" t="str">
        <f>Rooster!E53</f>
        <v/>
      </c>
      <c r="G52" s="319" t="str">
        <f>IFERROR(VLOOKUP(F52, Docenten!$A$2:$G$30, 7, FALSE), "0")</f>
        <v>0</v>
      </c>
      <c r="H52" s="320">
        <f t="shared" si="7"/>
        <v>0</v>
      </c>
      <c r="I52" s="327" t="str">
        <f>Rooster!H53</f>
        <v/>
      </c>
      <c r="J52" s="321" t="str">
        <f>IFERROR(VLOOKUP(I52, Locaties!$A$2:$G$15, 7, FALSE), "0")</f>
        <v>0</v>
      </c>
      <c r="K52" s="42">
        <f t="shared" si="2"/>
        <v>0</v>
      </c>
      <c r="L52" s="429" t="str">
        <f>Januari!L52</f>
        <v/>
      </c>
      <c r="M52" s="430" t="str">
        <f>Januari!M52</f>
        <v/>
      </c>
      <c r="N52" s="321" t="str">
        <f>IFERROR(VLOOKUP(M52, Tarieven!$A$1:$J$150, 10, FALSE), "0")</f>
        <v>0</v>
      </c>
      <c r="O52" s="429" t="str">
        <f>Januari!O52</f>
        <v/>
      </c>
      <c r="P52" s="430" t="str">
        <f>Januari!P52</f>
        <v/>
      </c>
      <c r="Q52" s="325" t="str">
        <f>IFERROR(VLOOKUP(P52, Tarieven!$A$2:$J$150, 10, FALSE), "0")</f>
        <v>0</v>
      </c>
      <c r="R52" s="431" t="str">
        <f>Januari!R52</f>
        <v/>
      </c>
      <c r="S52" s="430" t="str">
        <f>Januari!S52</f>
        <v/>
      </c>
      <c r="T52" s="325" t="str">
        <f>IFERROR(VLOOKUP(S52, Tarieven!$A$2:$J$150, 10, FALSE), "0")</f>
        <v>0</v>
      </c>
      <c r="U52" s="77" t="str">
        <f>Januari!U52</f>
        <v/>
      </c>
      <c r="V52" s="327" t="str">
        <f>Januari!V52</f>
        <v/>
      </c>
      <c r="W52" s="325" t="str">
        <f>IFERROR(VLOOKUP(V52, Tarieven!$A$2:$J$150, 10, FALSE), "0")</f>
        <v>0</v>
      </c>
      <c r="X52" s="138">
        <f>Januari!X52</f>
        <v>0</v>
      </c>
      <c r="Y52" s="398">
        <v>0.0</v>
      </c>
      <c r="Z52" s="329">
        <f t="shared" si="3"/>
        <v>0</v>
      </c>
      <c r="AA52" s="32">
        <f t="shared" si="4"/>
        <v>0</v>
      </c>
      <c r="AB52" s="32">
        <f t="shared" si="5"/>
        <v>0</v>
      </c>
      <c r="AC52" s="32">
        <f t="shared" si="6"/>
        <v>0</v>
      </c>
    </row>
    <row r="53" ht="22.5" customHeight="1">
      <c r="A53" s="331" t="str">
        <f>Rooster!A54</f>
        <v/>
      </c>
      <c r="B53" s="396" t="str">
        <f>Rooster!B54</f>
        <v/>
      </c>
      <c r="C53" s="15" t="str">
        <f>Rooster!C54</f>
        <v/>
      </c>
      <c r="D53" s="11" t="str">
        <f>Rooster!D54</f>
        <v/>
      </c>
      <c r="E53" s="77"/>
      <c r="F53" s="327" t="str">
        <f>Rooster!E54</f>
        <v/>
      </c>
      <c r="G53" s="319" t="str">
        <f>IFERROR(VLOOKUP(F53, Docenten!$A$2:$G$30, 7, FALSE), "0")</f>
        <v>0</v>
      </c>
      <c r="H53" s="320">
        <f t="shared" si="7"/>
        <v>0</v>
      </c>
      <c r="I53" s="327" t="str">
        <f>Rooster!H54</f>
        <v/>
      </c>
      <c r="J53" s="321" t="str">
        <f>IFERROR(VLOOKUP(I53, Locaties!$A$2:$G$15, 7, FALSE), "0")</f>
        <v>0</v>
      </c>
      <c r="K53" s="42">
        <f t="shared" si="2"/>
        <v>0</v>
      </c>
      <c r="L53" s="429" t="str">
        <f>Januari!L53</f>
        <v/>
      </c>
      <c r="M53" s="430" t="str">
        <f>Januari!M53</f>
        <v/>
      </c>
      <c r="N53" s="321" t="str">
        <f>IFERROR(VLOOKUP(M53, Tarieven!$A$1:$J$150, 10, FALSE), "0")</f>
        <v>0</v>
      </c>
      <c r="O53" s="429" t="str">
        <f>Januari!O53</f>
        <v/>
      </c>
      <c r="P53" s="430" t="str">
        <f>Januari!P53</f>
        <v/>
      </c>
      <c r="Q53" s="325" t="str">
        <f>IFERROR(VLOOKUP(P53, Tarieven!$A$2:$J$150, 10, FALSE), "0")</f>
        <v>0</v>
      </c>
      <c r="R53" s="431" t="str">
        <f>Januari!R53</f>
        <v/>
      </c>
      <c r="S53" s="430" t="str">
        <f>Januari!S53</f>
        <v/>
      </c>
      <c r="T53" s="325" t="str">
        <f>IFERROR(VLOOKUP(S53, Tarieven!$A$2:$J$150, 10, FALSE), "0")</f>
        <v>0</v>
      </c>
      <c r="U53" s="77" t="str">
        <f>Januari!U53</f>
        <v/>
      </c>
      <c r="V53" s="327" t="str">
        <f>Januari!V53</f>
        <v/>
      </c>
      <c r="W53" s="325" t="str">
        <f>IFERROR(VLOOKUP(V53, Tarieven!$A$2:$J$150, 10, FALSE), "0")</f>
        <v>0</v>
      </c>
      <c r="X53" s="138">
        <f>Januari!X53</f>
        <v>0</v>
      </c>
      <c r="Y53" s="398">
        <v>0.0</v>
      </c>
      <c r="Z53" s="329">
        <f t="shared" si="3"/>
        <v>0</v>
      </c>
      <c r="AA53" s="32">
        <f t="shared" si="4"/>
        <v>0</v>
      </c>
      <c r="AB53" s="32">
        <f t="shared" si="5"/>
        <v>0</v>
      </c>
      <c r="AC53" s="32">
        <f t="shared" si="6"/>
        <v>0</v>
      </c>
    </row>
    <row r="54" ht="22.5" customHeight="1">
      <c r="A54" s="331" t="str">
        <f>Rooster!A55</f>
        <v/>
      </c>
      <c r="B54" s="396" t="str">
        <f>Rooster!B55</f>
        <v/>
      </c>
      <c r="C54" s="15" t="str">
        <f>Rooster!C55</f>
        <v/>
      </c>
      <c r="D54" s="11" t="str">
        <f>Rooster!D55</f>
        <v/>
      </c>
      <c r="E54" s="77"/>
      <c r="F54" s="327" t="str">
        <f>Rooster!E55</f>
        <v/>
      </c>
      <c r="G54" s="319" t="str">
        <f>IFERROR(VLOOKUP(F54, Docenten!$A$2:$G$30, 7, FALSE), "0")</f>
        <v>0</v>
      </c>
      <c r="H54" s="320">
        <f t="shared" si="7"/>
        <v>0</v>
      </c>
      <c r="I54" s="327" t="str">
        <f>Rooster!H55</f>
        <v/>
      </c>
      <c r="J54" s="321" t="str">
        <f>IFERROR(VLOOKUP(I54, Locaties!$A$2:$G$15, 7, FALSE), "0")</f>
        <v>0</v>
      </c>
      <c r="K54" s="42">
        <f t="shared" si="2"/>
        <v>0</v>
      </c>
      <c r="L54" s="429" t="str">
        <f>Januari!L54</f>
        <v/>
      </c>
      <c r="M54" s="430" t="str">
        <f>Januari!M54</f>
        <v/>
      </c>
      <c r="N54" s="321" t="str">
        <f>IFERROR(VLOOKUP(M54, Tarieven!$A$1:$J$150, 10, FALSE), "0")</f>
        <v>0</v>
      </c>
      <c r="O54" s="429" t="str">
        <f>Januari!O54</f>
        <v/>
      </c>
      <c r="P54" s="430" t="str">
        <f>Januari!P54</f>
        <v/>
      </c>
      <c r="Q54" s="325" t="str">
        <f>IFERROR(VLOOKUP(P54, Tarieven!$A$2:$J$150, 10, FALSE), "0")</f>
        <v>0</v>
      </c>
      <c r="R54" s="431" t="str">
        <f>Januari!R54</f>
        <v/>
      </c>
      <c r="S54" s="430" t="str">
        <f>Januari!S54</f>
        <v/>
      </c>
      <c r="T54" s="325" t="str">
        <f>IFERROR(VLOOKUP(S54, Tarieven!$A$2:$J$150, 10, FALSE), "0")</f>
        <v>0</v>
      </c>
      <c r="U54" s="77" t="str">
        <f>Januari!U54</f>
        <v/>
      </c>
      <c r="V54" s="327" t="str">
        <f>Januari!V54</f>
        <v/>
      </c>
      <c r="W54" s="325" t="str">
        <f>IFERROR(VLOOKUP(V54, Tarieven!$A$2:$J$150, 10, FALSE), "0")</f>
        <v>0</v>
      </c>
      <c r="X54" s="138">
        <f>Januari!X54</f>
        <v>0</v>
      </c>
      <c r="Y54" s="398">
        <v>0.0</v>
      </c>
      <c r="Z54" s="329">
        <f t="shared" si="3"/>
        <v>0</v>
      </c>
      <c r="AA54" s="32">
        <f t="shared" si="4"/>
        <v>0</v>
      </c>
      <c r="AB54" s="32">
        <f t="shared" si="5"/>
        <v>0</v>
      </c>
      <c r="AC54" s="32">
        <f t="shared" si="6"/>
        <v>0</v>
      </c>
    </row>
    <row r="55" ht="22.5" customHeight="1">
      <c r="A55" s="331" t="str">
        <f>Rooster!A56</f>
        <v/>
      </c>
      <c r="B55" s="396" t="str">
        <f>Rooster!B56</f>
        <v/>
      </c>
      <c r="C55" s="15" t="str">
        <f>Rooster!C56</f>
        <v/>
      </c>
      <c r="D55" s="11" t="str">
        <f>Rooster!D56</f>
        <v/>
      </c>
      <c r="E55" s="77"/>
      <c r="F55" s="327" t="str">
        <f>Rooster!E56</f>
        <v/>
      </c>
      <c r="G55" s="319" t="str">
        <f>IFERROR(VLOOKUP(F55, Docenten!$A$2:$G$30, 7, FALSE), "0")</f>
        <v>0</v>
      </c>
      <c r="H55" s="320">
        <f t="shared" si="7"/>
        <v>0</v>
      </c>
      <c r="I55" s="327" t="str">
        <f>Rooster!H56</f>
        <v/>
      </c>
      <c r="J55" s="321" t="str">
        <f>IFERROR(VLOOKUP(I55, Locaties!$A$2:$G$15, 7, FALSE), "0")</f>
        <v>0</v>
      </c>
      <c r="K55" s="42">
        <f t="shared" si="2"/>
        <v>0</v>
      </c>
      <c r="L55" s="429" t="str">
        <f>Januari!L55</f>
        <v/>
      </c>
      <c r="M55" s="430" t="str">
        <f>Januari!M55</f>
        <v/>
      </c>
      <c r="N55" s="321" t="str">
        <f>IFERROR(VLOOKUP(M55, Tarieven!$A$1:$J$150, 10, FALSE), "0")</f>
        <v>0</v>
      </c>
      <c r="O55" s="429" t="str">
        <f>Januari!O55</f>
        <v/>
      </c>
      <c r="P55" s="430" t="str">
        <f>Januari!P55</f>
        <v/>
      </c>
      <c r="Q55" s="325" t="str">
        <f>IFERROR(VLOOKUP(P55, Tarieven!$A$2:$J$150, 10, FALSE), "0")</f>
        <v>0</v>
      </c>
      <c r="R55" s="431" t="str">
        <f>Januari!R55</f>
        <v/>
      </c>
      <c r="S55" s="430" t="str">
        <f>Januari!S55</f>
        <v/>
      </c>
      <c r="T55" s="325" t="str">
        <f>IFERROR(VLOOKUP(S55, Tarieven!$A$2:$J$150, 10, FALSE), "0")</f>
        <v>0</v>
      </c>
      <c r="U55" s="77" t="str">
        <f>Januari!U55</f>
        <v/>
      </c>
      <c r="V55" s="327" t="str">
        <f>Januari!V55</f>
        <v/>
      </c>
      <c r="W55" s="325" t="str">
        <f>IFERROR(VLOOKUP(V55, Tarieven!$A$2:$J$150, 10, FALSE), "0")</f>
        <v>0</v>
      </c>
      <c r="X55" s="138">
        <f>Januari!X55</f>
        <v>0</v>
      </c>
      <c r="Y55" s="398">
        <v>0.0</v>
      </c>
      <c r="Z55" s="329">
        <f t="shared" si="3"/>
        <v>0</v>
      </c>
      <c r="AA55" s="32">
        <f t="shared" si="4"/>
        <v>0</v>
      </c>
      <c r="AB55" s="32">
        <f t="shared" si="5"/>
        <v>0</v>
      </c>
      <c r="AC55" s="32">
        <f t="shared" si="6"/>
        <v>0</v>
      </c>
    </row>
    <row r="56" ht="22.5" customHeight="1">
      <c r="A56" s="331" t="str">
        <f>Rooster!A57</f>
        <v/>
      </c>
      <c r="B56" s="396" t="str">
        <f>Rooster!B57</f>
        <v/>
      </c>
      <c r="C56" s="15" t="str">
        <f>Rooster!C57</f>
        <v/>
      </c>
      <c r="D56" s="11" t="str">
        <f>Rooster!D57</f>
        <v/>
      </c>
      <c r="E56" s="77"/>
      <c r="F56" s="327" t="str">
        <f>Rooster!E57</f>
        <v/>
      </c>
      <c r="G56" s="319" t="str">
        <f>IFERROR(VLOOKUP(F56, Docenten!$A$2:$G$30, 7, FALSE), "0")</f>
        <v>0</v>
      </c>
      <c r="H56" s="320">
        <f t="shared" si="7"/>
        <v>0</v>
      </c>
      <c r="I56" s="327" t="str">
        <f>Rooster!H57</f>
        <v/>
      </c>
      <c r="J56" s="321" t="str">
        <f>IFERROR(VLOOKUP(I56, Locaties!$A$2:$G$15, 7, FALSE), "0")</f>
        <v>0</v>
      </c>
      <c r="K56" s="42">
        <f t="shared" si="2"/>
        <v>0</v>
      </c>
      <c r="L56" s="429" t="str">
        <f>Januari!L56</f>
        <v/>
      </c>
      <c r="M56" s="430" t="str">
        <f>Januari!M56</f>
        <v/>
      </c>
      <c r="N56" s="321" t="str">
        <f>IFERROR(VLOOKUP(M56, Tarieven!$A$1:$J$150, 10, FALSE), "0")</f>
        <v>0</v>
      </c>
      <c r="O56" s="429" t="str">
        <f>Januari!O56</f>
        <v/>
      </c>
      <c r="P56" s="430" t="str">
        <f>Januari!P56</f>
        <v/>
      </c>
      <c r="Q56" s="325" t="str">
        <f>IFERROR(VLOOKUP(P56, Tarieven!$A$2:$J$150, 10, FALSE), "0")</f>
        <v>0</v>
      </c>
      <c r="R56" s="431" t="str">
        <f>Januari!R56</f>
        <v/>
      </c>
      <c r="S56" s="430" t="str">
        <f>Januari!S56</f>
        <v/>
      </c>
      <c r="T56" s="325" t="str">
        <f>IFERROR(VLOOKUP(S56, Tarieven!$A$2:$J$150, 10, FALSE), "0")</f>
        <v>0</v>
      </c>
      <c r="U56" s="77" t="str">
        <f>Januari!U56</f>
        <v/>
      </c>
      <c r="V56" s="327" t="str">
        <f>Januari!V56</f>
        <v/>
      </c>
      <c r="W56" s="325" t="str">
        <f>IFERROR(VLOOKUP(V56, Tarieven!$A$2:$J$150, 10, FALSE), "0")</f>
        <v>0</v>
      </c>
      <c r="X56" s="138">
        <f>Januari!X56</f>
        <v>0</v>
      </c>
      <c r="Y56" s="398">
        <v>0.0</v>
      </c>
      <c r="Z56" s="329">
        <f t="shared" si="3"/>
        <v>0</v>
      </c>
      <c r="AA56" s="32">
        <f t="shared" si="4"/>
        <v>0</v>
      </c>
      <c r="AB56" s="32">
        <f t="shared" si="5"/>
        <v>0</v>
      </c>
      <c r="AC56" s="32">
        <f t="shared" si="6"/>
        <v>0</v>
      </c>
    </row>
    <row r="57" ht="22.5" customHeight="1">
      <c r="A57" s="331" t="str">
        <f>Rooster!A58</f>
        <v/>
      </c>
      <c r="B57" s="396" t="str">
        <f>Rooster!B58</f>
        <v/>
      </c>
      <c r="C57" s="15" t="str">
        <f>Rooster!C58</f>
        <v/>
      </c>
      <c r="D57" s="11" t="str">
        <f>Rooster!D58</f>
        <v/>
      </c>
      <c r="E57" s="77"/>
      <c r="F57" s="327" t="str">
        <f>Rooster!E58</f>
        <v/>
      </c>
      <c r="G57" s="319" t="str">
        <f>IFERROR(VLOOKUP(F57, Docenten!$A$2:$G$30, 7, FALSE), "0")</f>
        <v>0</v>
      </c>
      <c r="H57" s="320">
        <f t="shared" si="7"/>
        <v>0</v>
      </c>
      <c r="I57" s="327" t="str">
        <f>Rooster!H58</f>
        <v/>
      </c>
      <c r="J57" s="321" t="str">
        <f>IFERROR(VLOOKUP(I57, Locaties!$A$2:$G$15, 7, FALSE), "0")</f>
        <v>0</v>
      </c>
      <c r="K57" s="42">
        <f t="shared" si="2"/>
        <v>0</v>
      </c>
      <c r="L57" s="429" t="str">
        <f>Januari!L57</f>
        <v/>
      </c>
      <c r="M57" s="430" t="str">
        <f>Januari!M57</f>
        <v/>
      </c>
      <c r="N57" s="321" t="str">
        <f>IFERROR(VLOOKUP(M57, Tarieven!$A$1:$J$150, 10, FALSE), "0")</f>
        <v>0</v>
      </c>
      <c r="O57" s="429" t="str">
        <f>Januari!O57</f>
        <v/>
      </c>
      <c r="P57" s="430" t="str">
        <f>Januari!P57</f>
        <v/>
      </c>
      <c r="Q57" s="325" t="str">
        <f>IFERROR(VLOOKUP(P57, Tarieven!$A$2:$J$150, 10, FALSE), "0")</f>
        <v>0</v>
      </c>
      <c r="R57" s="431" t="str">
        <f>Januari!R57</f>
        <v/>
      </c>
      <c r="S57" s="430" t="str">
        <f>Januari!S57</f>
        <v/>
      </c>
      <c r="T57" s="325" t="str">
        <f>IFERROR(VLOOKUP(S57, Tarieven!$A$2:$J$150, 10, FALSE), "0")</f>
        <v>0</v>
      </c>
      <c r="U57" s="77" t="str">
        <f>Januari!U57</f>
        <v/>
      </c>
      <c r="V57" s="327" t="str">
        <f>Januari!V57</f>
        <v/>
      </c>
      <c r="W57" s="325" t="str">
        <f>IFERROR(VLOOKUP(V57, Tarieven!$A$2:$J$150, 10, FALSE), "0")</f>
        <v>0</v>
      </c>
      <c r="X57" s="138">
        <f>Januari!X57</f>
        <v>0</v>
      </c>
      <c r="Y57" s="398">
        <v>0.0</v>
      </c>
      <c r="Z57" s="329">
        <f t="shared" si="3"/>
        <v>0</v>
      </c>
      <c r="AA57" s="32">
        <f t="shared" si="4"/>
        <v>0</v>
      </c>
      <c r="AB57" s="32">
        <f t="shared" si="5"/>
        <v>0</v>
      </c>
      <c r="AC57" s="32">
        <f t="shared" si="6"/>
        <v>0</v>
      </c>
    </row>
    <row r="58" ht="22.5" customHeight="1">
      <c r="A58" s="331" t="str">
        <f>Rooster!A59</f>
        <v/>
      </c>
      <c r="B58" s="396" t="str">
        <f>Rooster!B59</f>
        <v/>
      </c>
      <c r="C58" s="15" t="str">
        <f>Rooster!C59</f>
        <v/>
      </c>
      <c r="D58" s="11" t="str">
        <f>Rooster!D59</f>
        <v/>
      </c>
      <c r="E58" s="77"/>
      <c r="F58" s="327" t="str">
        <f>Rooster!E59</f>
        <v/>
      </c>
      <c r="G58" s="319" t="str">
        <f>IFERROR(VLOOKUP(F58, Docenten!$A$2:$G$30, 7, FALSE), "0")</f>
        <v>0</v>
      </c>
      <c r="H58" s="320">
        <f t="shared" si="7"/>
        <v>0</v>
      </c>
      <c r="I58" s="327" t="str">
        <f>Rooster!H59</f>
        <v/>
      </c>
      <c r="J58" s="321" t="str">
        <f>IFERROR(VLOOKUP(I58, Locaties!$A$2:$G$15, 7, FALSE), "0")</f>
        <v>0</v>
      </c>
      <c r="K58" s="42">
        <f t="shared" si="2"/>
        <v>0</v>
      </c>
      <c r="L58" s="429" t="str">
        <f>Januari!L58</f>
        <v/>
      </c>
      <c r="M58" s="430" t="str">
        <f>Januari!M58</f>
        <v/>
      </c>
      <c r="N58" s="321" t="str">
        <f>IFERROR(VLOOKUP(M58, Tarieven!$A$1:$J$150, 10, FALSE), "0")</f>
        <v>0</v>
      </c>
      <c r="O58" s="429" t="str">
        <f>Januari!O58</f>
        <v/>
      </c>
      <c r="P58" s="430" t="str">
        <f>Januari!P58</f>
        <v/>
      </c>
      <c r="Q58" s="325" t="str">
        <f>IFERROR(VLOOKUP(P58, Tarieven!$A$2:$J$150, 10, FALSE), "0")</f>
        <v>0</v>
      </c>
      <c r="R58" s="431" t="str">
        <f>Januari!R58</f>
        <v/>
      </c>
      <c r="S58" s="430" t="str">
        <f>Januari!S58</f>
        <v/>
      </c>
      <c r="T58" s="325" t="str">
        <f>IFERROR(VLOOKUP(S58, Tarieven!$A$2:$J$150, 10, FALSE), "0")</f>
        <v>0</v>
      </c>
      <c r="U58" s="77" t="str">
        <f>Januari!U58</f>
        <v/>
      </c>
      <c r="V58" s="327" t="str">
        <f>Januari!V58</f>
        <v/>
      </c>
      <c r="W58" s="325" t="str">
        <f>IFERROR(VLOOKUP(V58, Tarieven!$A$2:$J$150, 10, FALSE), "0")</f>
        <v>0</v>
      </c>
      <c r="X58" s="138">
        <f>Januari!X58</f>
        <v>0</v>
      </c>
      <c r="Y58" s="398">
        <v>0.0</v>
      </c>
      <c r="Z58" s="329">
        <f t="shared" si="3"/>
        <v>0</v>
      </c>
      <c r="AA58" s="32">
        <f t="shared" si="4"/>
        <v>0</v>
      </c>
      <c r="AB58" s="32">
        <f t="shared" si="5"/>
        <v>0</v>
      </c>
      <c r="AC58" s="32">
        <f t="shared" si="6"/>
        <v>0</v>
      </c>
    </row>
    <row r="59" ht="22.5" customHeight="1">
      <c r="A59" s="331" t="str">
        <f>Rooster!A60</f>
        <v/>
      </c>
      <c r="B59" s="396" t="str">
        <f>Rooster!B60</f>
        <v/>
      </c>
      <c r="C59" s="15" t="str">
        <f>Rooster!C60</f>
        <v/>
      </c>
      <c r="D59" s="11" t="str">
        <f>Rooster!D60</f>
        <v/>
      </c>
      <c r="E59" s="77"/>
      <c r="F59" s="327" t="str">
        <f>Rooster!E60</f>
        <v/>
      </c>
      <c r="G59" s="319" t="str">
        <f>IFERROR(VLOOKUP(F59, Docenten!$A$2:$G$30, 7, FALSE), "0")</f>
        <v>0</v>
      </c>
      <c r="H59" s="320">
        <f t="shared" si="7"/>
        <v>0</v>
      </c>
      <c r="I59" s="327" t="str">
        <f>Rooster!H60</f>
        <v/>
      </c>
      <c r="J59" s="321" t="str">
        <f>IFERROR(VLOOKUP(I59, Locaties!$A$2:$G$15, 7, FALSE), "0")</f>
        <v>0</v>
      </c>
      <c r="K59" s="42">
        <f t="shared" si="2"/>
        <v>0</v>
      </c>
      <c r="L59" s="429" t="str">
        <f>Januari!L59</f>
        <v/>
      </c>
      <c r="M59" s="430" t="str">
        <f>Januari!M59</f>
        <v/>
      </c>
      <c r="N59" s="321" t="str">
        <f>IFERROR(VLOOKUP(M59, Tarieven!$A$1:$J$150, 10, FALSE), "0")</f>
        <v>0</v>
      </c>
      <c r="O59" s="429" t="str">
        <f>Januari!O59</f>
        <v/>
      </c>
      <c r="P59" s="430" t="str">
        <f>Januari!P59</f>
        <v/>
      </c>
      <c r="Q59" s="325" t="str">
        <f>IFERROR(VLOOKUP(P59, Tarieven!$A$2:$J$150, 10, FALSE), "0")</f>
        <v>0</v>
      </c>
      <c r="R59" s="431" t="str">
        <f>Januari!R59</f>
        <v/>
      </c>
      <c r="S59" s="430" t="str">
        <f>Januari!S59</f>
        <v/>
      </c>
      <c r="T59" s="325" t="str">
        <f>IFERROR(VLOOKUP(S59, Tarieven!$A$2:$J$150, 10, FALSE), "0")</f>
        <v>0</v>
      </c>
      <c r="U59" s="77" t="str">
        <f>Januari!U59</f>
        <v/>
      </c>
      <c r="V59" s="327" t="str">
        <f>Januari!V59</f>
        <v/>
      </c>
      <c r="W59" s="325" t="str">
        <f>IFERROR(VLOOKUP(V59, Tarieven!$A$2:$J$150, 10, FALSE), "0")</f>
        <v>0</v>
      </c>
      <c r="X59" s="138">
        <f>Januari!X59</f>
        <v>0</v>
      </c>
      <c r="Y59" s="398">
        <v>0.0</v>
      </c>
      <c r="Z59" s="329">
        <f t="shared" si="3"/>
        <v>0</v>
      </c>
      <c r="AA59" s="32">
        <f t="shared" si="4"/>
        <v>0</v>
      </c>
      <c r="AB59" s="32">
        <f t="shared" si="5"/>
        <v>0</v>
      </c>
      <c r="AC59" s="32">
        <f t="shared" si="6"/>
        <v>0</v>
      </c>
    </row>
    <row r="60" ht="22.5" customHeight="1">
      <c r="A60" s="331" t="str">
        <f>Rooster!A61</f>
        <v/>
      </c>
      <c r="B60" s="396" t="str">
        <f>Rooster!B61</f>
        <v/>
      </c>
      <c r="C60" s="15" t="str">
        <f>Rooster!C61</f>
        <v/>
      </c>
      <c r="D60" s="11" t="str">
        <f>Rooster!D61</f>
        <v/>
      </c>
      <c r="E60" s="77"/>
      <c r="F60" s="327" t="str">
        <f>Rooster!E61</f>
        <v/>
      </c>
      <c r="G60" s="319" t="str">
        <f>IFERROR(VLOOKUP(F60, Docenten!$A$2:$G$30, 7, FALSE), "0")</f>
        <v>0</v>
      </c>
      <c r="H60" s="320">
        <f t="shared" si="7"/>
        <v>0</v>
      </c>
      <c r="I60" s="327" t="str">
        <f>Rooster!H61</f>
        <v/>
      </c>
      <c r="J60" s="321" t="str">
        <f>IFERROR(VLOOKUP(I60, Locaties!$A$2:$G$15, 7, FALSE), "0")</f>
        <v>0</v>
      </c>
      <c r="K60" s="42">
        <f t="shared" si="2"/>
        <v>0</v>
      </c>
      <c r="L60" s="429" t="str">
        <f>Januari!L60</f>
        <v/>
      </c>
      <c r="M60" s="430" t="str">
        <f>Januari!M60</f>
        <v/>
      </c>
      <c r="N60" s="321" t="str">
        <f>IFERROR(VLOOKUP(M60, Tarieven!$A$1:$J$150, 10, FALSE), "0")</f>
        <v>0</v>
      </c>
      <c r="O60" s="429" t="str">
        <f>Januari!O60</f>
        <v/>
      </c>
      <c r="P60" s="430" t="str">
        <f>Januari!P60</f>
        <v/>
      </c>
      <c r="Q60" s="325" t="str">
        <f>IFERROR(VLOOKUP(P60, Tarieven!$A$2:$J$150, 10, FALSE), "0")</f>
        <v>0</v>
      </c>
      <c r="R60" s="431" t="str">
        <f>Januari!R60</f>
        <v/>
      </c>
      <c r="S60" s="430" t="str">
        <f>Januari!S60</f>
        <v/>
      </c>
      <c r="T60" s="325" t="str">
        <f>IFERROR(VLOOKUP(S60, Tarieven!$A$2:$J$150, 10, FALSE), "0")</f>
        <v>0</v>
      </c>
      <c r="U60" s="77" t="str">
        <f>Januari!U60</f>
        <v/>
      </c>
      <c r="V60" s="327" t="str">
        <f>Januari!V60</f>
        <v/>
      </c>
      <c r="W60" s="325" t="str">
        <f>IFERROR(VLOOKUP(V60, Tarieven!$A$2:$J$150, 10, FALSE), "0")</f>
        <v>0</v>
      </c>
      <c r="X60" s="138">
        <f>Januari!X60</f>
        <v>0</v>
      </c>
      <c r="Y60" s="398">
        <v>0.0</v>
      </c>
      <c r="Z60" s="329">
        <f t="shared" si="3"/>
        <v>0</v>
      </c>
      <c r="AA60" s="32">
        <f t="shared" si="4"/>
        <v>0</v>
      </c>
      <c r="AB60" s="32">
        <f t="shared" si="5"/>
        <v>0</v>
      </c>
      <c r="AC60" s="32">
        <f t="shared" si="6"/>
        <v>0</v>
      </c>
    </row>
    <row r="61" ht="22.5" customHeight="1">
      <c r="A61" s="331" t="str">
        <f>Rooster!A62</f>
        <v/>
      </c>
      <c r="B61" s="396" t="str">
        <f>Rooster!B62</f>
        <v/>
      </c>
      <c r="C61" s="15" t="str">
        <f>Rooster!C62</f>
        <v/>
      </c>
      <c r="D61" s="11" t="str">
        <f>Rooster!D62</f>
        <v/>
      </c>
      <c r="E61" s="77"/>
      <c r="F61" s="327" t="str">
        <f>Rooster!E62</f>
        <v/>
      </c>
      <c r="G61" s="319" t="str">
        <f>IFERROR(VLOOKUP(F61, Docenten!$A$2:$G$30, 7, FALSE), "0")</f>
        <v>0</v>
      </c>
      <c r="H61" s="320">
        <f t="shared" si="7"/>
        <v>0</v>
      </c>
      <c r="I61" s="327" t="str">
        <f>Rooster!H62</f>
        <v/>
      </c>
      <c r="J61" s="321" t="str">
        <f>IFERROR(VLOOKUP(I61, Locaties!$A$2:$G$15, 7, FALSE), "0")</f>
        <v>0</v>
      </c>
      <c r="K61" s="42">
        <f t="shared" si="2"/>
        <v>0</v>
      </c>
      <c r="L61" s="429" t="str">
        <f>Januari!L61</f>
        <v/>
      </c>
      <c r="M61" s="430" t="str">
        <f>Januari!M61</f>
        <v/>
      </c>
      <c r="N61" s="321" t="str">
        <f>IFERROR(VLOOKUP(M61, Tarieven!$A$1:$J$150, 10, FALSE), "0")</f>
        <v>0</v>
      </c>
      <c r="O61" s="429" t="str">
        <f>Januari!O61</f>
        <v/>
      </c>
      <c r="P61" s="430" t="str">
        <f>Januari!P61</f>
        <v/>
      </c>
      <c r="Q61" s="325" t="str">
        <f>IFERROR(VLOOKUP(P61, Tarieven!$A$2:$J$150, 10, FALSE), "0")</f>
        <v>0</v>
      </c>
      <c r="R61" s="431" t="str">
        <f>Januari!R61</f>
        <v/>
      </c>
      <c r="S61" s="430" t="str">
        <f>Januari!S61</f>
        <v/>
      </c>
      <c r="T61" s="325" t="str">
        <f>IFERROR(VLOOKUP(S61, Tarieven!$A$2:$J$150, 10, FALSE), "0")</f>
        <v>0</v>
      </c>
      <c r="U61" s="77" t="str">
        <f>Januari!U61</f>
        <v/>
      </c>
      <c r="V61" s="327" t="str">
        <f>Januari!V61</f>
        <v/>
      </c>
      <c r="W61" s="325" t="str">
        <f>IFERROR(VLOOKUP(V61, Tarieven!$A$2:$J$150, 10, FALSE), "0")</f>
        <v>0</v>
      </c>
      <c r="X61" s="138">
        <f>Januari!X61</f>
        <v>0</v>
      </c>
      <c r="Y61" s="398">
        <v>0.0</v>
      </c>
      <c r="Z61" s="329">
        <f t="shared" si="3"/>
        <v>0</v>
      </c>
      <c r="AA61" s="32">
        <f t="shared" si="4"/>
        <v>0</v>
      </c>
      <c r="AB61" s="32">
        <f t="shared" si="5"/>
        <v>0</v>
      </c>
      <c r="AC61" s="32">
        <f t="shared" si="6"/>
        <v>0</v>
      </c>
    </row>
    <row r="62" ht="22.5" customHeight="1">
      <c r="A62" s="331" t="str">
        <f>Rooster!A63</f>
        <v/>
      </c>
      <c r="B62" s="396" t="str">
        <f>Rooster!B63</f>
        <v/>
      </c>
      <c r="C62" s="15" t="str">
        <f>Rooster!C63</f>
        <v/>
      </c>
      <c r="D62" s="11" t="str">
        <f>Rooster!D63</f>
        <v/>
      </c>
      <c r="E62" s="77"/>
      <c r="F62" s="327" t="str">
        <f>Rooster!E63</f>
        <v/>
      </c>
      <c r="G62" s="319" t="str">
        <f>IFERROR(VLOOKUP(F62, Docenten!$A$2:$G$30, 7, FALSE), "0")</f>
        <v>0</v>
      </c>
      <c r="H62" s="320">
        <f t="shared" si="7"/>
        <v>0</v>
      </c>
      <c r="I62" s="327" t="str">
        <f>Rooster!H63</f>
        <v/>
      </c>
      <c r="J62" s="321" t="str">
        <f>IFERROR(VLOOKUP(I62, Locaties!$A$2:$G$15, 7, FALSE), "0")</f>
        <v>0</v>
      </c>
      <c r="K62" s="42">
        <f t="shared" si="2"/>
        <v>0</v>
      </c>
      <c r="L62" s="429" t="str">
        <f>Januari!L62</f>
        <v/>
      </c>
      <c r="M62" s="430" t="str">
        <f>Januari!M62</f>
        <v/>
      </c>
      <c r="N62" s="321" t="str">
        <f>IFERROR(VLOOKUP(M62, Tarieven!$A$1:$J$150, 10, FALSE), "0")</f>
        <v>0</v>
      </c>
      <c r="O62" s="429" t="str">
        <f>Januari!O62</f>
        <v/>
      </c>
      <c r="P62" s="430" t="str">
        <f>Januari!P62</f>
        <v/>
      </c>
      <c r="Q62" s="325" t="str">
        <f>IFERROR(VLOOKUP(P62, Tarieven!$A$2:$J$150, 10, FALSE), "0")</f>
        <v>0</v>
      </c>
      <c r="R62" s="431" t="str">
        <f>Januari!R62</f>
        <v/>
      </c>
      <c r="S62" s="430" t="str">
        <f>Januari!S62</f>
        <v/>
      </c>
      <c r="T62" s="325" t="str">
        <f>IFERROR(VLOOKUP(S62, Tarieven!$A$2:$J$150, 10, FALSE), "0")</f>
        <v>0</v>
      </c>
      <c r="U62" s="77" t="str">
        <f>Januari!U62</f>
        <v/>
      </c>
      <c r="V62" s="327" t="str">
        <f>Januari!V62</f>
        <v/>
      </c>
      <c r="W62" s="325" t="str">
        <f>IFERROR(VLOOKUP(V62, Tarieven!$A$2:$J$150, 10, FALSE), "0")</f>
        <v>0</v>
      </c>
      <c r="X62" s="138">
        <f>Januari!X62</f>
        <v>0</v>
      </c>
      <c r="Y62" s="398">
        <v>0.0</v>
      </c>
      <c r="Z62" s="329">
        <f t="shared" si="3"/>
        <v>0</v>
      </c>
      <c r="AA62" s="32">
        <f t="shared" si="4"/>
        <v>0</v>
      </c>
      <c r="AB62" s="32">
        <f t="shared" si="5"/>
        <v>0</v>
      </c>
      <c r="AC62" s="32">
        <f t="shared" si="6"/>
        <v>0</v>
      </c>
    </row>
    <row r="63" ht="22.5" customHeight="1">
      <c r="A63" s="331" t="str">
        <f>Rooster!A64</f>
        <v/>
      </c>
      <c r="B63" s="396" t="str">
        <f>Rooster!B64</f>
        <v/>
      </c>
      <c r="C63" s="15" t="str">
        <f>Rooster!C64</f>
        <v/>
      </c>
      <c r="D63" s="11" t="str">
        <f>Rooster!D64</f>
        <v/>
      </c>
      <c r="E63" s="77"/>
      <c r="F63" s="327" t="str">
        <f>Rooster!E64</f>
        <v/>
      </c>
      <c r="G63" s="319" t="str">
        <f>IFERROR(VLOOKUP(F63, Docenten!$A$2:$G$30, 7, FALSE), "0")</f>
        <v>0</v>
      </c>
      <c r="H63" s="320">
        <f t="shared" si="7"/>
        <v>0</v>
      </c>
      <c r="I63" s="327" t="str">
        <f>Rooster!H64</f>
        <v/>
      </c>
      <c r="J63" s="321" t="str">
        <f>IFERROR(VLOOKUP(I63, Locaties!$A$2:$G$15, 7, FALSE), "0")</f>
        <v>0</v>
      </c>
      <c r="K63" s="42">
        <f t="shared" si="2"/>
        <v>0</v>
      </c>
      <c r="L63" s="429" t="str">
        <f>Januari!L63</f>
        <v/>
      </c>
      <c r="M63" s="430" t="str">
        <f>Januari!M63</f>
        <v/>
      </c>
      <c r="N63" s="321" t="str">
        <f>IFERROR(VLOOKUP(M63, Tarieven!$A$1:$J$150, 10, FALSE), "0")</f>
        <v>0</v>
      </c>
      <c r="O63" s="429" t="str">
        <f>Januari!O63</f>
        <v/>
      </c>
      <c r="P63" s="430" t="str">
        <f>Januari!P63</f>
        <v/>
      </c>
      <c r="Q63" s="325" t="str">
        <f>IFERROR(VLOOKUP(P63, Tarieven!$A$2:$J$150, 10, FALSE), "0")</f>
        <v>0</v>
      </c>
      <c r="R63" s="431" t="str">
        <f>Januari!R63</f>
        <v/>
      </c>
      <c r="S63" s="430" t="str">
        <f>Januari!S63</f>
        <v/>
      </c>
      <c r="T63" s="325" t="str">
        <f>IFERROR(VLOOKUP(S63, Tarieven!$A$2:$J$150, 10, FALSE), "0")</f>
        <v>0</v>
      </c>
      <c r="U63" s="77" t="str">
        <f>Januari!U63</f>
        <v/>
      </c>
      <c r="V63" s="327" t="str">
        <f>Januari!V63</f>
        <v/>
      </c>
      <c r="W63" s="325" t="str">
        <f>IFERROR(VLOOKUP(V63, Tarieven!$A$2:$J$150, 10, FALSE), "0")</f>
        <v>0</v>
      </c>
      <c r="X63" s="138">
        <f>Januari!X63</f>
        <v>0</v>
      </c>
      <c r="Y63" s="398">
        <v>0.0</v>
      </c>
      <c r="Z63" s="329">
        <f t="shared" si="3"/>
        <v>0</v>
      </c>
      <c r="AA63" s="32">
        <f t="shared" si="4"/>
        <v>0</v>
      </c>
      <c r="AB63" s="32">
        <f t="shared" si="5"/>
        <v>0</v>
      </c>
      <c r="AC63" s="32">
        <f t="shared" si="6"/>
        <v>0</v>
      </c>
    </row>
    <row r="64" ht="22.5" customHeight="1">
      <c r="A64" s="331" t="str">
        <f>Rooster!A65</f>
        <v/>
      </c>
      <c r="B64" s="396" t="str">
        <f>Rooster!B65</f>
        <v/>
      </c>
      <c r="C64" s="15" t="str">
        <f>Rooster!C65</f>
        <v/>
      </c>
      <c r="D64" s="11" t="str">
        <f>Rooster!D65</f>
        <v/>
      </c>
      <c r="E64" s="77"/>
      <c r="F64" s="327" t="str">
        <f>Rooster!E65</f>
        <v/>
      </c>
      <c r="G64" s="319" t="str">
        <f>IFERROR(VLOOKUP(F64, Docenten!$A$2:$G$30, 7, FALSE), "0")</f>
        <v>0</v>
      </c>
      <c r="H64" s="320">
        <f t="shared" si="7"/>
        <v>0</v>
      </c>
      <c r="I64" s="327" t="str">
        <f>Rooster!H65</f>
        <v/>
      </c>
      <c r="J64" s="321" t="str">
        <f>IFERROR(VLOOKUP(I64, Locaties!$A$2:$G$15, 7, FALSE), "0")</f>
        <v>0</v>
      </c>
      <c r="K64" s="42">
        <f t="shared" si="2"/>
        <v>0</v>
      </c>
      <c r="L64" s="429" t="str">
        <f>Januari!L64</f>
        <v/>
      </c>
      <c r="M64" s="430" t="str">
        <f>Januari!M64</f>
        <v/>
      </c>
      <c r="N64" s="321" t="str">
        <f>IFERROR(VLOOKUP(M64, Tarieven!$A$1:$J$150, 10, FALSE), "0")</f>
        <v>0</v>
      </c>
      <c r="O64" s="429" t="str">
        <f>Januari!O64</f>
        <v/>
      </c>
      <c r="P64" s="430" t="str">
        <f>Januari!P64</f>
        <v/>
      </c>
      <c r="Q64" s="325" t="str">
        <f>IFERROR(VLOOKUP(P64, Tarieven!$A$2:$J$150, 10, FALSE), "0")</f>
        <v>0</v>
      </c>
      <c r="R64" s="431" t="str">
        <f>Januari!R64</f>
        <v/>
      </c>
      <c r="S64" s="430" t="str">
        <f>Januari!S64</f>
        <v/>
      </c>
      <c r="T64" s="325" t="str">
        <f>IFERROR(VLOOKUP(S64, Tarieven!$A$2:$J$150, 10, FALSE), "0")</f>
        <v>0</v>
      </c>
      <c r="U64" s="77" t="str">
        <f>Januari!U64</f>
        <v/>
      </c>
      <c r="V64" s="327" t="str">
        <f>Januari!V64</f>
        <v/>
      </c>
      <c r="W64" s="325" t="str">
        <f>IFERROR(VLOOKUP(V64, Tarieven!$A$2:$J$150, 10, FALSE), "0")</f>
        <v>0</v>
      </c>
      <c r="X64" s="138">
        <f>Januari!X64</f>
        <v>0</v>
      </c>
      <c r="Y64" s="398">
        <v>0.0</v>
      </c>
      <c r="Z64" s="329">
        <f t="shared" si="3"/>
        <v>0</v>
      </c>
      <c r="AA64" s="32">
        <f t="shared" si="4"/>
        <v>0</v>
      </c>
      <c r="AB64" s="32">
        <f t="shared" si="5"/>
        <v>0</v>
      </c>
      <c r="AC64" s="32">
        <f t="shared" si="6"/>
        <v>0</v>
      </c>
    </row>
    <row r="65" ht="22.5" customHeight="1">
      <c r="A65" s="331" t="str">
        <f>Rooster!A66</f>
        <v/>
      </c>
      <c r="B65" s="396" t="str">
        <f>Rooster!B66</f>
        <v/>
      </c>
      <c r="C65" s="15" t="str">
        <f>Rooster!C66</f>
        <v/>
      </c>
      <c r="D65" s="11" t="str">
        <f>Rooster!D66</f>
        <v/>
      </c>
      <c r="E65" s="77"/>
      <c r="F65" s="327" t="str">
        <f>Rooster!E66</f>
        <v/>
      </c>
      <c r="G65" s="319" t="str">
        <f>IFERROR(VLOOKUP(F65, Docenten!$A$2:$G$30, 7, FALSE), "0")</f>
        <v>0</v>
      </c>
      <c r="H65" s="320">
        <f t="shared" si="7"/>
        <v>0</v>
      </c>
      <c r="I65" s="327" t="str">
        <f>Rooster!H66</f>
        <v/>
      </c>
      <c r="J65" s="321" t="str">
        <f>IFERROR(VLOOKUP(I65, Locaties!$A$2:$G$15, 7, FALSE), "0")</f>
        <v>0</v>
      </c>
      <c r="K65" s="42">
        <f t="shared" si="2"/>
        <v>0</v>
      </c>
      <c r="L65" s="429" t="str">
        <f>Januari!L65</f>
        <v/>
      </c>
      <c r="M65" s="430" t="str">
        <f>Januari!M65</f>
        <v/>
      </c>
      <c r="N65" s="321" t="str">
        <f>IFERROR(VLOOKUP(M65, Tarieven!$A$1:$J$150, 10, FALSE), "0")</f>
        <v>0</v>
      </c>
      <c r="O65" s="429" t="str">
        <f>Januari!O65</f>
        <v/>
      </c>
      <c r="P65" s="430" t="str">
        <f>Januari!P65</f>
        <v/>
      </c>
      <c r="Q65" s="325" t="str">
        <f>IFERROR(VLOOKUP(P65, Tarieven!$A$2:$J$150, 10, FALSE), "0")</f>
        <v>0</v>
      </c>
      <c r="R65" s="431" t="str">
        <f>Januari!R65</f>
        <v/>
      </c>
      <c r="S65" s="430" t="str">
        <f>Januari!S65</f>
        <v/>
      </c>
      <c r="T65" s="325" t="str">
        <f>IFERROR(VLOOKUP(S65, Tarieven!$A$2:$J$150, 10, FALSE), "0")</f>
        <v>0</v>
      </c>
      <c r="U65" s="77" t="str">
        <f>Januari!U65</f>
        <v/>
      </c>
      <c r="V65" s="327" t="str">
        <f>Januari!V65</f>
        <v/>
      </c>
      <c r="W65" s="325" t="str">
        <f>IFERROR(VLOOKUP(V65, Tarieven!$A$2:$J$150, 10, FALSE), "0")</f>
        <v>0</v>
      </c>
      <c r="X65" s="138">
        <f>Januari!X65</f>
        <v>0</v>
      </c>
      <c r="Y65" s="398">
        <v>0.0</v>
      </c>
      <c r="Z65" s="329">
        <f t="shared" si="3"/>
        <v>0</v>
      </c>
      <c r="AA65" s="32">
        <f t="shared" si="4"/>
        <v>0</v>
      </c>
      <c r="AB65" s="32">
        <f t="shared" si="5"/>
        <v>0</v>
      </c>
      <c r="AC65" s="32">
        <f t="shared" si="6"/>
        <v>0</v>
      </c>
    </row>
    <row r="66" ht="22.5" customHeight="1">
      <c r="A66" s="331" t="str">
        <f>Rooster!A67</f>
        <v/>
      </c>
      <c r="B66" s="396" t="str">
        <f>Rooster!B67</f>
        <v/>
      </c>
      <c r="C66" s="15" t="str">
        <f>Rooster!C67</f>
        <v/>
      </c>
      <c r="D66" s="11" t="str">
        <f>Rooster!D67</f>
        <v/>
      </c>
      <c r="E66" s="77"/>
      <c r="F66" s="327" t="str">
        <f>Rooster!E67</f>
        <v/>
      </c>
      <c r="G66" s="319" t="str">
        <f>IFERROR(VLOOKUP(F66, Docenten!$A$2:$G$30, 7, FALSE), "0")</f>
        <v>0</v>
      </c>
      <c r="H66" s="320">
        <f t="shared" si="7"/>
        <v>0</v>
      </c>
      <c r="I66" s="327" t="str">
        <f>Rooster!H67</f>
        <v/>
      </c>
      <c r="J66" s="321" t="str">
        <f>IFERROR(VLOOKUP(I66, Locaties!$A$2:$G$15, 7, FALSE), "0")</f>
        <v>0</v>
      </c>
      <c r="K66" s="42">
        <f t="shared" si="2"/>
        <v>0</v>
      </c>
      <c r="L66" s="429" t="str">
        <f>Januari!L66</f>
        <v/>
      </c>
      <c r="M66" s="430" t="str">
        <f>Januari!M66</f>
        <v/>
      </c>
      <c r="N66" s="321" t="str">
        <f>IFERROR(VLOOKUP(M66, Tarieven!$A$1:$J$150, 10, FALSE), "0")</f>
        <v>0</v>
      </c>
      <c r="O66" s="429" t="str">
        <f>Januari!O66</f>
        <v/>
      </c>
      <c r="P66" s="430" t="str">
        <f>Januari!P66</f>
        <v/>
      </c>
      <c r="Q66" s="325" t="str">
        <f>IFERROR(VLOOKUP(P66, Tarieven!$A$2:$J$150, 10, FALSE), "0")</f>
        <v>0</v>
      </c>
      <c r="R66" s="431" t="str">
        <f>Januari!R66</f>
        <v/>
      </c>
      <c r="S66" s="430" t="str">
        <f>Januari!S66</f>
        <v/>
      </c>
      <c r="T66" s="325" t="str">
        <f>IFERROR(VLOOKUP(S66, Tarieven!$A$2:$J$150, 10, FALSE), "0")</f>
        <v>0</v>
      </c>
      <c r="U66" s="77" t="str">
        <f>Januari!U66</f>
        <v/>
      </c>
      <c r="V66" s="327" t="str">
        <f>Januari!V66</f>
        <v/>
      </c>
      <c r="W66" s="325" t="str">
        <f>IFERROR(VLOOKUP(V66, Tarieven!$A$2:$J$150, 10, FALSE), "0")</f>
        <v>0</v>
      </c>
      <c r="X66" s="138">
        <f>Januari!X66</f>
        <v>0</v>
      </c>
      <c r="Y66" s="398">
        <v>0.0</v>
      </c>
      <c r="Z66" s="329">
        <f t="shared" si="3"/>
        <v>0</v>
      </c>
      <c r="AA66" s="32">
        <f t="shared" si="4"/>
        <v>0</v>
      </c>
      <c r="AB66" s="32">
        <f t="shared" si="5"/>
        <v>0</v>
      </c>
      <c r="AC66" s="32">
        <f t="shared" si="6"/>
        <v>0</v>
      </c>
    </row>
    <row r="67" ht="22.5" customHeight="1">
      <c r="A67" s="331" t="str">
        <f>Rooster!A68</f>
        <v/>
      </c>
      <c r="B67" s="396" t="str">
        <f>Rooster!B68</f>
        <v/>
      </c>
      <c r="C67" s="15" t="str">
        <f>Rooster!C68</f>
        <v/>
      </c>
      <c r="D67" s="11" t="str">
        <f>Rooster!D68</f>
        <v/>
      </c>
      <c r="E67" s="77"/>
      <c r="F67" s="327" t="str">
        <f>Rooster!E68</f>
        <v/>
      </c>
      <c r="G67" s="319" t="str">
        <f>IFERROR(VLOOKUP(F67, Docenten!$A$2:$G$30, 7, FALSE), "0")</f>
        <v>0</v>
      </c>
      <c r="H67" s="320">
        <f t="shared" si="7"/>
        <v>0</v>
      </c>
      <c r="I67" s="327" t="str">
        <f>Rooster!H68</f>
        <v/>
      </c>
      <c r="J67" s="321" t="str">
        <f>IFERROR(VLOOKUP(I67, Locaties!$A$2:$G$15, 7, FALSE), "0")</f>
        <v>0</v>
      </c>
      <c r="K67" s="42">
        <f t="shared" si="2"/>
        <v>0</v>
      </c>
      <c r="L67" s="429" t="str">
        <f>Januari!L67</f>
        <v/>
      </c>
      <c r="M67" s="430" t="str">
        <f>Januari!M67</f>
        <v/>
      </c>
      <c r="N67" s="321" t="str">
        <f>IFERROR(VLOOKUP(M67, Tarieven!$A$1:$J$150, 10, FALSE), "0")</f>
        <v>0</v>
      </c>
      <c r="O67" s="429" t="str">
        <f>Januari!O67</f>
        <v/>
      </c>
      <c r="P67" s="430" t="str">
        <f>Januari!P67</f>
        <v/>
      </c>
      <c r="Q67" s="325" t="str">
        <f>IFERROR(VLOOKUP(P67, Tarieven!$A$2:$J$150, 10, FALSE), "0")</f>
        <v>0</v>
      </c>
      <c r="R67" s="431" t="str">
        <f>Januari!R67</f>
        <v/>
      </c>
      <c r="S67" s="430" t="str">
        <f>Januari!S67</f>
        <v/>
      </c>
      <c r="T67" s="325" t="str">
        <f>IFERROR(VLOOKUP(S67, Tarieven!$A$2:$J$150, 10, FALSE), "0")</f>
        <v>0</v>
      </c>
      <c r="U67" s="77" t="str">
        <f>Januari!U67</f>
        <v/>
      </c>
      <c r="V67" s="327" t="str">
        <f>Januari!V67</f>
        <v/>
      </c>
      <c r="W67" s="325" t="str">
        <f>IFERROR(VLOOKUP(V67, Tarieven!$A$2:$J$150, 10, FALSE), "0")</f>
        <v>0</v>
      </c>
      <c r="X67" s="138">
        <f>Januari!X67</f>
        <v>0</v>
      </c>
      <c r="Y67" s="398">
        <v>0.0</v>
      </c>
      <c r="Z67" s="329">
        <f t="shared" si="3"/>
        <v>0</v>
      </c>
      <c r="AA67" s="32">
        <f t="shared" si="4"/>
        <v>0</v>
      </c>
      <c r="AB67" s="32">
        <f t="shared" si="5"/>
        <v>0</v>
      </c>
      <c r="AC67" s="32">
        <f t="shared" si="6"/>
        <v>0</v>
      </c>
    </row>
    <row r="68" ht="22.5" customHeight="1">
      <c r="A68" s="331" t="str">
        <f>Rooster!A69</f>
        <v/>
      </c>
      <c r="B68" s="396" t="str">
        <f>Rooster!B69</f>
        <v/>
      </c>
      <c r="C68" s="15" t="str">
        <f>Rooster!C69</f>
        <v/>
      </c>
      <c r="D68" s="11" t="str">
        <f>Rooster!D69</f>
        <v/>
      </c>
      <c r="E68" s="77"/>
      <c r="F68" s="327" t="str">
        <f>Rooster!E69</f>
        <v/>
      </c>
      <c r="G68" s="319" t="str">
        <f>IFERROR(VLOOKUP(F68, Docenten!$A$2:$G$30, 7, FALSE), "0")</f>
        <v>0</v>
      </c>
      <c r="H68" s="320">
        <f t="shared" si="7"/>
        <v>0</v>
      </c>
      <c r="I68" s="327" t="str">
        <f>Rooster!H69</f>
        <v/>
      </c>
      <c r="J68" s="321" t="str">
        <f>IFERROR(VLOOKUP(I68, Locaties!$A$2:$G$15, 7, FALSE), "0")</f>
        <v>0</v>
      </c>
      <c r="K68" s="42">
        <f t="shared" si="2"/>
        <v>0</v>
      </c>
      <c r="L68" s="429" t="str">
        <f>Januari!L68</f>
        <v/>
      </c>
      <c r="M68" s="430" t="str">
        <f>Januari!M68</f>
        <v/>
      </c>
      <c r="N68" s="321" t="str">
        <f>IFERROR(VLOOKUP(M68, Tarieven!$A$1:$J$150, 10, FALSE), "0")</f>
        <v>0</v>
      </c>
      <c r="O68" s="429" t="str">
        <f>Januari!O68</f>
        <v/>
      </c>
      <c r="P68" s="430" t="str">
        <f>Januari!P68</f>
        <v/>
      </c>
      <c r="Q68" s="325" t="str">
        <f>IFERROR(VLOOKUP(P68, Tarieven!$A$2:$J$150, 10, FALSE), "0")</f>
        <v>0</v>
      </c>
      <c r="R68" s="431" t="str">
        <f>Januari!R68</f>
        <v/>
      </c>
      <c r="S68" s="430" t="str">
        <f>Januari!S68</f>
        <v/>
      </c>
      <c r="T68" s="325" t="str">
        <f>IFERROR(VLOOKUP(S68, Tarieven!$A$2:$J$150, 10, FALSE), "0")</f>
        <v>0</v>
      </c>
      <c r="U68" s="77" t="str">
        <f>Januari!U68</f>
        <v/>
      </c>
      <c r="V68" s="327" t="str">
        <f>Januari!V68</f>
        <v/>
      </c>
      <c r="W68" s="325" t="str">
        <f>IFERROR(VLOOKUP(V68, Tarieven!$A$2:$J$150, 10, FALSE), "0")</f>
        <v>0</v>
      </c>
      <c r="X68" s="138">
        <f>Januari!X68</f>
        <v>0</v>
      </c>
      <c r="Y68" s="398">
        <v>0.0</v>
      </c>
      <c r="Z68" s="329">
        <f t="shared" si="3"/>
        <v>0</v>
      </c>
      <c r="AA68" s="32">
        <f t="shared" si="4"/>
        <v>0</v>
      </c>
      <c r="AB68" s="32">
        <f t="shared" si="5"/>
        <v>0</v>
      </c>
      <c r="AC68" s="32">
        <f t="shared" si="6"/>
        <v>0</v>
      </c>
    </row>
    <row r="69" ht="22.5" customHeight="1">
      <c r="A69" s="331" t="str">
        <f>Rooster!A70</f>
        <v/>
      </c>
      <c r="B69" s="396" t="str">
        <f>Rooster!B70</f>
        <v/>
      </c>
      <c r="C69" s="15" t="str">
        <f>Rooster!C70</f>
        <v/>
      </c>
      <c r="D69" s="11" t="str">
        <f>Rooster!D70</f>
        <v/>
      </c>
      <c r="E69" s="77"/>
      <c r="F69" s="327" t="str">
        <f>Rooster!E70</f>
        <v/>
      </c>
      <c r="G69" s="319" t="str">
        <f>IFERROR(VLOOKUP(F69, Docenten!$A$2:$G$30, 7, FALSE), "0")</f>
        <v>0</v>
      </c>
      <c r="H69" s="320">
        <f t="shared" si="7"/>
        <v>0</v>
      </c>
      <c r="I69" s="327" t="str">
        <f>Rooster!H70</f>
        <v/>
      </c>
      <c r="J69" s="321" t="str">
        <f>IFERROR(VLOOKUP(I69, Locaties!$A$2:$G$15, 7, FALSE), "0")</f>
        <v>0</v>
      </c>
      <c r="K69" s="42">
        <f t="shared" si="2"/>
        <v>0</v>
      </c>
      <c r="L69" s="429" t="str">
        <f>Januari!L69</f>
        <v/>
      </c>
      <c r="M69" s="430" t="str">
        <f>Januari!M69</f>
        <v/>
      </c>
      <c r="N69" s="321" t="str">
        <f>IFERROR(VLOOKUP(M69, Tarieven!$A$1:$J$150, 10, FALSE), "0")</f>
        <v>0</v>
      </c>
      <c r="O69" s="429" t="str">
        <f>Januari!O69</f>
        <v/>
      </c>
      <c r="P69" s="430" t="str">
        <f>Januari!P69</f>
        <v/>
      </c>
      <c r="Q69" s="325" t="str">
        <f>IFERROR(VLOOKUP(P69, Tarieven!$A$2:$J$150, 10, FALSE), "0")</f>
        <v>0</v>
      </c>
      <c r="R69" s="431" t="str">
        <f>Januari!R69</f>
        <v/>
      </c>
      <c r="S69" s="430" t="str">
        <f>Januari!S69</f>
        <v/>
      </c>
      <c r="T69" s="325" t="str">
        <f>IFERROR(VLOOKUP(S69, Tarieven!$A$2:$J$150, 10, FALSE), "0")</f>
        <v>0</v>
      </c>
      <c r="U69" s="77" t="str">
        <f>Januari!U69</f>
        <v/>
      </c>
      <c r="V69" s="327" t="str">
        <f>Januari!V69</f>
        <v/>
      </c>
      <c r="W69" s="325" t="str">
        <f>IFERROR(VLOOKUP(V69, Tarieven!$A$2:$J$150, 10, FALSE), "0")</f>
        <v>0</v>
      </c>
      <c r="X69" s="138">
        <f>Januari!X69</f>
        <v>0</v>
      </c>
      <c r="Y69" s="398">
        <v>0.0</v>
      </c>
      <c r="Z69" s="329">
        <f t="shared" si="3"/>
        <v>0</v>
      </c>
      <c r="AA69" s="32">
        <f t="shared" si="4"/>
        <v>0</v>
      </c>
      <c r="AB69" s="32">
        <f t="shared" si="5"/>
        <v>0</v>
      </c>
      <c r="AC69" s="32">
        <f t="shared" si="6"/>
        <v>0</v>
      </c>
    </row>
    <row r="70" ht="22.5" customHeight="1">
      <c r="A70" s="331" t="str">
        <f>Rooster!A71</f>
        <v/>
      </c>
      <c r="B70" s="396" t="str">
        <f>Rooster!B71</f>
        <v/>
      </c>
      <c r="C70" s="15" t="str">
        <f>Rooster!C71</f>
        <v/>
      </c>
      <c r="D70" s="11" t="str">
        <f>Rooster!D71</f>
        <v/>
      </c>
      <c r="E70" s="77"/>
      <c r="F70" s="327" t="str">
        <f>Rooster!E71</f>
        <v/>
      </c>
      <c r="G70" s="319" t="str">
        <f>IFERROR(VLOOKUP(F70, Docenten!$A$2:$G$30, 7, FALSE), "0")</f>
        <v>0</v>
      </c>
      <c r="H70" s="320">
        <f t="shared" si="7"/>
        <v>0</v>
      </c>
      <c r="I70" s="327" t="str">
        <f>Rooster!H71</f>
        <v/>
      </c>
      <c r="J70" s="321" t="str">
        <f>IFERROR(VLOOKUP(I70, Locaties!$A$2:$G$15, 7, FALSE), "0")</f>
        <v>0</v>
      </c>
      <c r="K70" s="42">
        <f t="shared" si="2"/>
        <v>0</v>
      </c>
      <c r="L70" s="429" t="str">
        <f>Januari!L70</f>
        <v/>
      </c>
      <c r="M70" s="430" t="str">
        <f>Januari!M70</f>
        <v/>
      </c>
      <c r="N70" s="321" t="str">
        <f>IFERROR(VLOOKUP(M70, Tarieven!$A$1:$J$150, 10, FALSE), "0")</f>
        <v>0</v>
      </c>
      <c r="O70" s="429" t="str">
        <f>Januari!O70</f>
        <v/>
      </c>
      <c r="P70" s="430" t="str">
        <f>Januari!P70</f>
        <v/>
      </c>
      <c r="Q70" s="325" t="str">
        <f>IFERROR(VLOOKUP(P70, Tarieven!$A$2:$J$150, 10, FALSE), "0")</f>
        <v>0</v>
      </c>
      <c r="R70" s="431" t="str">
        <f>Januari!R70</f>
        <v/>
      </c>
      <c r="S70" s="430" t="str">
        <f>Januari!S70</f>
        <v/>
      </c>
      <c r="T70" s="325" t="str">
        <f>IFERROR(VLOOKUP(S70, Tarieven!$A$2:$J$150, 10, FALSE), "0")</f>
        <v>0</v>
      </c>
      <c r="U70" s="77" t="str">
        <f>Januari!U70</f>
        <v/>
      </c>
      <c r="V70" s="327" t="str">
        <f>Januari!V70</f>
        <v/>
      </c>
      <c r="W70" s="325" t="str">
        <f>IFERROR(VLOOKUP(V70, Tarieven!$A$2:$J$150, 10, FALSE), "0")</f>
        <v>0</v>
      </c>
      <c r="X70" s="138">
        <f>Januari!X70</f>
        <v>0</v>
      </c>
      <c r="Y70" s="398">
        <v>0.0</v>
      </c>
      <c r="Z70" s="329">
        <f t="shared" si="3"/>
        <v>0</v>
      </c>
      <c r="AA70" s="32">
        <f t="shared" si="4"/>
        <v>0</v>
      </c>
      <c r="AB70" s="32">
        <f t="shared" si="5"/>
        <v>0</v>
      </c>
      <c r="AC70" s="32">
        <f t="shared" si="6"/>
        <v>0</v>
      </c>
    </row>
    <row r="71" ht="22.5" customHeight="1">
      <c r="A71" s="331" t="str">
        <f>Rooster!A72</f>
        <v/>
      </c>
      <c r="B71" s="396" t="str">
        <f>Rooster!B72</f>
        <v/>
      </c>
      <c r="C71" s="15" t="str">
        <f>Rooster!C72</f>
        <v/>
      </c>
      <c r="D71" s="11" t="str">
        <f>Rooster!D72</f>
        <v/>
      </c>
      <c r="E71" s="77"/>
      <c r="F71" s="327" t="str">
        <f>Rooster!E72</f>
        <v/>
      </c>
      <c r="G71" s="319" t="str">
        <f>IFERROR(VLOOKUP(F71, Docenten!$A$2:$G$30, 7, FALSE), "0")</f>
        <v>0</v>
      </c>
      <c r="H71" s="320">
        <f t="shared" si="7"/>
        <v>0</v>
      </c>
      <c r="I71" s="327" t="str">
        <f>Rooster!H72</f>
        <v/>
      </c>
      <c r="J71" s="321" t="str">
        <f>IFERROR(VLOOKUP(I71, Locaties!$A$2:$G$15, 7, FALSE), "0")</f>
        <v>0</v>
      </c>
      <c r="K71" s="42">
        <f t="shared" si="2"/>
        <v>0</v>
      </c>
      <c r="L71" s="429" t="str">
        <f>Januari!L71</f>
        <v/>
      </c>
      <c r="M71" s="430" t="str">
        <f>Januari!M71</f>
        <v/>
      </c>
      <c r="N71" s="321" t="str">
        <f>IFERROR(VLOOKUP(M71, Tarieven!$A$1:$J$150, 10, FALSE), "0")</f>
        <v>0</v>
      </c>
      <c r="O71" s="429" t="str">
        <f>Januari!O71</f>
        <v/>
      </c>
      <c r="P71" s="430" t="str">
        <f>Januari!P71</f>
        <v/>
      </c>
      <c r="Q71" s="325" t="str">
        <f>IFERROR(VLOOKUP(P71, Tarieven!$A$2:$J$150, 10, FALSE), "0")</f>
        <v>0</v>
      </c>
      <c r="R71" s="431" t="str">
        <f>Januari!R71</f>
        <v/>
      </c>
      <c r="S71" s="430" t="str">
        <f>Januari!S71</f>
        <v/>
      </c>
      <c r="T71" s="325" t="str">
        <f>IFERROR(VLOOKUP(S71, Tarieven!$A$2:$J$150, 10, FALSE), "0")</f>
        <v>0</v>
      </c>
      <c r="U71" s="77" t="str">
        <f>Januari!U71</f>
        <v/>
      </c>
      <c r="V71" s="327" t="str">
        <f>Januari!V71</f>
        <v/>
      </c>
      <c r="W71" s="325" t="str">
        <f>IFERROR(VLOOKUP(V71, Tarieven!$A$2:$J$150, 10, FALSE), "0")</f>
        <v>0</v>
      </c>
      <c r="X71" s="138">
        <f>Januari!X71</f>
        <v>0</v>
      </c>
      <c r="Y71" s="398">
        <v>0.0</v>
      </c>
      <c r="Z71" s="329">
        <f t="shared" si="3"/>
        <v>0</v>
      </c>
      <c r="AA71" s="32">
        <f t="shared" si="4"/>
        <v>0</v>
      </c>
      <c r="AB71" s="32">
        <f t="shared" si="5"/>
        <v>0</v>
      </c>
      <c r="AC71" s="32">
        <f t="shared" si="6"/>
        <v>0</v>
      </c>
    </row>
    <row r="72" ht="22.5" customHeight="1">
      <c r="A72" s="331" t="str">
        <f>Rooster!A73</f>
        <v/>
      </c>
      <c r="B72" s="396" t="str">
        <f>Rooster!B73</f>
        <v/>
      </c>
      <c r="C72" s="15" t="str">
        <f>Rooster!C73</f>
        <v/>
      </c>
      <c r="D72" s="11" t="str">
        <f>Rooster!D73</f>
        <v/>
      </c>
      <c r="E72" s="77"/>
      <c r="F72" s="327" t="str">
        <f>Rooster!E73</f>
        <v/>
      </c>
      <c r="G72" s="319" t="str">
        <f>IFERROR(VLOOKUP(F72, Docenten!$A$2:$G$30, 7, FALSE), "0")</f>
        <v>0</v>
      </c>
      <c r="H72" s="320">
        <f t="shared" si="7"/>
        <v>0</v>
      </c>
      <c r="I72" s="327" t="str">
        <f>Rooster!H73</f>
        <v/>
      </c>
      <c r="J72" s="321" t="str">
        <f>IFERROR(VLOOKUP(I72, Locaties!$A$2:$G$15, 7, FALSE), "0")</f>
        <v>0</v>
      </c>
      <c r="K72" s="42">
        <f t="shared" si="2"/>
        <v>0</v>
      </c>
      <c r="L72" s="429" t="str">
        <f>Januari!L72</f>
        <v/>
      </c>
      <c r="M72" s="430" t="str">
        <f>Januari!M72</f>
        <v/>
      </c>
      <c r="N72" s="321" t="str">
        <f>IFERROR(VLOOKUP(M72, Tarieven!$A$1:$J$150, 10, FALSE), "0")</f>
        <v>0</v>
      </c>
      <c r="O72" s="429" t="str">
        <f>Januari!O72</f>
        <v/>
      </c>
      <c r="P72" s="430" t="str">
        <f>Januari!P72</f>
        <v/>
      </c>
      <c r="Q72" s="325" t="str">
        <f>IFERROR(VLOOKUP(P72, Tarieven!$A$2:$J$150, 10, FALSE), "0")</f>
        <v>0</v>
      </c>
      <c r="R72" s="431" t="str">
        <f>Januari!R72</f>
        <v/>
      </c>
      <c r="S72" s="430" t="str">
        <f>Januari!S72</f>
        <v/>
      </c>
      <c r="T72" s="325" t="str">
        <f>IFERROR(VLOOKUP(S72, Tarieven!$A$2:$J$150, 10, FALSE), "0")</f>
        <v>0</v>
      </c>
      <c r="U72" s="77" t="str">
        <f>Januari!U72</f>
        <v/>
      </c>
      <c r="V72" s="327" t="str">
        <f>Januari!V72</f>
        <v/>
      </c>
      <c r="W72" s="325" t="str">
        <f>IFERROR(VLOOKUP(V72, Tarieven!$A$2:$J$150, 10, FALSE), "0")</f>
        <v>0</v>
      </c>
      <c r="X72" s="138">
        <f>Januari!X72</f>
        <v>0</v>
      </c>
      <c r="Y72" s="398">
        <v>0.0</v>
      </c>
      <c r="Z72" s="329">
        <f t="shared" si="3"/>
        <v>0</v>
      </c>
      <c r="AA72" s="32">
        <f t="shared" si="4"/>
        <v>0</v>
      </c>
      <c r="AB72" s="32">
        <f t="shared" si="5"/>
        <v>0</v>
      </c>
      <c r="AC72" s="32">
        <f t="shared" si="6"/>
        <v>0</v>
      </c>
    </row>
    <row r="73" ht="22.5" customHeight="1">
      <c r="A73" s="331" t="str">
        <f>Rooster!A74</f>
        <v/>
      </c>
      <c r="B73" s="396" t="str">
        <f>Rooster!B74</f>
        <v/>
      </c>
      <c r="C73" s="15" t="str">
        <f>Rooster!C74</f>
        <v/>
      </c>
      <c r="D73" s="11" t="str">
        <f>Rooster!D74</f>
        <v/>
      </c>
      <c r="E73" s="77"/>
      <c r="F73" s="327" t="str">
        <f>Rooster!E74</f>
        <v/>
      </c>
      <c r="G73" s="319" t="str">
        <f>IFERROR(VLOOKUP(F73, Docenten!$A$2:$G$30, 7, FALSE), "0")</f>
        <v>0</v>
      </c>
      <c r="H73" s="320">
        <f t="shared" si="7"/>
        <v>0</v>
      </c>
      <c r="I73" s="327" t="str">
        <f>Rooster!H74</f>
        <v/>
      </c>
      <c r="J73" s="321" t="str">
        <f>IFERROR(VLOOKUP(I73, Locaties!$A$2:$G$15, 7, FALSE), "0")</f>
        <v>0</v>
      </c>
      <c r="K73" s="42">
        <f t="shared" si="2"/>
        <v>0</v>
      </c>
      <c r="L73" s="429" t="str">
        <f>Januari!L73</f>
        <v/>
      </c>
      <c r="M73" s="430" t="str">
        <f>Januari!M73</f>
        <v/>
      </c>
      <c r="N73" s="321" t="str">
        <f>IFERROR(VLOOKUP(M73, Tarieven!$A$1:$J$150, 10, FALSE), "0")</f>
        <v>0</v>
      </c>
      <c r="O73" s="429" t="str">
        <f>Januari!O73</f>
        <v/>
      </c>
      <c r="P73" s="430" t="str">
        <f>Januari!P73</f>
        <v/>
      </c>
      <c r="Q73" s="325" t="str">
        <f>IFERROR(VLOOKUP(P73, Tarieven!$A$2:$J$150, 10, FALSE), "0")</f>
        <v>0</v>
      </c>
      <c r="R73" s="431" t="str">
        <f>Januari!R73</f>
        <v/>
      </c>
      <c r="S73" s="430" t="str">
        <f>Januari!S73</f>
        <v/>
      </c>
      <c r="T73" s="325" t="str">
        <f>IFERROR(VLOOKUP(S73, Tarieven!$A$2:$J$150, 10, FALSE), "0")</f>
        <v>0</v>
      </c>
      <c r="U73" s="77" t="str">
        <f>Januari!U73</f>
        <v/>
      </c>
      <c r="V73" s="327" t="str">
        <f>Januari!V73</f>
        <v/>
      </c>
      <c r="W73" s="325" t="str">
        <f>IFERROR(VLOOKUP(V73, Tarieven!$A$2:$J$150, 10, FALSE), "0")</f>
        <v>0</v>
      </c>
      <c r="X73" s="138">
        <f>Januari!X73</f>
        <v>0</v>
      </c>
      <c r="Y73" s="398">
        <v>0.0</v>
      </c>
      <c r="Z73" s="329">
        <f t="shared" si="3"/>
        <v>0</v>
      </c>
      <c r="AA73" s="32">
        <f t="shared" si="4"/>
        <v>0</v>
      </c>
      <c r="AB73" s="32">
        <f t="shared" si="5"/>
        <v>0</v>
      </c>
      <c r="AC73" s="32">
        <f t="shared" si="6"/>
        <v>0</v>
      </c>
    </row>
    <row r="74" ht="22.5" customHeight="1">
      <c r="A74" s="331" t="str">
        <f>Rooster!A75</f>
        <v/>
      </c>
      <c r="B74" s="396" t="str">
        <f>Rooster!B75</f>
        <v/>
      </c>
      <c r="C74" s="15" t="str">
        <f>Rooster!C75</f>
        <v/>
      </c>
      <c r="D74" s="11" t="str">
        <f>Rooster!D75</f>
        <v/>
      </c>
      <c r="E74" s="77"/>
      <c r="F74" s="327" t="str">
        <f>Rooster!E75</f>
        <v/>
      </c>
      <c r="G74" s="319" t="str">
        <f>IFERROR(VLOOKUP(F74, Docenten!$A$2:$G$30, 7, FALSE), "0")</f>
        <v>0</v>
      </c>
      <c r="H74" s="320">
        <f t="shared" si="7"/>
        <v>0</v>
      </c>
      <c r="I74" s="327" t="str">
        <f>Rooster!H75</f>
        <v/>
      </c>
      <c r="J74" s="321" t="str">
        <f>IFERROR(VLOOKUP(I74, Locaties!$A$2:$G$15, 7, FALSE), "0")</f>
        <v>0</v>
      </c>
      <c r="K74" s="42">
        <f t="shared" si="2"/>
        <v>0</v>
      </c>
      <c r="L74" s="429" t="str">
        <f>Januari!L74</f>
        <v/>
      </c>
      <c r="M74" s="430" t="str">
        <f>Januari!M74</f>
        <v/>
      </c>
      <c r="N74" s="321" t="str">
        <f>IFERROR(VLOOKUP(M74, Tarieven!$A$1:$J$150, 10, FALSE), "0")</f>
        <v>0</v>
      </c>
      <c r="O74" s="429" t="str">
        <f>Januari!O74</f>
        <v/>
      </c>
      <c r="P74" s="430" t="str">
        <f>Januari!P74</f>
        <v/>
      </c>
      <c r="Q74" s="325" t="str">
        <f>IFERROR(VLOOKUP(P74, Tarieven!$A$2:$J$150, 10, FALSE), "0")</f>
        <v>0</v>
      </c>
      <c r="R74" s="431" t="str">
        <f>Januari!R74</f>
        <v/>
      </c>
      <c r="S74" s="430" t="str">
        <f>Januari!S74</f>
        <v/>
      </c>
      <c r="T74" s="325" t="str">
        <f>IFERROR(VLOOKUP(S74, Tarieven!$A$2:$J$150, 10, FALSE), "0")</f>
        <v>0</v>
      </c>
      <c r="U74" s="77" t="str">
        <f>Januari!U74</f>
        <v/>
      </c>
      <c r="V74" s="327" t="str">
        <f>Januari!V74</f>
        <v/>
      </c>
      <c r="W74" s="325" t="str">
        <f>IFERROR(VLOOKUP(V74, Tarieven!$A$2:$J$150, 10, FALSE), "0")</f>
        <v>0</v>
      </c>
      <c r="X74" s="138">
        <f>Januari!X74</f>
        <v>0</v>
      </c>
      <c r="Y74" s="398">
        <v>0.0</v>
      </c>
      <c r="Z74" s="329">
        <f t="shared" si="3"/>
        <v>0</v>
      </c>
      <c r="AA74" s="32">
        <f t="shared" si="4"/>
        <v>0</v>
      </c>
      <c r="AB74" s="32">
        <f t="shared" si="5"/>
        <v>0</v>
      </c>
      <c r="AC74" s="32">
        <f t="shared" si="6"/>
        <v>0</v>
      </c>
    </row>
    <row r="75" ht="22.5" customHeight="1">
      <c r="A75" s="331" t="str">
        <f>Rooster!A76</f>
        <v/>
      </c>
      <c r="B75" s="396" t="str">
        <f>Rooster!B76</f>
        <v/>
      </c>
      <c r="C75" s="15" t="str">
        <f>Rooster!C76</f>
        <v/>
      </c>
      <c r="D75" s="11" t="str">
        <f>Rooster!D76</f>
        <v/>
      </c>
      <c r="E75" s="77"/>
      <c r="F75" s="327" t="str">
        <f>Rooster!E76</f>
        <v/>
      </c>
      <c r="G75" s="319" t="str">
        <f>IFERROR(VLOOKUP(F75, Docenten!$A$2:$G$30, 7, FALSE), "0")</f>
        <v>0</v>
      </c>
      <c r="H75" s="320">
        <f t="shared" si="7"/>
        <v>0</v>
      </c>
      <c r="I75" s="327" t="str">
        <f>Rooster!H76</f>
        <v/>
      </c>
      <c r="J75" s="321" t="str">
        <f>IFERROR(VLOOKUP(I75, Locaties!$A$2:$G$15, 7, FALSE), "0")</f>
        <v>0</v>
      </c>
      <c r="K75" s="42">
        <f t="shared" si="2"/>
        <v>0</v>
      </c>
      <c r="L75" s="429" t="str">
        <f>Januari!L75</f>
        <v/>
      </c>
      <c r="M75" s="430" t="str">
        <f>Januari!M75</f>
        <v/>
      </c>
      <c r="N75" s="321" t="str">
        <f>IFERROR(VLOOKUP(M75, Tarieven!$A$1:$J$150, 10, FALSE), "0")</f>
        <v>0</v>
      </c>
      <c r="O75" s="429" t="str">
        <f>Januari!O75</f>
        <v/>
      </c>
      <c r="P75" s="430" t="str">
        <f>Januari!P75</f>
        <v/>
      </c>
      <c r="Q75" s="325" t="str">
        <f>IFERROR(VLOOKUP(P75, Tarieven!$A$2:$J$150, 10, FALSE), "0")</f>
        <v>0</v>
      </c>
      <c r="R75" s="431" t="str">
        <f>Januari!R75</f>
        <v/>
      </c>
      <c r="S75" s="430" t="str">
        <f>Januari!S75</f>
        <v/>
      </c>
      <c r="T75" s="325" t="str">
        <f>IFERROR(VLOOKUP(S75, Tarieven!$A$2:$J$150, 10, FALSE), "0")</f>
        <v>0</v>
      </c>
      <c r="U75" s="77" t="str">
        <f>Januari!U75</f>
        <v/>
      </c>
      <c r="V75" s="327" t="str">
        <f>Januari!V75</f>
        <v/>
      </c>
      <c r="W75" s="325" t="str">
        <f>IFERROR(VLOOKUP(V75, Tarieven!$A$2:$J$150, 10, FALSE), "0")</f>
        <v>0</v>
      </c>
      <c r="X75" s="138">
        <f>Januari!X75</f>
        <v>0</v>
      </c>
      <c r="Y75" s="398">
        <v>0.0</v>
      </c>
      <c r="Z75" s="329">
        <f t="shared" si="3"/>
        <v>0</v>
      </c>
      <c r="AA75" s="32">
        <f t="shared" si="4"/>
        <v>0</v>
      </c>
      <c r="AB75" s="32">
        <f t="shared" si="5"/>
        <v>0</v>
      </c>
      <c r="AC75" s="32">
        <f t="shared" si="6"/>
        <v>0</v>
      </c>
    </row>
    <row r="76" ht="22.5" customHeight="1">
      <c r="A76" s="331" t="str">
        <f>Rooster!A77</f>
        <v/>
      </c>
      <c r="B76" s="396" t="str">
        <f>Rooster!B77</f>
        <v/>
      </c>
      <c r="C76" s="15" t="str">
        <f>Rooster!C77</f>
        <v/>
      </c>
      <c r="D76" s="11" t="str">
        <f>Rooster!D77</f>
        <v/>
      </c>
      <c r="E76" s="77"/>
      <c r="F76" s="327" t="str">
        <f>Rooster!E77</f>
        <v/>
      </c>
      <c r="G76" s="319" t="str">
        <f>IFERROR(VLOOKUP(F76, Docenten!$A$2:$G$30, 7, FALSE), "0")</f>
        <v>0</v>
      </c>
      <c r="H76" s="320">
        <f t="shared" si="7"/>
        <v>0</v>
      </c>
      <c r="I76" s="327" t="str">
        <f>Rooster!H77</f>
        <v/>
      </c>
      <c r="J76" s="321" t="str">
        <f>IFERROR(VLOOKUP(I76, Locaties!$A$2:$G$15, 7, FALSE), "0")</f>
        <v>0</v>
      </c>
      <c r="K76" s="42">
        <f t="shared" si="2"/>
        <v>0</v>
      </c>
      <c r="L76" s="429" t="str">
        <f>Januari!L76</f>
        <v/>
      </c>
      <c r="M76" s="430" t="str">
        <f>Januari!M76</f>
        <v/>
      </c>
      <c r="N76" s="321" t="str">
        <f>IFERROR(VLOOKUP(M76, Tarieven!$A$1:$J$150, 10, FALSE), "0")</f>
        <v>0</v>
      </c>
      <c r="O76" s="429" t="str">
        <f>Januari!O76</f>
        <v/>
      </c>
      <c r="P76" s="430" t="str">
        <f>Januari!P76</f>
        <v/>
      </c>
      <c r="Q76" s="325" t="str">
        <f>IFERROR(VLOOKUP(P76, Tarieven!$A$2:$J$150, 10, FALSE), "0")</f>
        <v>0</v>
      </c>
      <c r="R76" s="431" t="str">
        <f>Januari!R76</f>
        <v/>
      </c>
      <c r="S76" s="430" t="str">
        <f>Januari!S76</f>
        <v/>
      </c>
      <c r="T76" s="325" t="str">
        <f>IFERROR(VLOOKUP(S76, Tarieven!$A$2:$J$150, 10, FALSE), "0")</f>
        <v>0</v>
      </c>
      <c r="U76" s="77" t="str">
        <f>Januari!U76</f>
        <v/>
      </c>
      <c r="V76" s="327" t="str">
        <f>Januari!V76</f>
        <v/>
      </c>
      <c r="W76" s="325" t="str">
        <f>IFERROR(VLOOKUP(V76, Tarieven!$A$2:$J$150, 10, FALSE), "0")</f>
        <v>0</v>
      </c>
      <c r="X76" s="138">
        <f>Januari!X76</f>
        <v>0</v>
      </c>
      <c r="Y76" s="398">
        <v>0.0</v>
      </c>
      <c r="Z76" s="329">
        <f t="shared" si="3"/>
        <v>0</v>
      </c>
      <c r="AA76" s="32">
        <f t="shared" si="4"/>
        <v>0</v>
      </c>
      <c r="AB76" s="32">
        <f t="shared" si="5"/>
        <v>0</v>
      </c>
      <c r="AC76" s="32">
        <f t="shared" si="6"/>
        <v>0</v>
      </c>
    </row>
    <row r="77" ht="22.5" customHeight="1">
      <c r="A77" s="331" t="str">
        <f>Rooster!A78</f>
        <v/>
      </c>
      <c r="B77" s="396" t="str">
        <f>Rooster!B78</f>
        <v/>
      </c>
      <c r="C77" s="15" t="str">
        <f>Rooster!C78</f>
        <v/>
      </c>
      <c r="D77" s="11" t="str">
        <f>Rooster!D78</f>
        <v/>
      </c>
      <c r="E77" s="77"/>
      <c r="F77" s="327" t="str">
        <f>Rooster!E78</f>
        <v/>
      </c>
      <c r="G77" s="319" t="str">
        <f>IFERROR(VLOOKUP(F77, Docenten!$A$2:$G$30, 7, FALSE), "0")</f>
        <v>0</v>
      </c>
      <c r="H77" s="320">
        <f t="shared" si="7"/>
        <v>0</v>
      </c>
      <c r="I77" s="327" t="str">
        <f>Rooster!H78</f>
        <v/>
      </c>
      <c r="J77" s="321" t="str">
        <f>IFERROR(VLOOKUP(I77, Locaties!$A$2:$G$15, 7, FALSE), "0")</f>
        <v>0</v>
      </c>
      <c r="K77" s="42">
        <f t="shared" si="2"/>
        <v>0</v>
      </c>
      <c r="L77" s="429" t="str">
        <f>Januari!L77</f>
        <v/>
      </c>
      <c r="M77" s="430" t="str">
        <f>Januari!M77</f>
        <v/>
      </c>
      <c r="N77" s="321" t="str">
        <f>IFERROR(VLOOKUP(M77, Tarieven!$A$1:$J$150, 10, FALSE), "0")</f>
        <v>0</v>
      </c>
      <c r="O77" s="429" t="str">
        <f>Januari!O77</f>
        <v/>
      </c>
      <c r="P77" s="430" t="str">
        <f>Januari!P77</f>
        <v/>
      </c>
      <c r="Q77" s="325" t="str">
        <f>IFERROR(VLOOKUP(P77, Tarieven!$A$2:$J$150, 10, FALSE), "0")</f>
        <v>0</v>
      </c>
      <c r="R77" s="431" t="str">
        <f>Januari!R77</f>
        <v/>
      </c>
      <c r="S77" s="430" t="str">
        <f>Januari!S77</f>
        <v/>
      </c>
      <c r="T77" s="325" t="str">
        <f>IFERROR(VLOOKUP(S77, Tarieven!$A$2:$J$150, 10, FALSE), "0")</f>
        <v>0</v>
      </c>
      <c r="U77" s="77" t="str">
        <f>Januari!U77</f>
        <v/>
      </c>
      <c r="V77" s="327" t="str">
        <f>Januari!V77</f>
        <v/>
      </c>
      <c r="W77" s="325" t="str">
        <f>IFERROR(VLOOKUP(V77, Tarieven!$A$2:$J$150, 10, FALSE), "0")</f>
        <v>0</v>
      </c>
      <c r="X77" s="138">
        <f>Januari!X77</f>
        <v>0</v>
      </c>
      <c r="Y77" s="398">
        <v>0.0</v>
      </c>
      <c r="Z77" s="329">
        <f t="shared" si="3"/>
        <v>0</v>
      </c>
      <c r="AA77" s="32">
        <f t="shared" si="4"/>
        <v>0</v>
      </c>
      <c r="AB77" s="32">
        <f t="shared" si="5"/>
        <v>0</v>
      </c>
      <c r="AC77" s="32">
        <f t="shared" si="6"/>
        <v>0</v>
      </c>
    </row>
    <row r="78" ht="22.5" customHeight="1">
      <c r="A78" s="331" t="str">
        <f>Rooster!A79</f>
        <v/>
      </c>
      <c r="B78" s="396" t="str">
        <f>Rooster!B79</f>
        <v/>
      </c>
      <c r="C78" s="15" t="str">
        <f>Rooster!C79</f>
        <v/>
      </c>
      <c r="D78" s="11" t="str">
        <f>Rooster!D79</f>
        <v/>
      </c>
      <c r="E78" s="77"/>
      <c r="F78" s="327" t="str">
        <f>Rooster!E79</f>
        <v/>
      </c>
      <c r="G78" s="319" t="str">
        <f>IFERROR(VLOOKUP(F78, Docenten!$A$2:$G$30, 7, FALSE), "0")</f>
        <v>0</v>
      </c>
      <c r="H78" s="320">
        <f t="shared" si="7"/>
        <v>0</v>
      </c>
      <c r="I78" s="327" t="str">
        <f>Rooster!H79</f>
        <v/>
      </c>
      <c r="J78" s="321" t="str">
        <f>IFERROR(VLOOKUP(I78, Locaties!$A$2:$G$15, 7, FALSE), "0")</f>
        <v>0</v>
      </c>
      <c r="K78" s="42">
        <f t="shared" si="2"/>
        <v>0</v>
      </c>
      <c r="L78" s="429" t="str">
        <f>Januari!L78</f>
        <v/>
      </c>
      <c r="M78" s="430" t="str">
        <f>Januari!M78</f>
        <v/>
      </c>
      <c r="N78" s="321" t="str">
        <f>IFERROR(VLOOKUP(M78, Tarieven!$A$1:$J$150, 10, FALSE), "0")</f>
        <v>0</v>
      </c>
      <c r="O78" s="429" t="str">
        <f>Januari!O78</f>
        <v/>
      </c>
      <c r="P78" s="430" t="str">
        <f>Januari!P78</f>
        <v/>
      </c>
      <c r="Q78" s="325" t="str">
        <f>IFERROR(VLOOKUP(P78, Tarieven!$A$2:$J$150, 10, FALSE), "0")</f>
        <v>0</v>
      </c>
      <c r="R78" s="431" t="str">
        <f>Januari!R78</f>
        <v/>
      </c>
      <c r="S78" s="430" t="str">
        <f>Januari!S78</f>
        <v/>
      </c>
      <c r="T78" s="325" t="str">
        <f>IFERROR(VLOOKUP(S78, Tarieven!$A$2:$J$150, 10, FALSE), "0")</f>
        <v>0</v>
      </c>
      <c r="U78" s="77" t="str">
        <f>Januari!U78</f>
        <v/>
      </c>
      <c r="V78" s="327" t="str">
        <f>Januari!V78</f>
        <v/>
      </c>
      <c r="W78" s="325" t="str">
        <f>IFERROR(VLOOKUP(V78, Tarieven!$A$2:$J$150, 10, FALSE), "0")</f>
        <v>0</v>
      </c>
      <c r="X78" s="138">
        <f>Januari!X78</f>
        <v>0</v>
      </c>
      <c r="Y78" s="398">
        <v>0.0</v>
      </c>
      <c r="Z78" s="329">
        <f t="shared" si="3"/>
        <v>0</v>
      </c>
      <c r="AA78" s="32">
        <f t="shared" si="4"/>
        <v>0</v>
      </c>
      <c r="AB78" s="32">
        <f t="shared" si="5"/>
        <v>0</v>
      </c>
      <c r="AC78" s="32">
        <f t="shared" si="6"/>
        <v>0</v>
      </c>
    </row>
    <row r="79" ht="22.5" customHeight="1">
      <c r="A79" s="331" t="str">
        <f>Rooster!A80</f>
        <v/>
      </c>
      <c r="B79" s="396" t="str">
        <f>Rooster!B80</f>
        <v/>
      </c>
      <c r="C79" s="15" t="str">
        <f>Rooster!C80</f>
        <v/>
      </c>
      <c r="D79" s="11" t="str">
        <f>Rooster!D80</f>
        <v/>
      </c>
      <c r="E79" s="77"/>
      <c r="F79" s="327" t="str">
        <f>Rooster!E80</f>
        <v/>
      </c>
      <c r="G79" s="319" t="str">
        <f>IFERROR(VLOOKUP(F79, Docenten!$A$2:$G$30, 7, FALSE), "0")</f>
        <v>0</v>
      </c>
      <c r="H79" s="320">
        <f t="shared" si="7"/>
        <v>0</v>
      </c>
      <c r="I79" s="327" t="str">
        <f>Rooster!H80</f>
        <v/>
      </c>
      <c r="J79" s="321" t="str">
        <f>IFERROR(VLOOKUP(I79, Locaties!$A$2:$G$15, 7, FALSE), "0")</f>
        <v>0</v>
      </c>
      <c r="K79" s="42">
        <f t="shared" si="2"/>
        <v>0</v>
      </c>
      <c r="L79" s="429" t="str">
        <f>Januari!L79</f>
        <v/>
      </c>
      <c r="M79" s="430" t="str">
        <f>Januari!M79</f>
        <v/>
      </c>
      <c r="N79" s="321" t="str">
        <f>IFERROR(VLOOKUP(M79, Tarieven!$A$1:$J$150, 10, FALSE), "0")</f>
        <v>0</v>
      </c>
      <c r="O79" s="429" t="str">
        <f>Januari!O79</f>
        <v/>
      </c>
      <c r="P79" s="430" t="str">
        <f>Januari!P79</f>
        <v/>
      </c>
      <c r="Q79" s="325" t="str">
        <f>IFERROR(VLOOKUP(P79, Tarieven!$A$2:$J$150, 10, FALSE), "0")</f>
        <v>0</v>
      </c>
      <c r="R79" s="431" t="str">
        <f>Januari!R79</f>
        <v/>
      </c>
      <c r="S79" s="430" t="str">
        <f>Januari!S79</f>
        <v/>
      </c>
      <c r="T79" s="325" t="str">
        <f>IFERROR(VLOOKUP(S79, Tarieven!$A$2:$J$150, 10, FALSE), "0")</f>
        <v>0</v>
      </c>
      <c r="U79" s="77" t="str">
        <f>Januari!U79</f>
        <v/>
      </c>
      <c r="V79" s="327" t="str">
        <f>Januari!V79</f>
        <v/>
      </c>
      <c r="W79" s="325" t="str">
        <f>IFERROR(VLOOKUP(V79, Tarieven!$A$2:$J$150, 10, FALSE), "0")</f>
        <v>0</v>
      </c>
      <c r="X79" s="138">
        <f>Januari!X79</f>
        <v>0</v>
      </c>
      <c r="Y79" s="398">
        <v>0.0</v>
      </c>
      <c r="Z79" s="329">
        <f t="shared" si="3"/>
        <v>0</v>
      </c>
      <c r="AA79" s="32">
        <f t="shared" si="4"/>
        <v>0</v>
      </c>
      <c r="AB79" s="32">
        <f t="shared" si="5"/>
        <v>0</v>
      </c>
      <c r="AC79" s="32">
        <f t="shared" si="6"/>
        <v>0</v>
      </c>
    </row>
    <row r="80" ht="22.5" customHeight="1">
      <c r="A80" s="331" t="str">
        <f>Rooster!A81</f>
        <v/>
      </c>
      <c r="B80" s="396" t="str">
        <f>Rooster!B81</f>
        <v/>
      </c>
      <c r="C80" s="15" t="str">
        <f>Rooster!C81</f>
        <v/>
      </c>
      <c r="D80" s="11" t="str">
        <f>Rooster!D81</f>
        <v/>
      </c>
      <c r="E80" s="77"/>
      <c r="F80" s="327" t="str">
        <f>Rooster!E81</f>
        <v/>
      </c>
      <c r="G80" s="319" t="str">
        <f>IFERROR(VLOOKUP(F80, Docenten!$A$2:$G$30, 7, FALSE), "0")</f>
        <v>0</v>
      </c>
      <c r="H80" s="320">
        <f t="shared" si="7"/>
        <v>0</v>
      </c>
      <c r="I80" s="327" t="str">
        <f>Rooster!H81</f>
        <v/>
      </c>
      <c r="J80" s="321" t="str">
        <f>IFERROR(VLOOKUP(I80, Locaties!$A$2:$G$15, 7, FALSE), "0")</f>
        <v>0</v>
      </c>
      <c r="K80" s="42">
        <f t="shared" si="2"/>
        <v>0</v>
      </c>
      <c r="L80" s="429" t="str">
        <f>Januari!L80</f>
        <v/>
      </c>
      <c r="M80" s="430" t="str">
        <f>Januari!M80</f>
        <v/>
      </c>
      <c r="N80" s="321" t="str">
        <f>IFERROR(VLOOKUP(M80, Tarieven!$A$1:$J$150, 10, FALSE), "0")</f>
        <v>0</v>
      </c>
      <c r="O80" s="429" t="str">
        <f>Januari!O80</f>
        <v/>
      </c>
      <c r="P80" s="430" t="str">
        <f>Januari!P80</f>
        <v/>
      </c>
      <c r="Q80" s="325" t="str">
        <f>IFERROR(VLOOKUP(P80, Tarieven!$A$2:$J$150, 10, FALSE), "0")</f>
        <v>0</v>
      </c>
      <c r="R80" s="431" t="str">
        <f>Januari!R80</f>
        <v/>
      </c>
      <c r="S80" s="430" t="str">
        <f>Januari!S80</f>
        <v/>
      </c>
      <c r="T80" s="325" t="str">
        <f>IFERROR(VLOOKUP(S80, Tarieven!$A$2:$J$150, 10, FALSE), "0")</f>
        <v>0</v>
      </c>
      <c r="U80" s="77" t="str">
        <f>Januari!U80</f>
        <v/>
      </c>
      <c r="V80" s="327" t="str">
        <f>Januari!V80</f>
        <v/>
      </c>
      <c r="W80" s="325" t="str">
        <f>IFERROR(VLOOKUP(V80, Tarieven!$A$2:$J$150, 10, FALSE), "0")</f>
        <v>0</v>
      </c>
      <c r="X80" s="138">
        <f>Januari!X80</f>
        <v>0</v>
      </c>
      <c r="Y80" s="398">
        <v>0.0</v>
      </c>
      <c r="Z80" s="329">
        <f t="shared" si="3"/>
        <v>0</v>
      </c>
      <c r="AA80" s="32">
        <f t="shared" si="4"/>
        <v>0</v>
      </c>
      <c r="AB80" s="32">
        <f t="shared" si="5"/>
        <v>0</v>
      </c>
      <c r="AC80" s="32">
        <f t="shared" si="6"/>
        <v>0</v>
      </c>
    </row>
    <row r="81" ht="22.5" customHeight="1">
      <c r="A81" s="331" t="str">
        <f>Rooster!A82</f>
        <v/>
      </c>
      <c r="B81" s="396" t="str">
        <f>Rooster!B82</f>
        <v/>
      </c>
      <c r="C81" s="15" t="str">
        <f>Rooster!C82</f>
        <v/>
      </c>
      <c r="D81" s="11" t="str">
        <f>Rooster!D82</f>
        <v/>
      </c>
      <c r="E81" s="77"/>
      <c r="F81" s="327" t="str">
        <f>Rooster!E82</f>
        <v/>
      </c>
      <c r="G81" s="319" t="str">
        <f>IFERROR(VLOOKUP(F81, Docenten!$A$2:$G$30, 7, FALSE), "0")</f>
        <v>0</v>
      </c>
      <c r="H81" s="320">
        <f t="shared" si="7"/>
        <v>0</v>
      </c>
      <c r="I81" s="327" t="str">
        <f>Rooster!H82</f>
        <v/>
      </c>
      <c r="J81" s="321" t="str">
        <f>IFERROR(VLOOKUP(I81, Locaties!$A$2:$G$15, 7, FALSE), "0")</f>
        <v>0</v>
      </c>
      <c r="K81" s="42">
        <f t="shared" si="2"/>
        <v>0</v>
      </c>
      <c r="L81" s="429" t="str">
        <f>Januari!L81</f>
        <v/>
      </c>
      <c r="M81" s="430" t="str">
        <f>Januari!M81</f>
        <v/>
      </c>
      <c r="N81" s="321" t="str">
        <f>IFERROR(VLOOKUP(M81, Tarieven!$A$1:$J$150, 10, FALSE), "0")</f>
        <v>0</v>
      </c>
      <c r="O81" s="429" t="str">
        <f>Januari!O81</f>
        <v/>
      </c>
      <c r="P81" s="430" t="str">
        <f>Januari!P81</f>
        <v/>
      </c>
      <c r="Q81" s="325" t="str">
        <f>IFERROR(VLOOKUP(P81, Tarieven!$A$2:$J$150, 10, FALSE), "0")</f>
        <v>0</v>
      </c>
      <c r="R81" s="431" t="str">
        <f>Januari!R81</f>
        <v/>
      </c>
      <c r="S81" s="430" t="str">
        <f>Januari!S81</f>
        <v/>
      </c>
      <c r="T81" s="325" t="str">
        <f>IFERROR(VLOOKUP(S81, Tarieven!$A$2:$J$150, 10, FALSE), "0")</f>
        <v>0</v>
      </c>
      <c r="U81" s="77" t="str">
        <f>Januari!U81</f>
        <v/>
      </c>
      <c r="V81" s="327" t="str">
        <f>Januari!V81</f>
        <v/>
      </c>
      <c r="W81" s="325" t="str">
        <f>IFERROR(VLOOKUP(V81, Tarieven!$A$2:$J$150, 10, FALSE), "0")</f>
        <v>0</v>
      </c>
      <c r="X81" s="138">
        <f>Januari!X81</f>
        <v>0</v>
      </c>
      <c r="Y81" s="398">
        <v>0.0</v>
      </c>
      <c r="Z81" s="329">
        <f t="shared" si="3"/>
        <v>0</v>
      </c>
      <c r="AA81" s="32">
        <f t="shared" si="4"/>
        <v>0</v>
      </c>
      <c r="AB81" s="32">
        <f t="shared" si="5"/>
        <v>0</v>
      </c>
      <c r="AC81" s="32">
        <f t="shared" si="6"/>
        <v>0</v>
      </c>
    </row>
    <row r="82" ht="22.5" customHeight="1">
      <c r="A82" s="331" t="str">
        <f>Rooster!A83</f>
        <v/>
      </c>
      <c r="B82" s="396" t="str">
        <f>Rooster!B83</f>
        <v/>
      </c>
      <c r="C82" s="15" t="str">
        <f>Rooster!C83</f>
        <v/>
      </c>
      <c r="D82" s="11" t="str">
        <f>Rooster!D83</f>
        <v/>
      </c>
      <c r="E82" s="77"/>
      <c r="F82" s="327" t="str">
        <f>Rooster!E83</f>
        <v/>
      </c>
      <c r="G82" s="319" t="str">
        <f>IFERROR(VLOOKUP(F82, Docenten!$A$2:$G$30, 7, FALSE), "0")</f>
        <v>0</v>
      </c>
      <c r="H82" s="320">
        <f t="shared" si="7"/>
        <v>0</v>
      </c>
      <c r="I82" s="327" t="str">
        <f>Rooster!H83</f>
        <v/>
      </c>
      <c r="J82" s="321" t="str">
        <f>IFERROR(VLOOKUP(I82, Locaties!$A$2:$G$15, 7, FALSE), "0")</f>
        <v>0</v>
      </c>
      <c r="K82" s="42">
        <f t="shared" si="2"/>
        <v>0</v>
      </c>
      <c r="L82" s="429" t="str">
        <f>Januari!L82</f>
        <v/>
      </c>
      <c r="M82" s="430" t="str">
        <f>Januari!M82</f>
        <v/>
      </c>
      <c r="N82" s="321" t="str">
        <f>IFERROR(VLOOKUP(M82, Tarieven!$A$1:$J$150, 10, FALSE), "0")</f>
        <v>0</v>
      </c>
      <c r="O82" s="429" t="str">
        <f>Januari!O82</f>
        <v/>
      </c>
      <c r="P82" s="430" t="str">
        <f>Januari!P82</f>
        <v/>
      </c>
      <c r="Q82" s="325" t="str">
        <f>IFERROR(VLOOKUP(P82, Tarieven!$A$2:$J$150, 10, FALSE), "0")</f>
        <v>0</v>
      </c>
      <c r="R82" s="431" t="str">
        <f>Januari!R82</f>
        <v/>
      </c>
      <c r="S82" s="430" t="str">
        <f>Januari!S82</f>
        <v/>
      </c>
      <c r="T82" s="325" t="str">
        <f>IFERROR(VLOOKUP(S82, Tarieven!$A$2:$J$150, 10, FALSE), "0")</f>
        <v>0</v>
      </c>
      <c r="U82" s="77" t="str">
        <f>Januari!U82</f>
        <v/>
      </c>
      <c r="V82" s="327" t="str">
        <f>Januari!V82</f>
        <v/>
      </c>
      <c r="W82" s="325" t="str">
        <f>IFERROR(VLOOKUP(V82, Tarieven!$A$2:$J$150, 10, FALSE), "0")</f>
        <v>0</v>
      </c>
      <c r="X82" s="138">
        <f>Januari!X82</f>
        <v>0</v>
      </c>
      <c r="Y82" s="398">
        <v>0.0</v>
      </c>
      <c r="Z82" s="329">
        <f t="shared" si="3"/>
        <v>0</v>
      </c>
      <c r="AA82" s="32">
        <f t="shared" si="4"/>
        <v>0</v>
      </c>
      <c r="AB82" s="32">
        <f t="shared" si="5"/>
        <v>0</v>
      </c>
      <c r="AC82" s="32">
        <f t="shared" si="6"/>
        <v>0</v>
      </c>
    </row>
    <row r="83" ht="22.5" customHeight="1">
      <c r="A83" s="331" t="str">
        <f>Rooster!A84</f>
        <v/>
      </c>
      <c r="B83" s="396" t="str">
        <f>Rooster!B84</f>
        <v/>
      </c>
      <c r="C83" s="15" t="str">
        <f>Rooster!C84</f>
        <v/>
      </c>
      <c r="D83" s="11" t="str">
        <f>Rooster!D84</f>
        <v/>
      </c>
      <c r="E83" s="77"/>
      <c r="F83" s="327" t="str">
        <f>Rooster!E84</f>
        <v/>
      </c>
      <c r="G83" s="319" t="str">
        <f>IFERROR(VLOOKUP(F83, Docenten!$A$2:$G$30, 7, FALSE), "0")</f>
        <v>0</v>
      </c>
      <c r="H83" s="320">
        <f t="shared" si="7"/>
        <v>0</v>
      </c>
      <c r="I83" s="327" t="str">
        <f>Rooster!H84</f>
        <v/>
      </c>
      <c r="J83" s="321" t="str">
        <f>IFERROR(VLOOKUP(I83, Locaties!$A$2:$G$15, 7, FALSE), "0")</f>
        <v>0</v>
      </c>
      <c r="K83" s="42">
        <f t="shared" si="2"/>
        <v>0</v>
      </c>
      <c r="L83" s="429" t="str">
        <f>Januari!L83</f>
        <v/>
      </c>
      <c r="M83" s="430" t="str">
        <f>Januari!M83</f>
        <v/>
      </c>
      <c r="N83" s="321" t="str">
        <f>IFERROR(VLOOKUP(M83, Tarieven!$A$1:$J$150, 10, FALSE), "0")</f>
        <v>0</v>
      </c>
      <c r="O83" s="429" t="str">
        <f>Januari!O83</f>
        <v/>
      </c>
      <c r="P83" s="430" t="str">
        <f>Januari!P83</f>
        <v/>
      </c>
      <c r="Q83" s="325" t="str">
        <f>IFERROR(VLOOKUP(P83, Tarieven!$A$2:$J$150, 10, FALSE), "0")</f>
        <v>0</v>
      </c>
      <c r="R83" s="431" t="str">
        <f>Januari!R83</f>
        <v/>
      </c>
      <c r="S83" s="430" t="str">
        <f>Januari!S83</f>
        <v/>
      </c>
      <c r="T83" s="325" t="str">
        <f>IFERROR(VLOOKUP(S83, Tarieven!$A$2:$J$150, 10, FALSE), "0")</f>
        <v>0</v>
      </c>
      <c r="U83" s="77" t="str">
        <f>Januari!U83</f>
        <v/>
      </c>
      <c r="V83" s="327" t="str">
        <f>Januari!V83</f>
        <v/>
      </c>
      <c r="W83" s="325" t="str">
        <f>IFERROR(VLOOKUP(V83, Tarieven!$A$2:$J$150, 10, FALSE), "0")</f>
        <v>0</v>
      </c>
      <c r="X83" s="138">
        <f>Januari!X83</f>
        <v>0</v>
      </c>
      <c r="Y83" s="398">
        <v>0.0</v>
      </c>
      <c r="Z83" s="329">
        <f t="shared" si="3"/>
        <v>0</v>
      </c>
      <c r="AA83" s="32">
        <f t="shared" si="4"/>
        <v>0</v>
      </c>
      <c r="AB83" s="32">
        <f t="shared" si="5"/>
        <v>0</v>
      </c>
      <c r="AC83" s="32">
        <f t="shared" si="6"/>
        <v>0</v>
      </c>
    </row>
    <row r="84" ht="22.5" customHeight="1">
      <c r="A84" s="331" t="str">
        <f>Rooster!A85</f>
        <v/>
      </c>
      <c r="B84" s="396" t="str">
        <f>Rooster!B85</f>
        <v/>
      </c>
      <c r="C84" s="15" t="str">
        <f>Rooster!C85</f>
        <v/>
      </c>
      <c r="D84" s="11" t="str">
        <f>Rooster!D85</f>
        <v/>
      </c>
      <c r="E84" s="77"/>
      <c r="F84" s="327" t="str">
        <f>Rooster!E85</f>
        <v/>
      </c>
      <c r="G84" s="319" t="str">
        <f>IFERROR(VLOOKUP(F84, Docenten!$A$2:$G$30, 7, FALSE), "0")</f>
        <v>0</v>
      </c>
      <c r="H84" s="320">
        <f t="shared" si="7"/>
        <v>0</v>
      </c>
      <c r="I84" s="327" t="str">
        <f>Rooster!H85</f>
        <v/>
      </c>
      <c r="J84" s="321" t="str">
        <f>IFERROR(VLOOKUP(I84, Locaties!$A$2:$G$15, 7, FALSE), "0")</f>
        <v>0</v>
      </c>
      <c r="K84" s="42">
        <f t="shared" si="2"/>
        <v>0</v>
      </c>
      <c r="L84" s="429" t="str">
        <f>Januari!L84</f>
        <v/>
      </c>
      <c r="M84" s="430" t="str">
        <f>Januari!M84</f>
        <v/>
      </c>
      <c r="N84" s="321" t="str">
        <f>IFERROR(VLOOKUP(M84, Tarieven!$A$1:$J$150, 10, FALSE), "0")</f>
        <v>0</v>
      </c>
      <c r="O84" s="429" t="str">
        <f>Januari!O84</f>
        <v/>
      </c>
      <c r="P84" s="430" t="str">
        <f>Januari!P84</f>
        <v/>
      </c>
      <c r="Q84" s="325" t="str">
        <f>IFERROR(VLOOKUP(P84, Tarieven!$A$2:$J$150, 10, FALSE), "0")</f>
        <v>0</v>
      </c>
      <c r="R84" s="431" t="str">
        <f>Januari!R84</f>
        <v/>
      </c>
      <c r="S84" s="430" t="str">
        <f>Januari!S84</f>
        <v/>
      </c>
      <c r="T84" s="325" t="str">
        <f>IFERROR(VLOOKUP(S84, Tarieven!$A$2:$J$150, 10, FALSE), "0")</f>
        <v>0</v>
      </c>
      <c r="U84" s="77" t="str">
        <f>Januari!U84</f>
        <v/>
      </c>
      <c r="V84" s="327" t="str">
        <f>Januari!V84</f>
        <v/>
      </c>
      <c r="W84" s="325" t="str">
        <f>IFERROR(VLOOKUP(V84, Tarieven!$A$2:$J$150, 10, FALSE), "0")</f>
        <v>0</v>
      </c>
      <c r="X84" s="138">
        <f>Januari!X84</f>
        <v>0</v>
      </c>
      <c r="Y84" s="398">
        <v>0.0</v>
      </c>
      <c r="Z84" s="329">
        <f t="shared" si="3"/>
        <v>0</v>
      </c>
      <c r="AA84" s="32">
        <f t="shared" si="4"/>
        <v>0</v>
      </c>
      <c r="AB84" s="32">
        <f t="shared" si="5"/>
        <v>0</v>
      </c>
      <c r="AC84" s="32">
        <f t="shared" si="6"/>
        <v>0</v>
      </c>
    </row>
    <row r="85" ht="22.5" customHeight="1">
      <c r="A85" s="331" t="str">
        <f>Rooster!A86</f>
        <v/>
      </c>
      <c r="B85" s="396" t="str">
        <f>Rooster!B86</f>
        <v/>
      </c>
      <c r="C85" s="15" t="str">
        <f>Rooster!C86</f>
        <v/>
      </c>
      <c r="D85" s="11" t="str">
        <f>Rooster!D86</f>
        <v/>
      </c>
      <c r="E85" s="77"/>
      <c r="F85" s="327" t="str">
        <f>Rooster!E86</f>
        <v/>
      </c>
      <c r="G85" s="319" t="str">
        <f>IFERROR(VLOOKUP(F85, Docenten!$A$2:$G$30, 7, FALSE), "0")</f>
        <v>0</v>
      </c>
      <c r="H85" s="320">
        <f t="shared" si="7"/>
        <v>0</v>
      </c>
      <c r="I85" s="327" t="str">
        <f>Rooster!H86</f>
        <v/>
      </c>
      <c r="J85" s="321" t="str">
        <f>IFERROR(VLOOKUP(I85, Locaties!$A$2:$G$15, 7, FALSE), "0")</f>
        <v>0</v>
      </c>
      <c r="K85" s="42">
        <f t="shared" si="2"/>
        <v>0</v>
      </c>
      <c r="L85" s="429" t="str">
        <f>Januari!L85</f>
        <v/>
      </c>
      <c r="M85" s="430" t="str">
        <f>Januari!M85</f>
        <v/>
      </c>
      <c r="N85" s="321" t="str">
        <f>IFERROR(VLOOKUP(M85, Tarieven!$A$1:$J$150, 10, FALSE), "0")</f>
        <v>0</v>
      </c>
      <c r="O85" s="429" t="str">
        <f>Januari!O85</f>
        <v/>
      </c>
      <c r="P85" s="430" t="str">
        <f>Januari!P85</f>
        <v/>
      </c>
      <c r="Q85" s="325" t="str">
        <f>IFERROR(VLOOKUP(P85, Tarieven!$A$2:$J$150, 10, FALSE), "0")</f>
        <v>0</v>
      </c>
      <c r="R85" s="431" t="str">
        <f>Januari!R85</f>
        <v/>
      </c>
      <c r="S85" s="430" t="str">
        <f>Januari!S85</f>
        <v/>
      </c>
      <c r="T85" s="325" t="str">
        <f>IFERROR(VLOOKUP(S85, Tarieven!$A$2:$J$150, 10, FALSE), "0")</f>
        <v>0</v>
      </c>
      <c r="U85" s="77" t="str">
        <f>Januari!U85</f>
        <v/>
      </c>
      <c r="V85" s="327" t="str">
        <f>Januari!V85</f>
        <v/>
      </c>
      <c r="W85" s="325" t="str">
        <f>IFERROR(VLOOKUP(V85, Tarieven!$A$2:$J$150, 10, FALSE), "0")</f>
        <v>0</v>
      </c>
      <c r="X85" s="138">
        <f>Januari!X85</f>
        <v>0</v>
      </c>
      <c r="Y85" s="398">
        <v>0.0</v>
      </c>
      <c r="Z85" s="329">
        <f t="shared" si="3"/>
        <v>0</v>
      </c>
      <c r="AA85" s="32">
        <f t="shared" si="4"/>
        <v>0</v>
      </c>
      <c r="AB85" s="32">
        <f t="shared" si="5"/>
        <v>0</v>
      </c>
      <c r="AC85" s="32">
        <f t="shared" si="6"/>
        <v>0</v>
      </c>
    </row>
    <row r="86" ht="22.5" customHeight="1">
      <c r="A86" s="331" t="str">
        <f>Rooster!A87</f>
        <v/>
      </c>
      <c r="B86" s="396" t="str">
        <f>Rooster!B87</f>
        <v/>
      </c>
      <c r="C86" s="15" t="str">
        <f>Rooster!C87</f>
        <v/>
      </c>
      <c r="D86" s="11" t="str">
        <f>Rooster!D87</f>
        <v/>
      </c>
      <c r="E86" s="77"/>
      <c r="F86" s="327" t="str">
        <f>Rooster!E87</f>
        <v/>
      </c>
      <c r="G86" s="319" t="str">
        <f>IFERROR(VLOOKUP(F86, Docenten!$A$2:$G$30, 7, FALSE), "0")</f>
        <v>0</v>
      </c>
      <c r="H86" s="320">
        <f t="shared" si="7"/>
        <v>0</v>
      </c>
      <c r="I86" s="327" t="str">
        <f>Rooster!H87</f>
        <v/>
      </c>
      <c r="J86" s="321" t="str">
        <f>IFERROR(VLOOKUP(I86, Locaties!$A$2:$G$15, 7, FALSE), "0")</f>
        <v>0</v>
      </c>
      <c r="K86" s="42">
        <f t="shared" si="2"/>
        <v>0</v>
      </c>
      <c r="L86" s="429" t="str">
        <f>Januari!L86</f>
        <v/>
      </c>
      <c r="M86" s="430" t="str">
        <f>Januari!M86</f>
        <v/>
      </c>
      <c r="N86" s="321" t="str">
        <f>IFERROR(VLOOKUP(M86, Tarieven!$A$1:$J$150, 10, FALSE), "0")</f>
        <v>0</v>
      </c>
      <c r="O86" s="429" t="str">
        <f>Januari!O86</f>
        <v/>
      </c>
      <c r="P86" s="430" t="str">
        <f>Januari!P86</f>
        <v/>
      </c>
      <c r="Q86" s="325" t="str">
        <f>IFERROR(VLOOKUP(P86, Tarieven!$A$2:$J$150, 10, FALSE), "0")</f>
        <v>0</v>
      </c>
      <c r="R86" s="431" t="str">
        <f>Januari!R86</f>
        <v/>
      </c>
      <c r="S86" s="430" t="str">
        <f>Januari!S86</f>
        <v/>
      </c>
      <c r="T86" s="325" t="str">
        <f>IFERROR(VLOOKUP(S86, Tarieven!$A$2:$J$150, 10, FALSE), "0")</f>
        <v>0</v>
      </c>
      <c r="U86" s="77" t="str">
        <f>Januari!U86</f>
        <v/>
      </c>
      <c r="V86" s="327" t="str">
        <f>Januari!V86</f>
        <v/>
      </c>
      <c r="W86" s="325" t="str">
        <f>IFERROR(VLOOKUP(V86, Tarieven!$A$2:$J$150, 10, FALSE), "0")</f>
        <v>0</v>
      </c>
      <c r="X86" s="138">
        <f>Januari!X86</f>
        <v>0</v>
      </c>
      <c r="Y86" s="398">
        <v>0.0</v>
      </c>
      <c r="Z86" s="329">
        <f t="shared" si="3"/>
        <v>0</v>
      </c>
      <c r="AA86" s="32">
        <f t="shared" si="4"/>
        <v>0</v>
      </c>
      <c r="AB86" s="32">
        <f t="shared" si="5"/>
        <v>0</v>
      </c>
      <c r="AC86" s="32">
        <f t="shared" si="6"/>
        <v>0</v>
      </c>
    </row>
    <row r="87" ht="22.5" customHeight="1">
      <c r="A87" s="331" t="str">
        <f>Rooster!A88</f>
        <v/>
      </c>
      <c r="B87" s="396" t="str">
        <f>Rooster!B88</f>
        <v/>
      </c>
      <c r="C87" s="15" t="str">
        <f>Rooster!C88</f>
        <v/>
      </c>
      <c r="D87" s="11" t="str">
        <f>Rooster!D88</f>
        <v/>
      </c>
      <c r="E87" s="77"/>
      <c r="F87" s="327" t="str">
        <f>Rooster!E88</f>
        <v/>
      </c>
      <c r="G87" s="319" t="str">
        <f>IFERROR(VLOOKUP(F87, Docenten!$A$2:$G$30, 7, FALSE), "0")</f>
        <v>0</v>
      </c>
      <c r="H87" s="320">
        <f t="shared" si="7"/>
        <v>0</v>
      </c>
      <c r="I87" s="327" t="str">
        <f>Rooster!H88</f>
        <v/>
      </c>
      <c r="J87" s="321" t="str">
        <f>IFERROR(VLOOKUP(I87, Locaties!$A$2:$G$15, 7, FALSE), "0")</f>
        <v>0</v>
      </c>
      <c r="K87" s="42">
        <f t="shared" si="2"/>
        <v>0</v>
      </c>
      <c r="L87" s="429" t="str">
        <f>Januari!L87</f>
        <v/>
      </c>
      <c r="M87" s="430" t="str">
        <f>Januari!M87</f>
        <v/>
      </c>
      <c r="N87" s="321" t="str">
        <f>IFERROR(VLOOKUP(M87, Tarieven!$A$1:$J$150, 10, FALSE), "0")</f>
        <v>0</v>
      </c>
      <c r="O87" s="429" t="str">
        <f>Januari!O87</f>
        <v/>
      </c>
      <c r="P87" s="430" t="str">
        <f>Januari!P87</f>
        <v/>
      </c>
      <c r="Q87" s="325" t="str">
        <f>IFERROR(VLOOKUP(P87, Tarieven!$A$2:$J$150, 10, FALSE), "0")</f>
        <v>0</v>
      </c>
      <c r="R87" s="431" t="str">
        <f>Januari!R87</f>
        <v/>
      </c>
      <c r="S87" s="430" t="str">
        <f>Januari!S87</f>
        <v/>
      </c>
      <c r="T87" s="325" t="str">
        <f>IFERROR(VLOOKUP(S87, Tarieven!$A$2:$J$150, 10, FALSE), "0")</f>
        <v>0</v>
      </c>
      <c r="U87" s="77" t="str">
        <f>Januari!U87</f>
        <v/>
      </c>
      <c r="V87" s="327" t="str">
        <f>Januari!V87</f>
        <v/>
      </c>
      <c r="W87" s="325" t="str">
        <f>IFERROR(VLOOKUP(V87, Tarieven!$A$2:$J$150, 10, FALSE), "0")</f>
        <v>0</v>
      </c>
      <c r="X87" s="138">
        <f>Januari!X87</f>
        <v>0</v>
      </c>
      <c r="Y87" s="398">
        <v>0.0</v>
      </c>
      <c r="Z87" s="329">
        <f t="shared" si="3"/>
        <v>0</v>
      </c>
      <c r="AA87" s="32">
        <f t="shared" si="4"/>
        <v>0</v>
      </c>
      <c r="AB87" s="32">
        <f t="shared" si="5"/>
        <v>0</v>
      </c>
      <c r="AC87" s="32">
        <f t="shared" si="6"/>
        <v>0</v>
      </c>
    </row>
    <row r="88" ht="22.5" customHeight="1">
      <c r="A88" s="331" t="str">
        <f>Rooster!A89</f>
        <v/>
      </c>
      <c r="B88" s="396" t="str">
        <f>Rooster!B89</f>
        <v/>
      </c>
      <c r="C88" s="15" t="str">
        <f>Rooster!C89</f>
        <v/>
      </c>
      <c r="D88" s="11" t="str">
        <f>Rooster!D89</f>
        <v/>
      </c>
      <c r="E88" s="77"/>
      <c r="F88" s="327" t="str">
        <f>Rooster!E89</f>
        <v/>
      </c>
      <c r="G88" s="319" t="str">
        <f>IFERROR(VLOOKUP(F88, Docenten!$A$2:$G$30, 7, FALSE), "0")</f>
        <v>0</v>
      </c>
      <c r="H88" s="320">
        <f t="shared" si="7"/>
        <v>0</v>
      </c>
      <c r="I88" s="327" t="str">
        <f>Rooster!H89</f>
        <v/>
      </c>
      <c r="J88" s="321" t="str">
        <f>IFERROR(VLOOKUP(I88, Locaties!$A$2:$G$15, 7, FALSE), "0")</f>
        <v>0</v>
      </c>
      <c r="K88" s="42">
        <f t="shared" si="2"/>
        <v>0</v>
      </c>
      <c r="L88" s="429" t="str">
        <f>Januari!L88</f>
        <v/>
      </c>
      <c r="M88" s="430" t="str">
        <f>Januari!M88</f>
        <v/>
      </c>
      <c r="N88" s="321" t="str">
        <f>IFERROR(VLOOKUP(M88, Tarieven!$A$1:$J$150, 10, FALSE), "0")</f>
        <v>0</v>
      </c>
      <c r="O88" s="429" t="str">
        <f>Januari!O88</f>
        <v/>
      </c>
      <c r="P88" s="430" t="str">
        <f>Januari!P88</f>
        <v/>
      </c>
      <c r="Q88" s="325" t="str">
        <f>IFERROR(VLOOKUP(P88, Tarieven!$A$2:$J$150, 10, FALSE), "0")</f>
        <v>0</v>
      </c>
      <c r="R88" s="431" t="str">
        <f>Januari!R88</f>
        <v/>
      </c>
      <c r="S88" s="430" t="str">
        <f>Januari!S88</f>
        <v/>
      </c>
      <c r="T88" s="325" t="str">
        <f>IFERROR(VLOOKUP(S88, Tarieven!$A$2:$J$150, 10, FALSE), "0")</f>
        <v>0</v>
      </c>
      <c r="U88" s="77" t="str">
        <f>Januari!U88</f>
        <v/>
      </c>
      <c r="V88" s="327" t="str">
        <f>Januari!V88</f>
        <v/>
      </c>
      <c r="W88" s="325" t="str">
        <f>IFERROR(VLOOKUP(V88, Tarieven!$A$2:$J$150, 10, FALSE), "0")</f>
        <v>0</v>
      </c>
      <c r="X88" s="138">
        <f>Januari!X88</f>
        <v>0</v>
      </c>
      <c r="Y88" s="398">
        <v>0.0</v>
      </c>
      <c r="Z88" s="329">
        <f t="shared" si="3"/>
        <v>0</v>
      </c>
      <c r="AA88" s="32">
        <f t="shared" si="4"/>
        <v>0</v>
      </c>
      <c r="AB88" s="32">
        <f t="shared" si="5"/>
        <v>0</v>
      </c>
      <c r="AC88" s="32">
        <f t="shared" si="6"/>
        <v>0</v>
      </c>
    </row>
    <row r="89" ht="22.5" customHeight="1">
      <c r="A89" s="331" t="str">
        <f>Rooster!A90</f>
        <v/>
      </c>
      <c r="B89" s="396" t="str">
        <f>Rooster!B90</f>
        <v/>
      </c>
      <c r="C89" s="15" t="str">
        <f>Rooster!C90</f>
        <v/>
      </c>
      <c r="D89" s="11" t="str">
        <f>Rooster!D90</f>
        <v/>
      </c>
      <c r="E89" s="77"/>
      <c r="F89" s="327" t="str">
        <f>Rooster!E90</f>
        <v/>
      </c>
      <c r="G89" s="319" t="str">
        <f>IFERROR(VLOOKUP(F89, Docenten!$A$2:$G$30, 7, FALSE), "0")</f>
        <v>0</v>
      </c>
      <c r="H89" s="320">
        <f t="shared" si="7"/>
        <v>0</v>
      </c>
      <c r="I89" s="327" t="str">
        <f>Rooster!H90</f>
        <v/>
      </c>
      <c r="J89" s="321" t="str">
        <f>IFERROR(VLOOKUP(I89, Locaties!$A$2:$G$15, 7, FALSE), "0")</f>
        <v>0</v>
      </c>
      <c r="K89" s="42">
        <f t="shared" si="2"/>
        <v>0</v>
      </c>
      <c r="L89" s="429" t="str">
        <f>Januari!L89</f>
        <v/>
      </c>
      <c r="M89" s="430" t="str">
        <f>Januari!M89</f>
        <v/>
      </c>
      <c r="N89" s="321" t="str">
        <f>IFERROR(VLOOKUP(M89, Tarieven!$A$1:$J$150, 10, FALSE), "0")</f>
        <v>0</v>
      </c>
      <c r="O89" s="429" t="str">
        <f>Januari!O89</f>
        <v/>
      </c>
      <c r="P89" s="430" t="str">
        <f>Januari!P89</f>
        <v/>
      </c>
      <c r="Q89" s="325" t="str">
        <f>IFERROR(VLOOKUP(P89, Tarieven!$A$2:$J$150, 10, FALSE), "0")</f>
        <v>0</v>
      </c>
      <c r="R89" s="431" t="str">
        <f>Januari!R89</f>
        <v/>
      </c>
      <c r="S89" s="430" t="str">
        <f>Januari!S89</f>
        <v/>
      </c>
      <c r="T89" s="325" t="str">
        <f>IFERROR(VLOOKUP(S89, Tarieven!$A$2:$J$150, 10, FALSE), "0")</f>
        <v>0</v>
      </c>
      <c r="U89" s="77" t="str">
        <f>Januari!U89</f>
        <v/>
      </c>
      <c r="V89" s="327" t="str">
        <f>Januari!V89</f>
        <v/>
      </c>
      <c r="W89" s="325" t="str">
        <f>IFERROR(VLOOKUP(V89, Tarieven!$A$2:$J$150, 10, FALSE), "0")</f>
        <v>0</v>
      </c>
      <c r="X89" s="138">
        <f>Januari!X89</f>
        <v>0</v>
      </c>
      <c r="Y89" s="398">
        <v>0.0</v>
      </c>
      <c r="Z89" s="329">
        <f t="shared" si="3"/>
        <v>0</v>
      </c>
      <c r="AA89" s="32">
        <f t="shared" si="4"/>
        <v>0</v>
      </c>
      <c r="AB89" s="32">
        <f t="shared" si="5"/>
        <v>0</v>
      </c>
      <c r="AC89" s="32">
        <f t="shared" si="6"/>
        <v>0</v>
      </c>
    </row>
    <row r="90" ht="22.5" customHeight="1">
      <c r="A90" s="331" t="str">
        <f>Rooster!A91</f>
        <v/>
      </c>
      <c r="B90" s="396" t="str">
        <f>Rooster!B91</f>
        <v/>
      </c>
      <c r="C90" s="15" t="str">
        <f>Rooster!C91</f>
        <v/>
      </c>
      <c r="D90" s="11" t="str">
        <f>Rooster!D91</f>
        <v/>
      </c>
      <c r="E90" s="77"/>
      <c r="F90" s="327" t="str">
        <f>Rooster!E91</f>
        <v/>
      </c>
      <c r="G90" s="319" t="str">
        <f>IFERROR(VLOOKUP(F90, Docenten!$A$2:$G$30, 7, FALSE), "0")</f>
        <v>0</v>
      </c>
      <c r="H90" s="320">
        <f t="shared" si="7"/>
        <v>0</v>
      </c>
      <c r="I90" s="327" t="str">
        <f>Rooster!H91</f>
        <v/>
      </c>
      <c r="J90" s="321" t="str">
        <f>IFERROR(VLOOKUP(I90, Locaties!$A$2:$G$15, 7, FALSE), "0")</f>
        <v>0</v>
      </c>
      <c r="K90" s="42">
        <f t="shared" si="2"/>
        <v>0</v>
      </c>
      <c r="L90" s="429" t="str">
        <f>Januari!L90</f>
        <v/>
      </c>
      <c r="M90" s="430" t="str">
        <f>Januari!M90</f>
        <v/>
      </c>
      <c r="N90" s="321" t="str">
        <f>IFERROR(VLOOKUP(M90, Tarieven!$A$1:$J$150, 10, FALSE), "0")</f>
        <v>0</v>
      </c>
      <c r="O90" s="429" t="str">
        <f>Januari!O90</f>
        <v/>
      </c>
      <c r="P90" s="430" t="str">
        <f>Januari!P90</f>
        <v/>
      </c>
      <c r="Q90" s="325" t="str">
        <f>IFERROR(VLOOKUP(P90, Tarieven!$A$2:$J$150, 10, FALSE), "0")</f>
        <v>0</v>
      </c>
      <c r="R90" s="431" t="str">
        <f>Januari!R90</f>
        <v/>
      </c>
      <c r="S90" s="430" t="str">
        <f>Januari!S90</f>
        <v/>
      </c>
      <c r="T90" s="325" t="str">
        <f>IFERROR(VLOOKUP(S90, Tarieven!$A$2:$J$150, 10, FALSE), "0")</f>
        <v>0</v>
      </c>
      <c r="U90" s="77" t="str">
        <f>Januari!U90</f>
        <v/>
      </c>
      <c r="V90" s="327" t="str">
        <f>Januari!V90</f>
        <v/>
      </c>
      <c r="W90" s="325" t="str">
        <f>IFERROR(VLOOKUP(V90, Tarieven!$A$2:$J$150, 10, FALSE), "0")</f>
        <v>0</v>
      </c>
      <c r="X90" s="138">
        <f>Januari!X90</f>
        <v>0</v>
      </c>
      <c r="Y90" s="398">
        <v>0.0</v>
      </c>
      <c r="Z90" s="329">
        <f t="shared" si="3"/>
        <v>0</v>
      </c>
      <c r="AA90" s="32">
        <f t="shared" si="4"/>
        <v>0</v>
      </c>
      <c r="AB90" s="32">
        <f t="shared" si="5"/>
        <v>0</v>
      </c>
      <c r="AC90" s="32">
        <f t="shared" si="6"/>
        <v>0</v>
      </c>
    </row>
    <row r="91" ht="22.5" customHeight="1">
      <c r="A91" s="331" t="str">
        <f>Rooster!A92</f>
        <v/>
      </c>
      <c r="B91" s="396" t="str">
        <f>Rooster!B92</f>
        <v/>
      </c>
      <c r="C91" s="15" t="str">
        <f>Rooster!C92</f>
        <v/>
      </c>
      <c r="D91" s="11" t="str">
        <f>Rooster!D92</f>
        <v/>
      </c>
      <c r="E91" s="77"/>
      <c r="F91" s="327" t="str">
        <f>Rooster!E92</f>
        <v/>
      </c>
      <c r="G91" s="319" t="str">
        <f>IFERROR(VLOOKUP(F91, Docenten!$A$2:$G$30, 7, FALSE), "0")</f>
        <v>0</v>
      </c>
      <c r="H91" s="320">
        <f t="shared" si="7"/>
        <v>0</v>
      </c>
      <c r="I91" s="327" t="str">
        <f>Rooster!H92</f>
        <v/>
      </c>
      <c r="J91" s="321" t="str">
        <f>IFERROR(VLOOKUP(I91, Locaties!$A$2:$G$15, 7, FALSE), "0")</f>
        <v>0</v>
      </c>
      <c r="K91" s="42">
        <f t="shared" si="2"/>
        <v>0</v>
      </c>
      <c r="L91" s="429" t="str">
        <f>Januari!L91</f>
        <v/>
      </c>
      <c r="M91" s="430" t="str">
        <f>Januari!M91</f>
        <v/>
      </c>
      <c r="N91" s="321" t="str">
        <f>IFERROR(VLOOKUP(M91, Tarieven!$A$1:$J$150, 10, FALSE), "0")</f>
        <v>0</v>
      </c>
      <c r="O91" s="429" t="str">
        <f>Januari!O91</f>
        <v/>
      </c>
      <c r="P91" s="430" t="str">
        <f>Januari!P91</f>
        <v/>
      </c>
      <c r="Q91" s="325" t="str">
        <f>IFERROR(VLOOKUP(P91, Tarieven!$A$2:$J$150, 10, FALSE), "0")</f>
        <v>0</v>
      </c>
      <c r="R91" s="431" t="str">
        <f>Januari!R91</f>
        <v/>
      </c>
      <c r="S91" s="430" t="str">
        <f>Januari!S91</f>
        <v/>
      </c>
      <c r="T91" s="325" t="str">
        <f>IFERROR(VLOOKUP(S91, Tarieven!$A$2:$J$150, 10, FALSE), "0")</f>
        <v>0</v>
      </c>
      <c r="U91" s="77" t="str">
        <f>Januari!U91</f>
        <v/>
      </c>
      <c r="V91" s="327" t="str">
        <f>Januari!V91</f>
        <v/>
      </c>
      <c r="W91" s="325" t="str">
        <f>IFERROR(VLOOKUP(V91, Tarieven!$A$2:$J$150, 10, FALSE), "0")</f>
        <v>0</v>
      </c>
      <c r="X91" s="138">
        <f>Januari!X91</f>
        <v>0</v>
      </c>
      <c r="Y91" s="398">
        <v>0.0</v>
      </c>
      <c r="Z91" s="329">
        <f t="shared" si="3"/>
        <v>0</v>
      </c>
      <c r="AA91" s="32">
        <f t="shared" si="4"/>
        <v>0</v>
      </c>
      <c r="AB91" s="32">
        <f t="shared" si="5"/>
        <v>0</v>
      </c>
      <c r="AC91" s="32">
        <f t="shared" si="6"/>
        <v>0</v>
      </c>
    </row>
    <row r="92" ht="22.5" customHeight="1">
      <c r="A92" s="331" t="str">
        <f>Rooster!A93</f>
        <v/>
      </c>
      <c r="B92" s="396" t="str">
        <f>Rooster!B93</f>
        <v/>
      </c>
      <c r="C92" s="15" t="str">
        <f>Rooster!C93</f>
        <v/>
      </c>
      <c r="D92" s="11" t="str">
        <f>Rooster!D93</f>
        <v/>
      </c>
      <c r="E92" s="77"/>
      <c r="F92" s="327" t="str">
        <f>Rooster!E93</f>
        <v/>
      </c>
      <c r="G92" s="319" t="str">
        <f>IFERROR(VLOOKUP(F92, Docenten!$A$2:$G$30, 7, FALSE), "0")</f>
        <v>0</v>
      </c>
      <c r="H92" s="320">
        <f t="shared" si="7"/>
        <v>0</v>
      </c>
      <c r="I92" s="327" t="str">
        <f>Rooster!H93</f>
        <v/>
      </c>
      <c r="J92" s="321" t="str">
        <f>IFERROR(VLOOKUP(I92, Locaties!$A$2:$G$15, 7, FALSE), "0")</f>
        <v>0</v>
      </c>
      <c r="K92" s="42">
        <f t="shared" si="2"/>
        <v>0</v>
      </c>
      <c r="L92" s="429" t="str">
        <f>Januari!L92</f>
        <v/>
      </c>
      <c r="M92" s="430" t="str">
        <f>Januari!M92</f>
        <v/>
      </c>
      <c r="N92" s="321" t="str">
        <f>IFERROR(VLOOKUP(M92, Tarieven!$A$1:$J$150, 10, FALSE), "0")</f>
        <v>0</v>
      </c>
      <c r="O92" s="429" t="str">
        <f>Januari!O92</f>
        <v/>
      </c>
      <c r="P92" s="430" t="str">
        <f>Januari!P92</f>
        <v/>
      </c>
      <c r="Q92" s="325" t="str">
        <f>IFERROR(VLOOKUP(P92, Tarieven!$A$2:$J$150, 10, FALSE), "0")</f>
        <v>0</v>
      </c>
      <c r="R92" s="431" t="str">
        <f>Januari!R92</f>
        <v/>
      </c>
      <c r="S92" s="430" t="str">
        <f>Januari!S92</f>
        <v/>
      </c>
      <c r="T92" s="325" t="str">
        <f>IFERROR(VLOOKUP(S92, Tarieven!$A$2:$J$150, 10, FALSE), "0")</f>
        <v>0</v>
      </c>
      <c r="U92" s="77" t="str">
        <f>Januari!U92</f>
        <v/>
      </c>
      <c r="V92" s="327" t="str">
        <f>Januari!V92</f>
        <v/>
      </c>
      <c r="W92" s="325" t="str">
        <f>IFERROR(VLOOKUP(V92, Tarieven!$A$2:$J$150, 10, FALSE), "0")</f>
        <v>0</v>
      </c>
      <c r="X92" s="138">
        <f>Januari!X92</f>
        <v>0</v>
      </c>
      <c r="Y92" s="398">
        <v>0.0</v>
      </c>
      <c r="Z92" s="329">
        <f t="shared" si="3"/>
        <v>0</v>
      </c>
      <c r="AA92" s="32">
        <f t="shared" si="4"/>
        <v>0</v>
      </c>
      <c r="AB92" s="32">
        <f t="shared" si="5"/>
        <v>0</v>
      </c>
      <c r="AC92" s="32">
        <f t="shared" si="6"/>
        <v>0</v>
      </c>
    </row>
    <row r="93" ht="22.5" customHeight="1">
      <c r="A93" s="331" t="str">
        <f>Rooster!A94</f>
        <v/>
      </c>
      <c r="B93" s="396" t="str">
        <f>Rooster!B94</f>
        <v/>
      </c>
      <c r="C93" s="15" t="str">
        <f>Rooster!C94</f>
        <v/>
      </c>
      <c r="D93" s="11" t="str">
        <f>Rooster!D94</f>
        <v/>
      </c>
      <c r="E93" s="77"/>
      <c r="F93" s="327" t="str">
        <f>Rooster!E94</f>
        <v/>
      </c>
      <c r="G93" s="319" t="str">
        <f>IFERROR(VLOOKUP(F93, Docenten!$A$2:$G$30, 7, FALSE), "0")</f>
        <v>0</v>
      </c>
      <c r="H93" s="320">
        <f t="shared" si="7"/>
        <v>0</v>
      </c>
      <c r="I93" s="327" t="str">
        <f>Rooster!H94</f>
        <v/>
      </c>
      <c r="J93" s="321" t="str">
        <f>IFERROR(VLOOKUP(I93, Locaties!$A$2:$G$15, 7, FALSE), "0")</f>
        <v>0</v>
      </c>
      <c r="K93" s="42">
        <f t="shared" si="2"/>
        <v>0</v>
      </c>
      <c r="L93" s="429" t="str">
        <f>Januari!L93</f>
        <v/>
      </c>
      <c r="M93" s="430" t="str">
        <f>Januari!M93</f>
        <v/>
      </c>
      <c r="N93" s="321" t="str">
        <f>IFERROR(VLOOKUP(M93, Tarieven!$A$1:$J$150, 10, FALSE), "0")</f>
        <v>0</v>
      </c>
      <c r="O93" s="429" t="str">
        <f>Januari!O93</f>
        <v/>
      </c>
      <c r="P93" s="430" t="str">
        <f>Januari!P93</f>
        <v/>
      </c>
      <c r="Q93" s="325" t="str">
        <f>IFERROR(VLOOKUP(P93, Tarieven!$A$2:$J$150, 10, FALSE), "0")</f>
        <v>0</v>
      </c>
      <c r="R93" s="431" t="str">
        <f>Januari!R93</f>
        <v/>
      </c>
      <c r="S93" s="430" t="str">
        <f>Januari!S93</f>
        <v/>
      </c>
      <c r="T93" s="325" t="str">
        <f>IFERROR(VLOOKUP(S93, Tarieven!$A$2:$J$150, 10, FALSE), "0")</f>
        <v>0</v>
      </c>
      <c r="U93" s="77" t="str">
        <f>Januari!U93</f>
        <v/>
      </c>
      <c r="V93" s="327" t="str">
        <f>Januari!V93</f>
        <v/>
      </c>
      <c r="W93" s="325" t="str">
        <f>IFERROR(VLOOKUP(V93, Tarieven!$A$2:$J$150, 10, FALSE), "0")</f>
        <v>0</v>
      </c>
      <c r="X93" s="138">
        <f>Januari!X93</f>
        <v>0</v>
      </c>
      <c r="Y93" s="398">
        <v>0.0</v>
      </c>
      <c r="Z93" s="329">
        <f t="shared" si="3"/>
        <v>0</v>
      </c>
      <c r="AA93" s="32">
        <f t="shared" si="4"/>
        <v>0</v>
      </c>
      <c r="AB93" s="32">
        <f t="shared" si="5"/>
        <v>0</v>
      </c>
      <c r="AC93" s="32">
        <f t="shared" si="6"/>
        <v>0</v>
      </c>
    </row>
    <row r="94" ht="22.5" customHeight="1">
      <c r="A94" s="331" t="str">
        <f>Rooster!A95</f>
        <v/>
      </c>
      <c r="B94" s="396" t="str">
        <f>Rooster!B95</f>
        <v/>
      </c>
      <c r="C94" s="15" t="str">
        <f>Rooster!C95</f>
        <v/>
      </c>
      <c r="D94" s="11" t="str">
        <f>Rooster!D95</f>
        <v/>
      </c>
      <c r="E94" s="77"/>
      <c r="F94" s="327" t="str">
        <f>Rooster!E95</f>
        <v/>
      </c>
      <c r="G94" s="319" t="str">
        <f>IFERROR(VLOOKUP(F94, Docenten!$A$2:$G$30, 7, FALSE), "0")</f>
        <v>0</v>
      </c>
      <c r="H94" s="320">
        <f t="shared" si="7"/>
        <v>0</v>
      </c>
      <c r="I94" s="327" t="str">
        <f>Rooster!H95</f>
        <v/>
      </c>
      <c r="J94" s="321" t="str">
        <f>IFERROR(VLOOKUP(I94, Locaties!$A$2:$G$15, 7, FALSE), "0")</f>
        <v>0</v>
      </c>
      <c r="K94" s="42">
        <f t="shared" si="2"/>
        <v>0</v>
      </c>
      <c r="L94" s="429" t="str">
        <f>Januari!L94</f>
        <v/>
      </c>
      <c r="M94" s="430" t="str">
        <f>Januari!M94</f>
        <v/>
      </c>
      <c r="N94" s="321" t="str">
        <f>IFERROR(VLOOKUP(M94, Tarieven!$A$1:$J$150, 10, FALSE), "0")</f>
        <v>0</v>
      </c>
      <c r="O94" s="429" t="str">
        <f>Januari!O94</f>
        <v/>
      </c>
      <c r="P94" s="430" t="str">
        <f>Januari!P94</f>
        <v/>
      </c>
      <c r="Q94" s="325" t="str">
        <f>IFERROR(VLOOKUP(P94, Tarieven!$A$2:$J$150, 10, FALSE), "0")</f>
        <v>0</v>
      </c>
      <c r="R94" s="431" t="str">
        <f>Januari!R94</f>
        <v/>
      </c>
      <c r="S94" s="430" t="str">
        <f>Januari!S94</f>
        <v/>
      </c>
      <c r="T94" s="325" t="str">
        <f>IFERROR(VLOOKUP(S94, Tarieven!$A$2:$J$150, 10, FALSE), "0")</f>
        <v>0</v>
      </c>
      <c r="U94" s="77" t="str">
        <f>Januari!U94</f>
        <v/>
      </c>
      <c r="V94" s="327" t="str">
        <f>Januari!V94</f>
        <v/>
      </c>
      <c r="W94" s="325" t="str">
        <f>IFERROR(VLOOKUP(V94, Tarieven!$A$2:$J$150, 10, FALSE), "0")</f>
        <v>0</v>
      </c>
      <c r="X94" s="138">
        <f>Januari!X94</f>
        <v>0</v>
      </c>
      <c r="Y94" s="398">
        <v>0.0</v>
      </c>
      <c r="Z94" s="329">
        <f t="shared" si="3"/>
        <v>0</v>
      </c>
      <c r="AA94" s="32">
        <f t="shared" si="4"/>
        <v>0</v>
      </c>
      <c r="AB94" s="32">
        <f t="shared" si="5"/>
        <v>0</v>
      </c>
      <c r="AC94" s="32">
        <f t="shared" si="6"/>
        <v>0</v>
      </c>
    </row>
    <row r="95" ht="22.5" customHeight="1">
      <c r="A95" s="331" t="str">
        <f>Rooster!A96</f>
        <v/>
      </c>
      <c r="B95" s="396" t="str">
        <f>Rooster!B96</f>
        <v/>
      </c>
      <c r="C95" s="15" t="str">
        <f>Rooster!C96</f>
        <v/>
      </c>
      <c r="D95" s="11" t="str">
        <f>Rooster!D96</f>
        <v/>
      </c>
      <c r="E95" s="77"/>
      <c r="F95" s="327" t="str">
        <f>Rooster!E96</f>
        <v/>
      </c>
      <c r="G95" s="319" t="str">
        <f>IFERROR(VLOOKUP(F95, Docenten!$A$2:$G$30, 7, FALSE), "0")</f>
        <v>0</v>
      </c>
      <c r="H95" s="320">
        <f t="shared" si="7"/>
        <v>0</v>
      </c>
      <c r="I95" s="327" t="str">
        <f>Rooster!H96</f>
        <v/>
      </c>
      <c r="J95" s="321" t="str">
        <f>IFERROR(VLOOKUP(I95, Locaties!$A$2:$G$15, 7, FALSE), "0")</f>
        <v>0</v>
      </c>
      <c r="K95" s="42">
        <f t="shared" si="2"/>
        <v>0</v>
      </c>
      <c r="L95" s="429" t="str">
        <f>Januari!L95</f>
        <v/>
      </c>
      <c r="M95" s="430" t="str">
        <f>Januari!M95</f>
        <v/>
      </c>
      <c r="N95" s="321" t="str">
        <f>IFERROR(VLOOKUP(M95, Tarieven!$A$1:$J$150, 10, FALSE), "0")</f>
        <v>0</v>
      </c>
      <c r="O95" s="429" t="str">
        <f>Januari!O95</f>
        <v/>
      </c>
      <c r="P95" s="430" t="str">
        <f>Januari!P95</f>
        <v/>
      </c>
      <c r="Q95" s="325" t="str">
        <f>IFERROR(VLOOKUP(P95, Tarieven!$A$2:$J$150, 10, FALSE), "0")</f>
        <v>0</v>
      </c>
      <c r="R95" s="431" t="str">
        <f>Januari!R95</f>
        <v/>
      </c>
      <c r="S95" s="430" t="str">
        <f>Januari!S95</f>
        <v/>
      </c>
      <c r="T95" s="325" t="str">
        <f>IFERROR(VLOOKUP(S95, Tarieven!$A$2:$J$150, 10, FALSE), "0")</f>
        <v>0</v>
      </c>
      <c r="U95" s="77" t="str">
        <f>Januari!U95</f>
        <v/>
      </c>
      <c r="V95" s="327" t="str">
        <f>Januari!V95</f>
        <v/>
      </c>
      <c r="W95" s="325" t="str">
        <f>IFERROR(VLOOKUP(V95, Tarieven!$A$2:$J$150, 10, FALSE), "0")</f>
        <v>0</v>
      </c>
      <c r="X95" s="138">
        <f>Januari!X95</f>
        <v>0</v>
      </c>
      <c r="Y95" s="398">
        <v>0.0</v>
      </c>
      <c r="Z95" s="329">
        <f t="shared" si="3"/>
        <v>0</v>
      </c>
      <c r="AA95" s="32">
        <f t="shared" si="4"/>
        <v>0</v>
      </c>
      <c r="AB95" s="32">
        <f t="shared" si="5"/>
        <v>0</v>
      </c>
      <c r="AC95" s="32">
        <f t="shared" si="6"/>
        <v>0</v>
      </c>
    </row>
    <row r="96" ht="22.5" customHeight="1">
      <c r="A96" s="331" t="str">
        <f>Rooster!A97</f>
        <v/>
      </c>
      <c r="B96" s="396" t="str">
        <f>Rooster!B97</f>
        <v/>
      </c>
      <c r="C96" s="15" t="str">
        <f>Rooster!C97</f>
        <v/>
      </c>
      <c r="D96" s="11" t="str">
        <f>Rooster!D97</f>
        <v/>
      </c>
      <c r="E96" s="77"/>
      <c r="F96" s="327" t="str">
        <f>Rooster!E97</f>
        <v/>
      </c>
      <c r="G96" s="319" t="str">
        <f>IFERROR(VLOOKUP(F96, Docenten!$A$2:$G$30, 7, FALSE), "0")</f>
        <v>0</v>
      </c>
      <c r="H96" s="320">
        <f t="shared" si="7"/>
        <v>0</v>
      </c>
      <c r="I96" s="327" t="str">
        <f>Rooster!H97</f>
        <v/>
      </c>
      <c r="J96" s="321" t="str">
        <f>IFERROR(VLOOKUP(I96, Locaties!$A$2:$G$15, 7, FALSE), "0")</f>
        <v>0</v>
      </c>
      <c r="K96" s="42">
        <f t="shared" si="2"/>
        <v>0</v>
      </c>
      <c r="L96" s="429" t="str">
        <f>Januari!L96</f>
        <v/>
      </c>
      <c r="M96" s="430" t="str">
        <f>Januari!M96</f>
        <v/>
      </c>
      <c r="N96" s="321" t="str">
        <f>IFERROR(VLOOKUP(M96, Tarieven!$A$1:$J$150, 10, FALSE), "0")</f>
        <v>0</v>
      </c>
      <c r="O96" s="429" t="str">
        <f>Januari!O96</f>
        <v/>
      </c>
      <c r="P96" s="430" t="str">
        <f>Januari!P96</f>
        <v/>
      </c>
      <c r="Q96" s="325" t="str">
        <f>IFERROR(VLOOKUP(P96, Tarieven!$A$2:$J$150, 10, FALSE), "0")</f>
        <v>0</v>
      </c>
      <c r="R96" s="431" t="str">
        <f>Januari!R96</f>
        <v/>
      </c>
      <c r="S96" s="430" t="str">
        <f>Januari!S96</f>
        <v/>
      </c>
      <c r="T96" s="325" t="str">
        <f>IFERROR(VLOOKUP(S96, Tarieven!$A$2:$J$150, 10, FALSE), "0")</f>
        <v>0</v>
      </c>
      <c r="U96" s="77" t="str">
        <f>Januari!U96</f>
        <v/>
      </c>
      <c r="V96" s="327" t="str">
        <f>Januari!V96</f>
        <v/>
      </c>
      <c r="W96" s="325" t="str">
        <f>IFERROR(VLOOKUP(V96, Tarieven!$A$2:$J$150, 10, FALSE), "0")</f>
        <v>0</v>
      </c>
      <c r="X96" s="138">
        <f>Januari!X96</f>
        <v>0</v>
      </c>
      <c r="Y96" s="398">
        <v>0.0</v>
      </c>
      <c r="Z96" s="329">
        <f t="shared" si="3"/>
        <v>0</v>
      </c>
      <c r="AA96" s="32">
        <f t="shared" si="4"/>
        <v>0</v>
      </c>
      <c r="AB96" s="32">
        <f t="shared" si="5"/>
        <v>0</v>
      </c>
      <c r="AC96" s="32">
        <f t="shared" si="6"/>
        <v>0</v>
      </c>
    </row>
    <row r="97" ht="22.5" customHeight="1">
      <c r="A97" s="331" t="str">
        <f>Rooster!A98</f>
        <v/>
      </c>
      <c r="B97" s="396" t="str">
        <f>Rooster!B98</f>
        <v/>
      </c>
      <c r="C97" s="15" t="str">
        <f>Rooster!C98</f>
        <v/>
      </c>
      <c r="D97" s="11" t="str">
        <f>Rooster!D98</f>
        <v/>
      </c>
      <c r="E97" s="77"/>
      <c r="F97" s="327" t="str">
        <f>Rooster!E98</f>
        <v/>
      </c>
      <c r="G97" s="319" t="str">
        <f>IFERROR(VLOOKUP(F97, Docenten!$A$2:$G$30, 7, FALSE), "0")</f>
        <v>0</v>
      </c>
      <c r="H97" s="320">
        <f t="shared" si="7"/>
        <v>0</v>
      </c>
      <c r="I97" s="327" t="str">
        <f>Rooster!H98</f>
        <v/>
      </c>
      <c r="J97" s="321" t="str">
        <f>IFERROR(VLOOKUP(I97, Locaties!$A$2:$G$15, 7, FALSE), "0")</f>
        <v>0</v>
      </c>
      <c r="K97" s="42">
        <f t="shared" si="2"/>
        <v>0</v>
      </c>
      <c r="L97" s="429" t="str">
        <f>Januari!L97</f>
        <v/>
      </c>
      <c r="M97" s="430" t="str">
        <f>Januari!M97</f>
        <v/>
      </c>
      <c r="N97" s="321" t="str">
        <f>IFERROR(VLOOKUP(M97, Tarieven!$A$1:$J$150, 10, FALSE), "0")</f>
        <v>0</v>
      </c>
      <c r="O97" s="429" t="str">
        <f>Januari!O97</f>
        <v/>
      </c>
      <c r="P97" s="430" t="str">
        <f>Januari!P97</f>
        <v/>
      </c>
      <c r="Q97" s="325" t="str">
        <f>IFERROR(VLOOKUP(P97, Tarieven!$A$2:$J$150, 10, FALSE), "0")</f>
        <v>0</v>
      </c>
      <c r="R97" s="431" t="str">
        <f>Januari!R97</f>
        <v/>
      </c>
      <c r="S97" s="430" t="str">
        <f>Januari!S97</f>
        <v/>
      </c>
      <c r="T97" s="325" t="str">
        <f>IFERROR(VLOOKUP(S97, Tarieven!$A$2:$J$150, 10, FALSE), "0")</f>
        <v>0</v>
      </c>
      <c r="U97" s="77" t="str">
        <f>Januari!U97</f>
        <v/>
      </c>
      <c r="V97" s="327" t="str">
        <f>Januari!V97</f>
        <v/>
      </c>
      <c r="W97" s="325" t="str">
        <f>IFERROR(VLOOKUP(V97, Tarieven!$A$2:$J$150, 10, FALSE), "0")</f>
        <v>0</v>
      </c>
      <c r="X97" s="138">
        <f>Januari!X97</f>
        <v>0</v>
      </c>
      <c r="Y97" s="398">
        <v>0.0</v>
      </c>
      <c r="Z97" s="329">
        <f t="shared" si="3"/>
        <v>0</v>
      </c>
      <c r="AA97" s="32">
        <f t="shared" si="4"/>
        <v>0</v>
      </c>
      <c r="AB97" s="32">
        <f t="shared" si="5"/>
        <v>0</v>
      </c>
      <c r="AC97" s="32">
        <f t="shared" si="6"/>
        <v>0</v>
      </c>
    </row>
    <row r="98" ht="22.5" customHeight="1">
      <c r="A98" s="331" t="str">
        <f>Rooster!A99</f>
        <v/>
      </c>
      <c r="B98" s="396" t="str">
        <f>Rooster!B99</f>
        <v/>
      </c>
      <c r="C98" s="15" t="str">
        <f>Rooster!C99</f>
        <v/>
      </c>
      <c r="D98" s="11" t="str">
        <f>Rooster!D99</f>
        <v/>
      </c>
      <c r="E98" s="77"/>
      <c r="F98" s="327" t="str">
        <f>Rooster!E99</f>
        <v/>
      </c>
      <c r="G98" s="319" t="str">
        <f>IFERROR(VLOOKUP(F98, Docenten!$A$2:$G$30, 7, FALSE), "0")</f>
        <v>0</v>
      </c>
      <c r="H98" s="320">
        <f t="shared" si="7"/>
        <v>0</v>
      </c>
      <c r="I98" s="327" t="str">
        <f>Rooster!H99</f>
        <v/>
      </c>
      <c r="J98" s="321" t="str">
        <f>IFERROR(VLOOKUP(I98, Locaties!$A$2:$G$15, 7, FALSE), "0")</f>
        <v>0</v>
      </c>
      <c r="K98" s="42">
        <f t="shared" si="2"/>
        <v>0</v>
      </c>
      <c r="L98" s="429" t="str">
        <f>Januari!L98</f>
        <v/>
      </c>
      <c r="M98" s="430" t="str">
        <f>Januari!M98</f>
        <v/>
      </c>
      <c r="N98" s="321" t="str">
        <f>IFERROR(VLOOKUP(M98, Tarieven!$A$1:$J$150, 10, FALSE), "0")</f>
        <v>0</v>
      </c>
      <c r="O98" s="429" t="str">
        <f>Januari!O98</f>
        <v/>
      </c>
      <c r="P98" s="430" t="str">
        <f>Januari!P98</f>
        <v/>
      </c>
      <c r="Q98" s="325" t="str">
        <f>IFERROR(VLOOKUP(P98, Tarieven!$A$2:$J$150, 10, FALSE), "0")</f>
        <v>0</v>
      </c>
      <c r="R98" s="431" t="str">
        <f>Januari!R98</f>
        <v/>
      </c>
      <c r="S98" s="430" t="str">
        <f>Januari!S98</f>
        <v/>
      </c>
      <c r="T98" s="325" t="str">
        <f>IFERROR(VLOOKUP(S98, Tarieven!$A$2:$J$150, 10, FALSE), "0")</f>
        <v>0</v>
      </c>
      <c r="U98" s="77" t="str">
        <f>Januari!U98</f>
        <v/>
      </c>
      <c r="V98" s="327" t="str">
        <f>Januari!V98</f>
        <v/>
      </c>
      <c r="W98" s="325" t="str">
        <f>IFERROR(VLOOKUP(V98, Tarieven!$A$2:$J$150, 10, FALSE), "0")</f>
        <v>0</v>
      </c>
      <c r="X98" s="138">
        <f>Januari!X98</f>
        <v>0</v>
      </c>
      <c r="Y98" s="398">
        <v>0.0</v>
      </c>
      <c r="Z98" s="329">
        <f t="shared" si="3"/>
        <v>0</v>
      </c>
      <c r="AA98" s="32">
        <f t="shared" si="4"/>
        <v>0</v>
      </c>
      <c r="AB98" s="32">
        <f t="shared" si="5"/>
        <v>0</v>
      </c>
      <c r="AC98" s="32">
        <f t="shared" si="6"/>
        <v>0</v>
      </c>
    </row>
    <row r="99" ht="22.5" customHeight="1">
      <c r="A99" s="331" t="str">
        <f>Rooster!A100</f>
        <v/>
      </c>
      <c r="B99" s="396" t="str">
        <f>Rooster!B100</f>
        <v/>
      </c>
      <c r="C99" s="15" t="str">
        <f>Rooster!C100</f>
        <v/>
      </c>
      <c r="D99" s="11" t="str">
        <f>Rooster!D100</f>
        <v/>
      </c>
      <c r="E99" s="77"/>
      <c r="F99" s="327" t="str">
        <f>Rooster!E100</f>
        <v/>
      </c>
      <c r="G99" s="319" t="str">
        <f>IFERROR(VLOOKUP(F99, Docenten!$A$2:$G$30, 7, FALSE), "0")</f>
        <v>0</v>
      </c>
      <c r="H99" s="320">
        <f t="shared" si="7"/>
        <v>0</v>
      </c>
      <c r="I99" s="327" t="str">
        <f>Rooster!H100</f>
        <v/>
      </c>
      <c r="J99" s="321" t="str">
        <f>IFERROR(VLOOKUP(I99, Locaties!$A$2:$G$15, 7, FALSE), "0")</f>
        <v>0</v>
      </c>
      <c r="K99" s="42">
        <f t="shared" si="2"/>
        <v>0</v>
      </c>
      <c r="L99" s="429" t="str">
        <f>Januari!L99</f>
        <v/>
      </c>
      <c r="M99" s="430" t="str">
        <f>Januari!M99</f>
        <v/>
      </c>
      <c r="N99" s="321" t="str">
        <f>IFERROR(VLOOKUP(M99, Tarieven!$A$1:$J$150, 10, FALSE), "0")</f>
        <v>0</v>
      </c>
      <c r="O99" s="429" t="str">
        <f>Januari!O99</f>
        <v/>
      </c>
      <c r="P99" s="430" t="str">
        <f>Januari!P99</f>
        <v/>
      </c>
      <c r="Q99" s="325" t="str">
        <f>IFERROR(VLOOKUP(P99, Tarieven!$A$2:$J$150, 10, FALSE), "0")</f>
        <v>0</v>
      </c>
      <c r="R99" s="431" t="str">
        <f>Januari!R99</f>
        <v/>
      </c>
      <c r="S99" s="430" t="str">
        <f>Januari!S99</f>
        <v/>
      </c>
      <c r="T99" s="325" t="str">
        <f>IFERROR(VLOOKUP(S99, Tarieven!$A$2:$J$150, 10, FALSE), "0")</f>
        <v>0</v>
      </c>
      <c r="U99" s="77" t="str">
        <f>Januari!U99</f>
        <v/>
      </c>
      <c r="V99" s="327" t="str">
        <f>Januari!V99</f>
        <v/>
      </c>
      <c r="W99" s="325" t="str">
        <f>IFERROR(VLOOKUP(V99, Tarieven!$A$2:$J$150, 10, FALSE), "0")</f>
        <v>0</v>
      </c>
      <c r="X99" s="138">
        <f>Januari!X99</f>
        <v>0</v>
      </c>
      <c r="Y99" s="398">
        <v>0.0</v>
      </c>
      <c r="Z99" s="329">
        <f t="shared" si="3"/>
        <v>0</v>
      </c>
      <c r="AA99" s="32">
        <f t="shared" si="4"/>
        <v>0</v>
      </c>
      <c r="AB99" s="32">
        <f t="shared" si="5"/>
        <v>0</v>
      </c>
      <c r="AC99" s="32">
        <f t="shared" si="6"/>
        <v>0</v>
      </c>
    </row>
    <row r="100" ht="22.5" customHeight="1">
      <c r="A100" s="331" t="str">
        <f>Rooster!A101</f>
        <v/>
      </c>
      <c r="B100" s="396" t="str">
        <f>Rooster!B101</f>
        <v/>
      </c>
      <c r="C100" s="15" t="str">
        <f>Rooster!C101</f>
        <v/>
      </c>
      <c r="D100" s="11" t="str">
        <f>Rooster!D101</f>
        <v/>
      </c>
      <c r="E100" s="77"/>
      <c r="F100" s="327" t="str">
        <f>Rooster!E101</f>
        <v/>
      </c>
      <c r="G100" s="319" t="str">
        <f>IFERROR(VLOOKUP(F100, Docenten!$A$2:$G$30, 7, FALSE), "0")</f>
        <v>0</v>
      </c>
      <c r="H100" s="320">
        <f t="shared" si="7"/>
        <v>0</v>
      </c>
      <c r="I100" s="327" t="str">
        <f>Rooster!H101</f>
        <v/>
      </c>
      <c r="J100" s="321" t="str">
        <f>IFERROR(VLOOKUP(I100, Locaties!$A$2:$G$15, 7, FALSE), "0")</f>
        <v>0</v>
      </c>
      <c r="K100" s="42">
        <f t="shared" si="2"/>
        <v>0</v>
      </c>
      <c r="L100" s="429" t="str">
        <f>Januari!L100</f>
        <v/>
      </c>
      <c r="M100" s="430" t="str">
        <f>Januari!M100</f>
        <v/>
      </c>
      <c r="N100" s="321" t="str">
        <f>IFERROR(VLOOKUP(M100, Tarieven!$A$1:$J$150, 10, FALSE), "0")</f>
        <v>0</v>
      </c>
      <c r="O100" s="429" t="str">
        <f>Januari!O100</f>
        <v/>
      </c>
      <c r="P100" s="430" t="str">
        <f>Januari!P100</f>
        <v/>
      </c>
      <c r="Q100" s="325" t="str">
        <f>IFERROR(VLOOKUP(P100, Tarieven!$A$2:$J$150, 10, FALSE), "0")</f>
        <v>0</v>
      </c>
      <c r="R100" s="431" t="str">
        <f>Januari!R100</f>
        <v/>
      </c>
      <c r="S100" s="430" t="str">
        <f>Januari!S100</f>
        <v/>
      </c>
      <c r="T100" s="325" t="str">
        <f>IFERROR(VLOOKUP(S100, Tarieven!$A$2:$J$150, 10, FALSE), "0")</f>
        <v>0</v>
      </c>
      <c r="U100" s="77" t="str">
        <f>Januari!U100</f>
        <v/>
      </c>
      <c r="V100" s="327" t="str">
        <f>Januari!V100</f>
        <v/>
      </c>
      <c r="W100" s="325" t="str">
        <f>IFERROR(VLOOKUP(V100, Tarieven!$A$2:$J$150, 10, FALSE), "0")</f>
        <v>0</v>
      </c>
      <c r="X100" s="138">
        <f>Januari!X100</f>
        <v>0</v>
      </c>
      <c r="Y100" s="398">
        <v>0.0</v>
      </c>
      <c r="Z100" s="329">
        <f t="shared" si="3"/>
        <v>0</v>
      </c>
      <c r="AA100" s="32">
        <f t="shared" si="4"/>
        <v>0</v>
      </c>
      <c r="AB100" s="32">
        <f t="shared" si="5"/>
        <v>0</v>
      </c>
      <c r="AC100" s="32">
        <f t="shared" si="6"/>
        <v>0</v>
      </c>
    </row>
    <row r="101" ht="22.5" customHeight="1">
      <c r="A101" s="331" t="str">
        <f>Rooster!A102</f>
        <v/>
      </c>
      <c r="B101" s="396" t="str">
        <f>Rooster!B102</f>
        <v/>
      </c>
      <c r="C101" s="15" t="str">
        <f>Rooster!C102</f>
        <v/>
      </c>
      <c r="D101" s="11" t="str">
        <f>Rooster!D102</f>
        <v/>
      </c>
      <c r="E101" s="426"/>
      <c r="F101" s="331" t="str">
        <f>Rooster!E102</f>
        <v/>
      </c>
      <c r="G101" s="319" t="str">
        <f>IFERROR(VLOOKUP(F101, Docenten!$A$2:$G$30, 7, FALSE), "0")</f>
        <v>0</v>
      </c>
      <c r="H101" s="320">
        <f t="shared" si="7"/>
        <v>0</v>
      </c>
      <c r="I101" s="331" t="str">
        <f>Rooster!H102</f>
        <v/>
      </c>
      <c r="J101" s="321" t="str">
        <f>IFERROR(VLOOKUP(I101, Locaties!$A$2:$G$15, 7, FALSE), "0")</f>
        <v>0</v>
      </c>
      <c r="K101" s="42">
        <f t="shared" si="2"/>
        <v>0</v>
      </c>
      <c r="L101" s="450">
        <f>SUM(L2:L100)</f>
        <v>139</v>
      </c>
      <c r="M101" s="451"/>
      <c r="N101" s="321" t="str">
        <f>IFERROR(VLOOKUP(M101, Tarieven!$A$1:$J$150, 10, FALSE), "0")</f>
        <v>0</v>
      </c>
      <c r="O101" s="450">
        <f>SUM(O2:O100)</f>
        <v>69</v>
      </c>
      <c r="P101" s="451"/>
      <c r="Q101" s="325" t="str">
        <f>IFERROR(VLOOKUP(P101, Tarieven!$A$2:$J$150, 10, FALSE), "0")</f>
        <v>0</v>
      </c>
      <c r="R101" s="454">
        <f>SUM(R2:R100)</f>
        <v>24</v>
      </c>
      <c r="S101" s="451"/>
      <c r="T101" s="325" t="str">
        <f>IFERROR(VLOOKUP(S101, Tarieven!$A$2:$J$150, 10, FALSE), "0")</f>
        <v>0</v>
      </c>
      <c r="U101" s="413">
        <f>SUM(U2:U100)</f>
        <v>13</v>
      </c>
      <c r="V101" s="85"/>
      <c r="W101" s="325" t="str">
        <f>IFERROR(VLOOKUP(V101, Tarieven!$A$2:$J$150, 10, FALSE), "0")</f>
        <v>0</v>
      </c>
      <c r="X101" s="413">
        <f>SUM(X2:X100)</f>
        <v>220</v>
      </c>
      <c r="Y101" s="398">
        <v>0.0</v>
      </c>
      <c r="Z101" s="329">
        <f>SUM(Z2:Z100)</f>
        <v>465</v>
      </c>
      <c r="AA101" s="32">
        <f t="shared" si="4"/>
        <v>0</v>
      </c>
      <c r="AB101" s="32">
        <f t="shared" si="5"/>
        <v>0</v>
      </c>
      <c r="AC101" s="32">
        <f t="shared" si="6"/>
        <v>0</v>
      </c>
    </row>
  </sheetData>
  <conditionalFormatting sqref="AG7">
    <cfRule type="cellIs" dxfId="7" priority="1" operator="lessThan">
      <formula>0</formula>
    </cfRule>
  </conditionalFormatting>
  <conditionalFormatting sqref="AC2:AC101">
    <cfRule type="cellIs" dxfId="7" priority="2" operator="lessThan">
      <formula>0</formula>
    </cfRule>
  </conditionalFormatting>
  <dataValidations>
    <dataValidation type="list" allowBlank="1" sqref="A2:A101">
      <formula1>"Maandag,Dinsdag,Woensdag,Donderdag,Vrijdag,Zaterdag,Zondag"</formula1>
    </dataValidation>
    <dataValidation type="custom" allowBlank="1" showDropDown="1" sqref="B2:B101">
      <formula1>OR(TIMEVALUE(TEXT(B2, "hh:mm:ss"))=B2, AND(ISNUMBER(B2), LEFT(CELL("format", B2))="D"))</formula1>
    </dataValidation>
    <dataValidation type="custom" allowBlank="1" showDropDown="1" sqref="L2:L101 N2:N101 AA2:AB101">
      <formula1>AND(ISNUMBER(L2),(NOT(OR(NOT(ISERROR(DATEVALUE(L2))), AND(ISNUMBER(L2), LEFT(CELL("format", L2))="D")))))</formula1>
    </dataValidation>
    <dataValidation type="list" allowBlank="1" sqref="F2:F101 I2:I101 M2:M101 P2:P101 S2:S101 V2:V101">
      <formula1>#REF!</formula1>
    </dataValidation>
    <dataValidation allowBlank="1" showDropDown="1" sqref="D2:D101"/>
    <dataValidation type="custom" allowBlank="1" showDropDown="1" sqref="C2:C101 E2:E101 G2:H101 J2:K101 O2:O101 Q2:R101 T2:U101 W2:Z101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5.33"/>
    <col customWidth="1" min="2" max="2" width="13.67"/>
    <col customWidth="1" min="3" max="3" width="14.22"/>
    <col customWidth="1" min="4" max="4" width="22.0"/>
    <col customWidth="1" min="5" max="5" width="17.11"/>
    <col customWidth="1" min="6" max="6" width="15.11"/>
    <col customWidth="1" hidden="1" min="7" max="7" width="15.11"/>
    <col customWidth="1" min="8" max="9" width="15.11"/>
    <col customWidth="1" hidden="1" min="10" max="10" width="15.44"/>
    <col customWidth="1" min="11" max="11" width="15.44"/>
    <col customWidth="1" min="12" max="12" width="17.56"/>
    <col customWidth="1" min="13" max="13" width="20.0"/>
    <col customWidth="1" min="14" max="14" width="16.78"/>
    <col customWidth="1" min="15" max="15" width="17.56"/>
    <col customWidth="1" min="16" max="16" width="20.0"/>
    <col customWidth="1" min="17" max="17" width="14.78"/>
    <col customWidth="1" min="18" max="18" width="17.56"/>
    <col customWidth="1" min="19" max="19" width="20.0"/>
    <col customWidth="1" min="20" max="20" width="13.78"/>
    <col customWidth="1" min="21" max="21" width="16.67"/>
    <col customWidth="1" min="22" max="22" width="18.56"/>
    <col customWidth="1" min="23" max="23" width="13.78"/>
    <col customWidth="1" min="24" max="24" width="21.0"/>
    <col customWidth="1" min="25" max="25" width="20.56"/>
    <col customWidth="1" min="26" max="26" width="18.0"/>
    <col customWidth="1" min="27" max="27" width="16.33"/>
    <col customWidth="1" min="28" max="28" width="19.22"/>
    <col customWidth="1" min="29" max="30" width="16.89"/>
    <col customWidth="1" min="31" max="31" width="16.78"/>
    <col customWidth="1" min="32" max="32" width="16.89"/>
    <col customWidth="1" min="33" max="34" width="17.0"/>
  </cols>
  <sheetData>
    <row r="1" ht="22.5" customHeight="1">
      <c r="A1" s="1" t="s">
        <v>94</v>
      </c>
      <c r="B1" s="1" t="s">
        <v>95</v>
      </c>
      <c r="C1" s="1" t="s">
        <v>273</v>
      </c>
      <c r="D1" s="1" t="s">
        <v>98</v>
      </c>
      <c r="E1" s="302" t="s">
        <v>274</v>
      </c>
      <c r="F1" s="302" t="s">
        <v>99</v>
      </c>
      <c r="G1" s="303" t="s">
        <v>100</v>
      </c>
      <c r="H1" s="303" t="s">
        <v>275</v>
      </c>
      <c r="I1" s="304" t="s">
        <v>102</v>
      </c>
      <c r="J1" s="304" t="s">
        <v>103</v>
      </c>
      <c r="K1" s="304" t="s">
        <v>104</v>
      </c>
      <c r="L1" s="422" t="s">
        <v>276</v>
      </c>
      <c r="M1" s="422" t="s">
        <v>298</v>
      </c>
      <c r="N1" s="306" t="s">
        <v>278</v>
      </c>
      <c r="O1" s="423" t="s">
        <v>279</v>
      </c>
      <c r="P1" s="392" t="s">
        <v>300</v>
      </c>
      <c r="Q1" s="308" t="s">
        <v>281</v>
      </c>
      <c r="R1" s="424" t="s">
        <v>282</v>
      </c>
      <c r="S1" s="424" t="s">
        <v>302</v>
      </c>
      <c r="T1" s="310" t="s">
        <v>284</v>
      </c>
      <c r="U1" s="393" t="s">
        <v>285</v>
      </c>
      <c r="V1" s="393" t="s">
        <v>304</v>
      </c>
      <c r="W1" s="311" t="s">
        <v>305</v>
      </c>
      <c r="X1" s="394" t="s">
        <v>306</v>
      </c>
      <c r="Y1" s="395" t="s">
        <v>307</v>
      </c>
      <c r="Z1" s="314" t="s">
        <v>294</v>
      </c>
      <c r="AA1" s="314" t="s">
        <v>295</v>
      </c>
      <c r="AB1" s="1" t="s">
        <v>308</v>
      </c>
      <c r="AC1" s="1" t="s">
        <v>297</v>
      </c>
    </row>
    <row r="2" ht="22.5" customHeight="1">
      <c r="A2" s="331" t="str">
        <f>Rooster!A3</f>
        <v/>
      </c>
      <c r="B2" s="396" t="str">
        <f>Rooster!B3</f>
        <v/>
      </c>
      <c r="C2" s="15" t="str">
        <f>Rooster!C3</f>
        <v/>
      </c>
      <c r="D2" s="11" t="str">
        <f>Rooster!D3</f>
        <v/>
      </c>
      <c r="E2" s="77"/>
      <c r="F2" s="327" t="str">
        <f>Rooster!E3</f>
        <v/>
      </c>
      <c r="G2" s="319" t="str">
        <f>IFERROR(VLOOKUP(F2, Docenten!$A$2:$G$30, 7, FALSE), "0")</f>
        <v>0</v>
      </c>
      <c r="H2" s="320">
        <f t="shared" ref="H2:H42" si="1">SUM(G2/60)*C2</f>
        <v>0</v>
      </c>
      <c r="I2" s="327" t="str">
        <f>Rooster!H3</f>
        <v/>
      </c>
      <c r="J2" s="321" t="str">
        <f>IFERROR(VLOOKUP(I2, Locaties!$A$2:$G$15, 7, FALSE), "0")</f>
        <v>0</v>
      </c>
      <c r="K2" s="42">
        <f t="shared" ref="K2:K101" si="2">SUM(J2/60)*C2</f>
        <v>0</v>
      </c>
      <c r="L2" s="427" t="str">
        <f>Februari!L2</f>
        <v/>
      </c>
      <c r="M2" s="428" t="str">
        <f>Februari!M2</f>
        <v/>
      </c>
      <c r="N2" s="321" t="str">
        <f>IFERROR(VLOOKUP(M2, Tarieven!$A$1:$J$150, 10, FALSE), "0")</f>
        <v>0</v>
      </c>
      <c r="O2" s="427" t="str">
        <f>Februari!O2</f>
        <v/>
      </c>
      <c r="P2" s="428" t="str">
        <f>Februari!P2</f>
        <v/>
      </c>
      <c r="Q2" s="325" t="str">
        <f>IFERROR(VLOOKUP(P2, Tarieven!$A$2:$J$150, 10, FALSE), "0")</f>
        <v>0</v>
      </c>
      <c r="R2" s="444" t="str">
        <f>Februari!R2</f>
        <v/>
      </c>
      <c r="S2" s="428" t="str">
        <f>Februari!S2</f>
        <v/>
      </c>
      <c r="T2" s="325" t="str">
        <f>IFERROR(VLOOKUP(S2, Tarieven!$A$2:$J$150, 10, FALSE), "0")</f>
        <v>0</v>
      </c>
      <c r="U2" s="77" t="str">
        <f>Februari!U2</f>
        <v/>
      </c>
      <c r="V2" s="327" t="str">
        <f>Februari!V2</f>
        <v/>
      </c>
      <c r="W2" s="325" t="str">
        <f>IFERROR(VLOOKUP(V2, Tarieven!$A$2:$J$150, 10, FALSE), "0")</f>
        <v>0</v>
      </c>
      <c r="X2" s="138">
        <f>Februari!X2</f>
        <v>0</v>
      </c>
      <c r="Y2" s="398">
        <v>0.0</v>
      </c>
      <c r="Z2" s="329">
        <f t="shared" ref="Z2:Z100" si="3">SUM(L2+O2+R2+U2+X2)</f>
        <v>0</v>
      </c>
      <c r="AA2" s="32">
        <f t="shared" ref="AA2:AA101" si="4">SUM(H2+K2)*E2</f>
        <v>0</v>
      </c>
      <c r="AB2" s="32">
        <f t="shared" ref="AB2:AB101" si="5">SUM((L2*N2)+(O2*Q2)+(R2*T2)+(U2*W2)+Y2)</f>
        <v>0</v>
      </c>
      <c r="AC2" s="32">
        <f t="shared" ref="AC2:AC101" si="6">SUM(AB2-AA2)</f>
        <v>0</v>
      </c>
      <c r="AE2" s="154" t="s">
        <v>309</v>
      </c>
      <c r="AF2" s="154" t="s">
        <v>310</v>
      </c>
      <c r="AG2" s="109" t="s">
        <v>311</v>
      </c>
    </row>
    <row r="3" ht="22.5" customHeight="1">
      <c r="A3" s="331" t="str">
        <f>Rooster!A4</f>
        <v/>
      </c>
      <c r="B3" s="396" t="str">
        <f>Rooster!B4</f>
        <v/>
      </c>
      <c r="C3" s="15" t="str">
        <f>Rooster!C4</f>
        <v/>
      </c>
      <c r="D3" s="11" t="str">
        <f>Rooster!D4</f>
        <v/>
      </c>
      <c r="E3" s="77"/>
      <c r="F3" s="327" t="str">
        <f>Rooster!E4</f>
        <v/>
      </c>
      <c r="G3" s="319" t="str">
        <f>IFERROR(VLOOKUP(F3, Docenten!$A$2:$G$30, 7, FALSE), "0")</f>
        <v>0</v>
      </c>
      <c r="H3" s="320">
        <f t="shared" si="1"/>
        <v>0</v>
      </c>
      <c r="I3" s="327" t="str">
        <f>Rooster!H4</f>
        <v/>
      </c>
      <c r="J3" s="321" t="str">
        <f>IFERROR(VLOOKUP(I3, Locaties!$A$2:$G$15, 7, FALSE), "0")</f>
        <v>0</v>
      </c>
      <c r="K3" s="42">
        <f t="shared" si="2"/>
        <v>0</v>
      </c>
      <c r="L3" s="427" t="str">
        <f>Februari!L3</f>
        <v/>
      </c>
      <c r="M3" s="428" t="str">
        <f>Februari!M3</f>
        <v/>
      </c>
      <c r="N3" s="321" t="str">
        <f>IFERROR(VLOOKUP(M3, Tarieven!$A$1:$J$150, 10, FALSE), "0")</f>
        <v>0</v>
      </c>
      <c r="O3" s="427" t="str">
        <f>Februari!O3</f>
        <v/>
      </c>
      <c r="P3" s="428" t="str">
        <f>Februari!P3</f>
        <v/>
      </c>
      <c r="Q3" s="325" t="str">
        <f>IFERROR(VLOOKUP(P3, Tarieven!$A$2:$J$150, 10, FALSE), "0")</f>
        <v>0</v>
      </c>
      <c r="R3" s="444" t="str">
        <f>Februari!R3</f>
        <v/>
      </c>
      <c r="S3" s="428" t="str">
        <f>Februari!S3</f>
        <v/>
      </c>
      <c r="T3" s="325" t="str">
        <f>IFERROR(VLOOKUP(S3, Tarieven!$A$2:$J$150, 10, FALSE), "0")</f>
        <v>0</v>
      </c>
      <c r="U3" s="77" t="str">
        <f>Februari!U3</f>
        <v/>
      </c>
      <c r="V3" s="327" t="str">
        <f>Februari!V3</f>
        <v/>
      </c>
      <c r="W3" s="325" t="str">
        <f>IFERROR(VLOOKUP(V3, Tarieven!$A$2:$J$150, 10, FALSE), "0")</f>
        <v>0</v>
      </c>
      <c r="X3" s="138">
        <f>Februari!X3</f>
        <v>0</v>
      </c>
      <c r="Y3" s="398">
        <v>0.0</v>
      </c>
      <c r="Z3" s="329">
        <f t="shared" si="3"/>
        <v>0</v>
      </c>
      <c r="AA3" s="32">
        <f t="shared" si="4"/>
        <v>0</v>
      </c>
      <c r="AB3" s="32">
        <f t="shared" si="5"/>
        <v>0</v>
      </c>
      <c r="AC3" s="32">
        <f t="shared" si="6"/>
        <v>0</v>
      </c>
      <c r="AD3" s="130"/>
      <c r="AE3" s="159" t="s">
        <v>312</v>
      </c>
      <c r="AF3" s="32">
        <f>SUM(AB2:AB101)</f>
        <v>8361.350333</v>
      </c>
      <c r="AG3" s="160"/>
    </row>
    <row r="4" ht="22.5" customHeight="1">
      <c r="A4" s="331" t="str">
        <f>Rooster!A5</f>
        <v>Maandag</v>
      </c>
      <c r="B4" s="396">
        <f>Rooster!B5</f>
        <v>0.625</v>
      </c>
      <c r="C4" s="15">
        <f>Rooster!C5</f>
        <v>60</v>
      </c>
      <c r="D4" s="11" t="str">
        <f>Rooster!D5</f>
        <v>Kleuterdans</v>
      </c>
      <c r="E4" s="77"/>
      <c r="F4" s="327"/>
      <c r="G4" s="319" t="str">
        <f>IFERROR(VLOOKUP(F4, Docenten!$A$2:$G$30, 7, FALSE), "0")</f>
        <v>0</v>
      </c>
      <c r="H4" s="320">
        <f t="shared" si="1"/>
        <v>0</v>
      </c>
      <c r="I4" s="327"/>
      <c r="J4" s="321" t="str">
        <f>IFERROR(VLOOKUP(I4, Locaties!$A$2:$G$15, 7, FALSE), "0")</f>
        <v>0</v>
      </c>
      <c r="K4" s="42">
        <f t="shared" si="2"/>
        <v>0</v>
      </c>
      <c r="L4" s="427" t="str">
        <f>Februari!L4</f>
        <v/>
      </c>
      <c r="M4" s="428" t="str">
        <f>Februari!M4</f>
        <v/>
      </c>
      <c r="N4" s="321" t="str">
        <f>IFERROR(VLOOKUP(M4, Tarieven!$A$1:$J$150, 10, FALSE), "0")</f>
        <v>0</v>
      </c>
      <c r="O4" s="427" t="str">
        <f>Februari!O4</f>
        <v/>
      </c>
      <c r="P4" s="428" t="str">
        <f>Februari!P4</f>
        <v/>
      </c>
      <c r="Q4" s="325" t="str">
        <f>IFERROR(VLOOKUP(P4, Tarieven!$A$2:$J$150, 10, FALSE), "0")</f>
        <v>0</v>
      </c>
      <c r="R4" s="444" t="str">
        <f>Februari!R4</f>
        <v/>
      </c>
      <c r="S4" s="428" t="str">
        <f>Februari!S4</f>
        <v/>
      </c>
      <c r="T4" s="325" t="str">
        <f>IFERROR(VLOOKUP(S4, Tarieven!$A$2:$J$150, 10, FALSE), "0")</f>
        <v>0</v>
      </c>
      <c r="U4" s="77" t="str">
        <f>Februari!U4</f>
        <v/>
      </c>
      <c r="V4" s="327" t="str">
        <f>Februari!V4</f>
        <v/>
      </c>
      <c r="W4" s="325" t="str">
        <f>IFERROR(VLOOKUP(V4, Tarieven!$A$2:$J$150, 10, FALSE), "0")</f>
        <v>0</v>
      </c>
      <c r="X4" s="138">
        <f>Februari!X4</f>
        <v>0</v>
      </c>
      <c r="Y4" s="398">
        <v>0.0</v>
      </c>
      <c r="Z4" s="329">
        <f t="shared" si="3"/>
        <v>0</v>
      </c>
      <c r="AA4" s="32">
        <f t="shared" si="4"/>
        <v>0</v>
      </c>
      <c r="AB4" s="32">
        <f t="shared" si="5"/>
        <v>0</v>
      </c>
      <c r="AC4" s="32">
        <f t="shared" si="6"/>
        <v>0</v>
      </c>
      <c r="AD4" s="130"/>
      <c r="AE4" s="159" t="s">
        <v>313</v>
      </c>
      <c r="AF4" s="32">
        <f>'Extra activiteiten'!K9</f>
        <v>2195</v>
      </c>
      <c r="AG4" s="159"/>
    </row>
    <row r="5" ht="22.5" customHeight="1">
      <c r="A5" s="17" t="s">
        <v>112</v>
      </c>
      <c r="B5" s="396">
        <v>0.625</v>
      </c>
      <c r="C5" s="15">
        <v>60.0</v>
      </c>
      <c r="D5" s="11" t="s">
        <v>130</v>
      </c>
      <c r="E5" s="77">
        <v>0.0</v>
      </c>
      <c r="F5" s="70" t="s">
        <v>56</v>
      </c>
      <c r="G5" s="319">
        <f>IFERROR(VLOOKUP(F5, Docenten!$A$2:$G$30, 7, FALSE), "0")</f>
        <v>22.5</v>
      </c>
      <c r="H5" s="320">
        <f t="shared" si="1"/>
        <v>22.5</v>
      </c>
      <c r="I5" s="327" t="str">
        <f>Rooster!H6</f>
        <v>Santpoort Zuid</v>
      </c>
      <c r="J5" s="321"/>
      <c r="K5" s="42">
        <f t="shared" si="2"/>
        <v>0</v>
      </c>
      <c r="L5" s="427" t="str">
        <f>Februari!L5</f>
        <v/>
      </c>
      <c r="M5" s="428" t="str">
        <f>Februari!M5</f>
        <v/>
      </c>
      <c r="N5" s="321" t="str">
        <f>IFERROR(VLOOKUP(M5, Tarieven!$A$1:$J$150, 10, FALSE), "0")</f>
        <v>0</v>
      </c>
      <c r="O5" s="427" t="str">
        <f>Februari!O5</f>
        <v/>
      </c>
      <c r="P5" s="428" t="str">
        <f>Februari!P5</f>
        <v/>
      </c>
      <c r="Q5" s="325" t="str">
        <f>IFERROR(VLOOKUP(P5, Tarieven!$A$2:$J$150, 10, FALSE), "0")</f>
        <v>0</v>
      </c>
      <c r="R5" s="444" t="str">
        <f>Februari!R5</f>
        <v/>
      </c>
      <c r="S5" s="428" t="str">
        <f>Februari!S5</f>
        <v/>
      </c>
      <c r="T5" s="325" t="str">
        <f>IFERROR(VLOOKUP(S5, Tarieven!$A$2:$J$150, 10, FALSE), "0")</f>
        <v>0</v>
      </c>
      <c r="U5" s="77" t="str">
        <f>Februari!U5</f>
        <v/>
      </c>
      <c r="V5" s="327" t="str">
        <f>Februari!V5</f>
        <v/>
      </c>
      <c r="W5" s="325" t="str">
        <f>IFERROR(VLOOKUP(V5, Tarieven!$A$2:$J$150, 10, FALSE), "0")</f>
        <v>0</v>
      </c>
      <c r="X5" s="138">
        <f>Februari!X5</f>
        <v>0</v>
      </c>
      <c r="Y5" s="398">
        <v>0.0</v>
      </c>
      <c r="Z5" s="329">
        <f t="shared" si="3"/>
        <v>0</v>
      </c>
      <c r="AA5" s="32">
        <f t="shared" si="4"/>
        <v>0</v>
      </c>
      <c r="AB5" s="32">
        <f t="shared" si="5"/>
        <v>0</v>
      </c>
      <c r="AC5" s="32">
        <f t="shared" si="6"/>
        <v>0</v>
      </c>
      <c r="AE5" s="159" t="s">
        <v>314</v>
      </c>
      <c r="AF5" s="32">
        <f>SUM(Maart[Kosten per maand])</f>
        <v>4886.95</v>
      </c>
      <c r="AG5" s="159"/>
    </row>
    <row r="6" ht="22.5" customHeight="1">
      <c r="A6" s="331" t="str">
        <f>Rooster!A7</f>
        <v>Maandag</v>
      </c>
      <c r="B6" s="396">
        <f>Rooster!B7</f>
        <v>0.6666666667</v>
      </c>
      <c r="C6" s="15">
        <f>Rooster!C7</f>
        <v>60</v>
      </c>
      <c r="D6" s="11" t="str">
        <f>Rooster!D7</f>
        <v>Urban-Pop-Show 10+</v>
      </c>
      <c r="E6" s="77">
        <v>5.0</v>
      </c>
      <c r="F6" s="70" t="s">
        <v>318</v>
      </c>
      <c r="G6" s="319" t="str">
        <f>IFERROR(VLOOKUP(F6, Docenten!$A$2:$G$30, 7, FALSE), "0")</f>
        <v>0</v>
      </c>
      <c r="H6" s="320">
        <f t="shared" si="1"/>
        <v>0</v>
      </c>
      <c r="I6" s="327" t="str">
        <f>Rooster!H7</f>
        <v>Santpoort Zuid</v>
      </c>
      <c r="J6" s="321">
        <f>IFERROR(VLOOKUP(I6, Locaties!$A$2:$G$15, 7, FALSE), "0")</f>
        <v>18.9</v>
      </c>
      <c r="K6" s="42">
        <f t="shared" si="2"/>
        <v>18.9</v>
      </c>
      <c r="L6" s="427">
        <f>Februari!L6</f>
        <v>7</v>
      </c>
      <c r="M6" s="428" t="str">
        <f>Februari!M6</f>
        <v>1x per week abbo</v>
      </c>
      <c r="N6" s="321">
        <f>IFERROR(VLOOKUP(M6, Tarieven!$A$1:$J$150, 10, FALSE), "0")</f>
        <v>31</v>
      </c>
      <c r="O6" s="427">
        <f>Februari!O6</f>
        <v>1</v>
      </c>
      <c r="P6" s="428" t="str">
        <f>Februari!P6</f>
        <v>Cheer regulier +1 abbo</v>
      </c>
      <c r="Q6" s="325">
        <f>IFERROR(VLOOKUP(P6, Tarieven!$A$2:$J$150, 10, FALSE), "0")</f>
        <v>32.25</v>
      </c>
      <c r="R6" s="444">
        <f>Februari!R6</f>
        <v>1</v>
      </c>
      <c r="S6" s="428" t="str">
        <f>Februari!S6</f>
        <v>2x per week abbo</v>
      </c>
      <c r="T6" s="325">
        <f>IFERROR(VLOOKUP(S6, Tarieven!$A$2:$J$150, 10, FALSE), "0")</f>
        <v>28.55</v>
      </c>
      <c r="U6" s="77">
        <f>Februari!U6</f>
        <v>1</v>
      </c>
      <c r="V6" s="327" t="str">
        <f>Februari!V6</f>
        <v>Cheer regulier + onbeperkt abbo</v>
      </c>
      <c r="W6" s="325">
        <f>IFERROR(VLOOKUP(V6, Tarieven!$A$2:$J$150, 10, FALSE), "0")</f>
        <v>44.45</v>
      </c>
      <c r="X6" s="138">
        <f>Februari!X6</f>
        <v>4</v>
      </c>
      <c r="Y6" s="398">
        <v>0.0</v>
      </c>
      <c r="Z6" s="329">
        <f t="shared" si="3"/>
        <v>14</v>
      </c>
      <c r="AA6" s="32">
        <f t="shared" si="4"/>
        <v>94.5</v>
      </c>
      <c r="AB6" s="32">
        <f t="shared" si="5"/>
        <v>322.25</v>
      </c>
      <c r="AC6" s="32">
        <f t="shared" si="6"/>
        <v>227.75</v>
      </c>
      <c r="AD6" s="130"/>
      <c r="AE6" s="159" t="s">
        <v>315</v>
      </c>
      <c r="AF6" s="408">
        <f>Kosten!I69</f>
        <v>6174.72</v>
      </c>
      <c r="AG6" s="159" t="s">
        <v>316</v>
      </c>
    </row>
    <row r="7" ht="22.5" customHeight="1">
      <c r="A7" s="331" t="str">
        <f>Rooster!A8</f>
        <v>Maandag</v>
      </c>
      <c r="B7" s="396">
        <f>Rooster!B8</f>
        <v>0.7083333333</v>
      </c>
      <c r="C7" s="15">
        <f>Rooster!C8</f>
        <v>60</v>
      </c>
      <c r="D7" s="11" t="str">
        <f>Rooster!D8</f>
        <v>Urban-Pop-Show 12+</v>
      </c>
      <c r="E7" s="77">
        <v>5.0</v>
      </c>
      <c r="F7" s="327" t="str">
        <f>Rooster!E8</f>
        <v>Nova</v>
      </c>
      <c r="G7" s="319">
        <f>IFERROR(VLOOKUP(F7, Docenten!$A$2:$G$30, 7, FALSE), "0")</f>
        <v>22.5</v>
      </c>
      <c r="H7" s="320">
        <f t="shared" si="1"/>
        <v>22.5</v>
      </c>
      <c r="I7" s="327" t="str">
        <f>Rooster!H8</f>
        <v>Santpoort Zuid</v>
      </c>
      <c r="J7" s="321">
        <f>IFERROR(VLOOKUP(I7, Locaties!$A$2:$G$15, 7, FALSE), "0")</f>
        <v>18.9</v>
      </c>
      <c r="K7" s="42">
        <f t="shared" si="2"/>
        <v>18.9</v>
      </c>
      <c r="L7" s="427">
        <f>Februari!L7</f>
        <v>3</v>
      </c>
      <c r="M7" s="428" t="str">
        <f>Februari!M7</f>
        <v>2x per week abbo</v>
      </c>
      <c r="N7" s="321">
        <f>IFERROR(VLOOKUP(M7, Tarieven!$A$1:$J$150, 10, FALSE), "0")</f>
        <v>28.55</v>
      </c>
      <c r="O7" s="427">
        <f>Februari!O7</f>
        <v>1</v>
      </c>
      <c r="P7" s="428" t="str">
        <f>Februari!P7</f>
        <v>1x per week </v>
      </c>
      <c r="Q7" s="325">
        <f>IFERROR(VLOOKUP(P7, Tarieven!$A$2:$J$150, 10, FALSE), "0")</f>
        <v>279</v>
      </c>
      <c r="R7" s="444">
        <f>Februari!R7</f>
        <v>1</v>
      </c>
      <c r="S7" s="428" t="str">
        <f>Februari!S7</f>
        <v>Cheer regulier +1 abbo</v>
      </c>
      <c r="T7" s="325">
        <f>IFERROR(VLOOKUP(S7, Tarieven!$A$2:$J$150, 10, FALSE), "0")</f>
        <v>32.25</v>
      </c>
      <c r="U7" s="77" t="str">
        <f>Februari!U7</f>
        <v/>
      </c>
      <c r="V7" s="327" t="str">
        <f>Februari!V7</f>
        <v/>
      </c>
      <c r="W7" s="325" t="str">
        <f>IFERROR(VLOOKUP(V7, Tarieven!$A$2:$J$150, 10, FALSE), "0")</f>
        <v>0</v>
      </c>
      <c r="X7" s="138">
        <f>Februari!X7</f>
        <v>11</v>
      </c>
      <c r="Y7" s="398">
        <v>0.0</v>
      </c>
      <c r="Z7" s="329">
        <f t="shared" si="3"/>
        <v>16</v>
      </c>
      <c r="AA7" s="32">
        <f t="shared" si="4"/>
        <v>207</v>
      </c>
      <c r="AB7" s="32">
        <f t="shared" si="5"/>
        <v>396.9</v>
      </c>
      <c r="AC7" s="32">
        <f t="shared" si="6"/>
        <v>189.9</v>
      </c>
      <c r="AD7" s="409"/>
      <c r="AE7" s="410" t="s">
        <v>317</v>
      </c>
      <c r="AF7" s="411">
        <f>SUM(AF3+AF4)-AF5-AF6</f>
        <v>-505.3196667</v>
      </c>
      <c r="AG7" s="412">
        <f>'Doel vs Werkelijkheid'!B2</f>
        <v>3000</v>
      </c>
    </row>
    <row r="8" ht="22.5" customHeight="1">
      <c r="A8" s="331" t="str">
        <f>Rooster!A9</f>
        <v>Maandag</v>
      </c>
      <c r="B8" s="396">
        <f>Rooster!B9</f>
        <v>0.75</v>
      </c>
      <c r="C8" s="15">
        <f>Rooster!C9</f>
        <v>60</v>
      </c>
      <c r="D8" s="11" t="str">
        <f>Rooster!D9</f>
        <v>Selectie Show</v>
      </c>
      <c r="E8" s="77">
        <v>5.0</v>
      </c>
      <c r="F8" s="327" t="str">
        <f>Rooster!E9</f>
        <v>Nova</v>
      </c>
      <c r="G8" s="319">
        <f>IFERROR(VLOOKUP(F8, Docenten!$A$2:$G$30, 7, FALSE), "0")</f>
        <v>22.5</v>
      </c>
      <c r="H8" s="320">
        <f t="shared" si="1"/>
        <v>22.5</v>
      </c>
      <c r="I8" s="327" t="str">
        <f>Rooster!H9</f>
        <v>Santpoort Zuid</v>
      </c>
      <c r="J8" s="321">
        <f>IFERROR(VLOOKUP(I8, Locaties!$A$2:$G$15, 7, FALSE), "0")</f>
        <v>18.9</v>
      </c>
      <c r="K8" s="42">
        <f t="shared" si="2"/>
        <v>18.9</v>
      </c>
      <c r="L8" s="427" t="str">
        <f>Februari!L8</f>
        <v/>
      </c>
      <c r="M8" s="428" t="str">
        <f>Februari!M8</f>
        <v/>
      </c>
      <c r="N8" s="321" t="str">
        <f>IFERROR(VLOOKUP(M8, Tarieven!$A$1:$J$150, 10, FALSE), "0")</f>
        <v>0</v>
      </c>
      <c r="O8" s="427">
        <f>Februari!O8</f>
        <v>3</v>
      </c>
      <c r="P8" s="428" t="str">
        <f>Februari!P8</f>
        <v>2x per week abbo</v>
      </c>
      <c r="Q8" s="325">
        <f>IFERROR(VLOOKUP(P8, Tarieven!$A$2:$J$150, 10, FALSE), "0")</f>
        <v>28.55</v>
      </c>
      <c r="R8" s="444">
        <f>Februari!R8</f>
        <v>2</v>
      </c>
      <c r="S8" s="428" t="str">
        <f>Februari!S8</f>
        <v>3x per week abbo</v>
      </c>
      <c r="T8" s="325">
        <f>IFERROR(VLOOKUP(S8, Tarieven!$A$2:$J$150, 10, FALSE), "0")</f>
        <v>28.93333333</v>
      </c>
      <c r="U8" s="77">
        <f>Februari!U8</f>
        <v>3</v>
      </c>
      <c r="V8" s="327" t="str">
        <f>Februari!V8</f>
        <v>Onbeperkt abbo</v>
      </c>
      <c r="W8" s="325">
        <f>IFERROR(VLOOKUP(V8, Tarieven!$A$2:$J$150, 10, FALSE), "0")</f>
        <v>27</v>
      </c>
      <c r="X8" s="138">
        <f>Februari!X8</f>
        <v>4</v>
      </c>
      <c r="Y8" s="398">
        <v>0.0</v>
      </c>
      <c r="Z8" s="329">
        <f t="shared" si="3"/>
        <v>12</v>
      </c>
      <c r="AA8" s="32">
        <f t="shared" si="4"/>
        <v>207</v>
      </c>
      <c r="AB8" s="32">
        <f t="shared" si="5"/>
        <v>224.5166667</v>
      </c>
      <c r="AC8" s="32">
        <f t="shared" si="6"/>
        <v>17.51666667</v>
      </c>
      <c r="AE8" s="160"/>
      <c r="AF8" s="160"/>
      <c r="AG8" s="160"/>
    </row>
    <row r="9" ht="22.5" customHeight="1">
      <c r="A9" s="331" t="str">
        <f>Rooster!A10</f>
        <v>Maandag</v>
      </c>
      <c r="B9" s="396">
        <f>Rooster!B10</f>
        <v>0.7916666667</v>
      </c>
      <c r="C9" s="15">
        <f>Rooster!C10</f>
        <v>60</v>
      </c>
      <c r="D9" s="11" t="str">
        <f>Rooster!D10</f>
        <v>Commercial 16+</v>
      </c>
      <c r="E9" s="77">
        <v>5.0</v>
      </c>
      <c r="F9" s="327" t="str">
        <f>Rooster!E10</f>
        <v>Nova</v>
      </c>
      <c r="G9" s="319">
        <f>IFERROR(VLOOKUP(F9, Docenten!$A$2:$G$30, 7, FALSE), "0")</f>
        <v>22.5</v>
      </c>
      <c r="H9" s="320">
        <f t="shared" si="1"/>
        <v>22.5</v>
      </c>
      <c r="I9" s="327" t="str">
        <f>Rooster!H10</f>
        <v>Santpoort Zuid</v>
      </c>
      <c r="J9" s="321">
        <f>IFERROR(VLOOKUP(I9, Locaties!$A$2:$G$15, 7, FALSE), "0")</f>
        <v>18.9</v>
      </c>
      <c r="K9" s="42">
        <f t="shared" si="2"/>
        <v>18.9</v>
      </c>
      <c r="L9" s="427">
        <f>Februari!L9</f>
        <v>2</v>
      </c>
      <c r="M9" s="428" t="str">
        <f>Februari!M9</f>
        <v>3x per week abbo</v>
      </c>
      <c r="N9" s="321">
        <f>IFERROR(VLOOKUP(M9, Tarieven!$A$1:$J$150, 10, FALSE), "0")</f>
        <v>28.93333333</v>
      </c>
      <c r="O9" s="427">
        <f>Februari!O9</f>
        <v>3</v>
      </c>
      <c r="P9" s="428" t="str">
        <f>Februari!P9</f>
        <v>2x per week abbo</v>
      </c>
      <c r="Q9" s="325">
        <f>IFERROR(VLOOKUP(P9, Tarieven!$A$2:$J$150, 10, FALSE), "0")</f>
        <v>28.55</v>
      </c>
      <c r="R9" s="444">
        <f>Februari!R9</f>
        <v>2</v>
      </c>
      <c r="S9" s="428" t="str">
        <f>Februari!S9</f>
        <v>Onbeperkt abbo</v>
      </c>
      <c r="T9" s="325">
        <f>IFERROR(VLOOKUP(S9, Tarieven!$A$2:$J$150, 10, FALSE), "0")</f>
        <v>27</v>
      </c>
      <c r="U9" s="77">
        <f>Februari!U9</f>
        <v>2</v>
      </c>
      <c r="V9" s="327" t="str">
        <f>Februari!V9</f>
        <v>1x per week abbo</v>
      </c>
      <c r="W9" s="325">
        <f>IFERROR(VLOOKUP(V9, Tarieven!$A$2:$J$150, 10, FALSE), "0")</f>
        <v>31</v>
      </c>
      <c r="X9" s="138">
        <f>Februari!X9</f>
        <v>5</v>
      </c>
      <c r="Y9" s="398">
        <v>0.0</v>
      </c>
      <c r="Z9" s="329">
        <f t="shared" si="3"/>
        <v>14</v>
      </c>
      <c r="AA9" s="32">
        <f t="shared" si="4"/>
        <v>207</v>
      </c>
      <c r="AB9" s="32">
        <f t="shared" si="5"/>
        <v>259.5166667</v>
      </c>
      <c r="AC9" s="32">
        <f t="shared" si="6"/>
        <v>52.51666667</v>
      </c>
      <c r="AE9" s="159" t="s">
        <v>19</v>
      </c>
      <c r="AF9" s="413">
        <f>Z101</f>
        <v>468</v>
      </c>
      <c r="AG9" s="160"/>
    </row>
    <row r="10" ht="22.5" customHeight="1">
      <c r="A10" s="331" t="str">
        <f>Rooster!A11</f>
        <v>Maandag</v>
      </c>
      <c r="B10" s="396">
        <f>Rooster!B11</f>
        <v>0.8333333333</v>
      </c>
      <c r="C10" s="15">
        <f>Rooster!C11</f>
        <v>60</v>
      </c>
      <c r="D10" s="11" t="str">
        <f>Rooster!D11</f>
        <v>Commercial 20+</v>
      </c>
      <c r="E10" s="77">
        <v>5.0</v>
      </c>
      <c r="F10" s="327" t="str">
        <f>Rooster!E11</f>
        <v>Nova</v>
      </c>
      <c r="G10" s="319">
        <f>IFERROR(VLOOKUP(F10, Docenten!$A$2:$G$30, 7, FALSE), "0")</f>
        <v>22.5</v>
      </c>
      <c r="H10" s="320">
        <f t="shared" si="1"/>
        <v>22.5</v>
      </c>
      <c r="I10" s="327" t="str">
        <f>Rooster!H11</f>
        <v>Santpoort Zuid</v>
      </c>
      <c r="J10" s="321">
        <f>IFERROR(VLOOKUP(I10, Locaties!$A$2:$G$15, 7, FALSE), "0")</f>
        <v>18.9</v>
      </c>
      <c r="K10" s="42">
        <f t="shared" si="2"/>
        <v>18.9</v>
      </c>
      <c r="L10" s="427">
        <f>Februari!L10</f>
        <v>5</v>
      </c>
      <c r="M10" s="428" t="str">
        <f>Februari!M10</f>
        <v>Volwassenen 2x abbo</v>
      </c>
      <c r="N10" s="321">
        <f>IFERROR(VLOOKUP(M10, Tarieven!$A$1:$J$150, 10, FALSE), "0")</f>
        <v>27.255</v>
      </c>
      <c r="O10" s="427">
        <f>Februari!O10</f>
        <v>2</v>
      </c>
      <c r="P10" s="428" t="str">
        <f>Februari!P10</f>
        <v>Volwassenen 1x abbo</v>
      </c>
      <c r="Q10" s="325">
        <f>IFERROR(VLOOKUP(P10, Tarieven!$A$2:$J$150, 10, FALSE), "0")</f>
        <v>25.596</v>
      </c>
      <c r="R10" s="444" t="str">
        <f>Februari!R10</f>
        <v/>
      </c>
      <c r="S10" s="428" t="str">
        <f>Februari!S10</f>
        <v/>
      </c>
      <c r="T10" s="325" t="str">
        <f>IFERROR(VLOOKUP(S10, Tarieven!$A$2:$J$150, 10, FALSE), "0")</f>
        <v>0</v>
      </c>
      <c r="U10" s="77" t="str">
        <f>Februari!U10</f>
        <v/>
      </c>
      <c r="V10" s="327" t="str">
        <f>Februari!V10</f>
        <v/>
      </c>
      <c r="W10" s="325" t="str">
        <f>IFERROR(VLOOKUP(V10, Tarieven!$A$2:$J$150, 10, FALSE), "0")</f>
        <v>0</v>
      </c>
      <c r="X10" s="138">
        <f>Februari!X10</f>
        <v>8</v>
      </c>
      <c r="Y10" s="398">
        <v>0.0</v>
      </c>
      <c r="Z10" s="329">
        <f t="shared" si="3"/>
        <v>15</v>
      </c>
      <c r="AA10" s="32">
        <f t="shared" si="4"/>
        <v>207</v>
      </c>
      <c r="AB10" s="32">
        <f t="shared" si="5"/>
        <v>187.467</v>
      </c>
      <c r="AC10" s="32">
        <f t="shared" si="6"/>
        <v>-19.533</v>
      </c>
      <c r="AE10" s="330"/>
      <c r="AF10" s="330"/>
    </row>
    <row r="11" ht="22.5" customHeight="1">
      <c r="A11" s="331" t="str">
        <f>Rooster!A12</f>
        <v>Maandag</v>
      </c>
      <c r="B11" s="396">
        <f>Rooster!B12</f>
        <v>0.875</v>
      </c>
      <c r="C11" s="15">
        <f>Rooster!C12</f>
        <v>60</v>
      </c>
      <c r="D11" s="11" t="str">
        <f>Rooster!D12</f>
        <v>Jazz 20+</v>
      </c>
      <c r="E11" s="77">
        <v>5.0</v>
      </c>
      <c r="F11" s="327" t="str">
        <f>Rooster!E12</f>
        <v>Nova</v>
      </c>
      <c r="G11" s="319">
        <f>IFERROR(VLOOKUP(F11, Docenten!$A$2:$G$30, 7, FALSE), "0")</f>
        <v>22.5</v>
      </c>
      <c r="H11" s="320">
        <f t="shared" si="1"/>
        <v>22.5</v>
      </c>
      <c r="I11" s="327" t="str">
        <f>Rooster!H12</f>
        <v>Santpoort Zuid</v>
      </c>
      <c r="J11" s="321">
        <f>IFERROR(VLOOKUP(I11, Locaties!$A$2:$G$15, 7, FALSE), "0")</f>
        <v>18.9</v>
      </c>
      <c r="K11" s="42">
        <f t="shared" si="2"/>
        <v>18.9</v>
      </c>
      <c r="L11" s="427">
        <f>Februari!L11</f>
        <v>4</v>
      </c>
      <c r="M11" s="428" t="str">
        <f>Februari!M11</f>
        <v>Volwassenen 2x abbo</v>
      </c>
      <c r="N11" s="321">
        <f>IFERROR(VLOOKUP(M11, Tarieven!$A$1:$J$150, 10, FALSE), "0")</f>
        <v>27.255</v>
      </c>
      <c r="O11" s="427">
        <f>Februari!O11</f>
        <v>1</v>
      </c>
      <c r="P11" s="428" t="str">
        <f>Februari!P11</f>
        <v>Volwassenen 1x</v>
      </c>
      <c r="Q11" s="325">
        <f>IFERROR(VLOOKUP(P11, Tarieven!$A$2:$J$150, 10, FALSE), "0")</f>
        <v>266.23</v>
      </c>
      <c r="R11" s="444" t="str">
        <f>Februari!R11</f>
        <v/>
      </c>
      <c r="S11" s="428" t="str">
        <f>Februari!S11</f>
        <v/>
      </c>
      <c r="T11" s="325" t="str">
        <f>IFERROR(VLOOKUP(S11, Tarieven!$A$2:$J$150, 10, FALSE), "0")</f>
        <v>0</v>
      </c>
      <c r="U11" s="77" t="str">
        <f>Februari!U11</f>
        <v/>
      </c>
      <c r="V11" s="327" t="str">
        <f>Februari!V11</f>
        <v/>
      </c>
      <c r="W11" s="325" t="str">
        <f>IFERROR(VLOOKUP(V11, Tarieven!$A$2:$J$150, 10, FALSE), "0")</f>
        <v>0</v>
      </c>
      <c r="X11" s="138">
        <f>Februari!X11</f>
        <v>4</v>
      </c>
      <c r="Y11" s="398">
        <v>0.0</v>
      </c>
      <c r="Z11" s="329">
        <f t="shared" si="3"/>
        <v>9</v>
      </c>
      <c r="AA11" s="32">
        <f t="shared" si="4"/>
        <v>207</v>
      </c>
      <c r="AB11" s="32">
        <f t="shared" si="5"/>
        <v>375.25</v>
      </c>
      <c r="AC11" s="32">
        <f t="shared" si="6"/>
        <v>168.25</v>
      </c>
      <c r="AE11" s="330"/>
      <c r="AF11" s="330"/>
    </row>
    <row r="12" ht="22.5" customHeight="1">
      <c r="A12" s="331" t="str">
        <f>Rooster!A13</f>
        <v>Maandag</v>
      </c>
      <c r="B12" s="396">
        <f>Rooster!B13</f>
        <v>0.6666666667</v>
      </c>
      <c r="C12" s="15">
        <f>Rooster!C13</f>
        <v>60</v>
      </c>
      <c r="D12" s="11" t="str">
        <f>Rooster!D13</f>
        <v>Streetdance 6+</v>
      </c>
      <c r="E12" s="77">
        <v>5.0</v>
      </c>
      <c r="F12" s="327" t="str">
        <f>Rooster!E13</f>
        <v>Julia</v>
      </c>
      <c r="G12" s="319">
        <f>IFERROR(VLOOKUP(F12, Docenten!$A$2:$G$30, 7, FALSE), "0")</f>
        <v>15</v>
      </c>
      <c r="H12" s="320">
        <f t="shared" si="1"/>
        <v>15</v>
      </c>
      <c r="I12" s="327" t="str">
        <f>Rooster!H13</f>
        <v>Santpoort Noord</v>
      </c>
      <c r="J12" s="321">
        <f>IFERROR(VLOOKUP(I12, Locaties!$A$2:$G$15, 7, FALSE), "0")</f>
        <v>14.2</v>
      </c>
      <c r="K12" s="42">
        <f t="shared" si="2"/>
        <v>14.2</v>
      </c>
      <c r="L12" s="427">
        <f>Februari!L12</f>
        <v>2</v>
      </c>
      <c r="M12" s="428" t="str">
        <f>Februari!M12</f>
        <v>2x per week abbo</v>
      </c>
      <c r="N12" s="321">
        <f>IFERROR(VLOOKUP(M12, Tarieven!$A$1:$J$150, 10, FALSE), "0")</f>
        <v>28.55</v>
      </c>
      <c r="O12" s="427">
        <f>Februari!O12</f>
        <v>8</v>
      </c>
      <c r="P12" s="428" t="str">
        <f>Februari!P12</f>
        <v>1x per week abbo</v>
      </c>
      <c r="Q12" s="325">
        <f>IFERROR(VLOOKUP(P12, Tarieven!$A$2:$J$150, 10, FALSE), "0")</f>
        <v>31</v>
      </c>
      <c r="R12" s="444" t="str">
        <f>Februari!R12</f>
        <v/>
      </c>
      <c r="S12" s="428" t="str">
        <f>Februari!S12</f>
        <v/>
      </c>
      <c r="T12" s="325" t="str">
        <f>IFERROR(VLOOKUP(S12, Tarieven!$A$2:$J$150, 10, FALSE), "0")</f>
        <v>0</v>
      </c>
      <c r="U12" s="77" t="str">
        <f>Februari!U12</f>
        <v/>
      </c>
      <c r="V12" s="327" t="str">
        <f>Februari!V12</f>
        <v/>
      </c>
      <c r="W12" s="325" t="str">
        <f>IFERROR(VLOOKUP(V12, Tarieven!$A$2:$J$150, 10, FALSE), "0")</f>
        <v>0</v>
      </c>
      <c r="X12" s="138">
        <f>Februari!X12</f>
        <v>2</v>
      </c>
      <c r="Y12" s="398">
        <v>0.0</v>
      </c>
      <c r="Z12" s="329">
        <f t="shared" si="3"/>
        <v>12</v>
      </c>
      <c r="AA12" s="32">
        <f t="shared" si="4"/>
        <v>146</v>
      </c>
      <c r="AB12" s="32">
        <f t="shared" si="5"/>
        <v>305.1</v>
      </c>
      <c r="AC12" s="32">
        <f t="shared" si="6"/>
        <v>159.1</v>
      </c>
      <c r="AE12" s="330"/>
      <c r="AF12" s="330"/>
    </row>
    <row r="13" ht="22.5" customHeight="1">
      <c r="A13" s="331" t="str">
        <f>Rooster!A14</f>
        <v>Maandag</v>
      </c>
      <c r="B13" s="396">
        <f>Rooster!B14</f>
        <v>0.7083333333</v>
      </c>
      <c r="C13" s="15">
        <f>Rooster!C14</f>
        <v>60</v>
      </c>
      <c r="D13" s="11" t="str">
        <f>Rooster!D14</f>
        <v>Streetdance 8+</v>
      </c>
      <c r="E13" s="77">
        <v>5.0</v>
      </c>
      <c r="F13" s="327" t="str">
        <f>Rooster!E14</f>
        <v>Julia</v>
      </c>
      <c r="G13" s="319">
        <f>IFERROR(VLOOKUP(F13, Docenten!$A$2:$G$30, 7, FALSE), "0")</f>
        <v>15</v>
      </c>
      <c r="H13" s="320">
        <f t="shared" si="1"/>
        <v>15</v>
      </c>
      <c r="I13" s="327" t="str">
        <f>Rooster!H14</f>
        <v>Santpoort Noord</v>
      </c>
      <c r="J13" s="321">
        <f>IFERROR(VLOOKUP(I13, Locaties!$A$2:$G$15, 7, FALSE), "0")</f>
        <v>14.2</v>
      </c>
      <c r="K13" s="42">
        <f t="shared" si="2"/>
        <v>14.2</v>
      </c>
      <c r="L13" s="427">
        <f>Februari!L13</f>
        <v>1</v>
      </c>
      <c r="M13" s="428" t="str">
        <f>Februari!M13</f>
        <v>1x per week abbo</v>
      </c>
      <c r="N13" s="321">
        <f>IFERROR(VLOOKUP(M13, Tarieven!$A$1:$J$150, 10, FALSE), "0")</f>
        <v>31</v>
      </c>
      <c r="O13" s="427">
        <f>Februari!O13</f>
        <v>5</v>
      </c>
      <c r="P13" s="428" t="str">
        <f>Februari!P13</f>
        <v>2x per week abbo</v>
      </c>
      <c r="Q13" s="325">
        <f>IFERROR(VLOOKUP(P13, Tarieven!$A$2:$J$150, 10, FALSE), "0")</f>
        <v>28.55</v>
      </c>
      <c r="R13" s="444">
        <f>Februari!R13</f>
        <v>1</v>
      </c>
      <c r="S13" s="428" t="str">
        <f>Februari!S13</f>
        <v>Aangepast tarief</v>
      </c>
      <c r="T13" s="325">
        <f>IFERROR(VLOOKUP(S13, Tarieven!$A$2:$J$150, 10, FALSE), "0")</f>
        <v>0</v>
      </c>
      <c r="U13" s="77" t="str">
        <f>Februari!U13</f>
        <v/>
      </c>
      <c r="V13" s="327" t="str">
        <f>Februari!V13</f>
        <v/>
      </c>
      <c r="W13" s="325" t="str">
        <f>IFERROR(VLOOKUP(V13, Tarieven!$A$2:$J$150, 10, FALSE), "0")</f>
        <v>0</v>
      </c>
      <c r="X13" s="138">
        <f>Februari!X13</f>
        <v>13</v>
      </c>
      <c r="Y13" s="398">
        <v>0.0</v>
      </c>
      <c r="Z13" s="329">
        <f t="shared" si="3"/>
        <v>20</v>
      </c>
      <c r="AA13" s="32">
        <f t="shared" si="4"/>
        <v>146</v>
      </c>
      <c r="AB13" s="32">
        <f t="shared" si="5"/>
        <v>173.75</v>
      </c>
      <c r="AC13" s="32">
        <f t="shared" si="6"/>
        <v>27.75</v>
      </c>
      <c r="AE13" s="330"/>
      <c r="AF13" s="330"/>
    </row>
    <row r="14" ht="22.5" customHeight="1">
      <c r="A14" s="331" t="str">
        <f>Rooster!A15</f>
        <v>Dinsdag</v>
      </c>
      <c r="B14" s="396">
        <f>Rooster!B15</f>
        <v>0.6666666667</v>
      </c>
      <c r="C14" s="15">
        <f>Rooster!C15</f>
        <v>60</v>
      </c>
      <c r="D14" s="11" t="str">
        <f>Rooster!D15</f>
        <v>Modern 8+</v>
      </c>
      <c r="E14" s="77">
        <v>5.0</v>
      </c>
      <c r="F14" s="327" t="str">
        <f>Rooster!E15</f>
        <v>Eigenaar</v>
      </c>
      <c r="G14" s="319">
        <f>IFERROR(VLOOKUP(F14, Docenten!$A$2:$G$30, 7, FALSE), "0")</f>
        <v>0</v>
      </c>
      <c r="H14" s="320">
        <f t="shared" si="1"/>
        <v>0</v>
      </c>
      <c r="I14" s="327" t="str">
        <f>Rooster!H15</f>
        <v>Santpoort Zuid</v>
      </c>
      <c r="J14" s="321">
        <f>IFERROR(VLOOKUP(I14, Locaties!$A$2:$G$15, 7, FALSE), "0")</f>
        <v>18.9</v>
      </c>
      <c r="K14" s="42">
        <f t="shared" si="2"/>
        <v>18.9</v>
      </c>
      <c r="L14" s="427">
        <f>Februari!L14</f>
        <v>5</v>
      </c>
      <c r="M14" s="428" t="str">
        <f>Februari!M14</f>
        <v>2x per week abbo</v>
      </c>
      <c r="N14" s="321">
        <f>IFERROR(VLOOKUP(M14, Tarieven!$A$1:$J$150, 10, FALSE), "0")</f>
        <v>28.55</v>
      </c>
      <c r="O14" s="427">
        <f>Februari!O14</f>
        <v>1</v>
      </c>
      <c r="P14" s="428" t="str">
        <f>Februari!P14</f>
        <v>1x per week abbo</v>
      </c>
      <c r="Q14" s="325">
        <f>IFERROR(VLOOKUP(P14, Tarieven!$A$2:$J$150, 10, FALSE), "0")</f>
        <v>31</v>
      </c>
      <c r="R14" s="444">
        <f>Februari!R14</f>
        <v>2</v>
      </c>
      <c r="S14" s="428" t="str">
        <f>Februari!S14</f>
        <v>Cheer regulier + onbeperkt abbo</v>
      </c>
      <c r="T14" s="325">
        <f>IFERROR(VLOOKUP(S14, Tarieven!$A$2:$J$150, 10, FALSE), "0")</f>
        <v>44.45</v>
      </c>
      <c r="U14" s="77">
        <f>Februari!U14</f>
        <v>1</v>
      </c>
      <c r="V14" s="327" t="str">
        <f>Februari!V14</f>
        <v>Cheer regulier +1 abbo</v>
      </c>
      <c r="W14" s="325">
        <f>IFERROR(VLOOKUP(V14, Tarieven!$A$2:$J$150, 10, FALSE), "0")</f>
        <v>32.25</v>
      </c>
      <c r="X14" s="138">
        <f>Februari!X14</f>
        <v>8</v>
      </c>
      <c r="Y14" s="398">
        <v>0.0</v>
      </c>
      <c r="Z14" s="329">
        <f t="shared" si="3"/>
        <v>17</v>
      </c>
      <c r="AA14" s="32">
        <f t="shared" si="4"/>
        <v>94.5</v>
      </c>
      <c r="AB14" s="32">
        <f t="shared" si="5"/>
        <v>294.9</v>
      </c>
      <c r="AC14" s="32">
        <f t="shared" si="6"/>
        <v>200.4</v>
      </c>
    </row>
    <row r="15" ht="22.5" customHeight="1">
      <c r="A15" s="331" t="str">
        <f>Rooster!A16</f>
        <v>Dinsdag</v>
      </c>
      <c r="B15" s="396">
        <f>Rooster!B16</f>
        <v>0.7083333333</v>
      </c>
      <c r="C15" s="15">
        <f>Rooster!C16</f>
        <v>60</v>
      </c>
      <c r="D15" s="11" t="str">
        <f>Rooster!D16</f>
        <v>Selectie show 8+</v>
      </c>
      <c r="E15" s="77">
        <v>5.0</v>
      </c>
      <c r="F15" s="327" t="str">
        <f>Rooster!E16</f>
        <v>Eigenaar</v>
      </c>
      <c r="G15" s="319">
        <f>IFERROR(VLOOKUP(F15, Docenten!$A$2:$G$30, 7, FALSE), "0")</f>
        <v>0</v>
      </c>
      <c r="H15" s="320">
        <f t="shared" si="1"/>
        <v>0</v>
      </c>
      <c r="I15" s="327" t="str">
        <f>Rooster!H16</f>
        <v>Santpoort Zuid</v>
      </c>
      <c r="J15" s="321">
        <f>IFERROR(VLOOKUP(I15, Locaties!$A$2:$G$15, 7, FALSE), "0")</f>
        <v>18.9</v>
      </c>
      <c r="K15" s="42">
        <f t="shared" si="2"/>
        <v>18.9</v>
      </c>
      <c r="L15" s="427">
        <f>Februari!L15</f>
        <v>2</v>
      </c>
      <c r="M15" s="428" t="str">
        <f>Februari!M15</f>
        <v>Cheer regulier + onbeperkt abbo</v>
      </c>
      <c r="N15" s="321">
        <f>IFERROR(VLOOKUP(M15, Tarieven!$A$1:$J$150, 10, FALSE), "0")</f>
        <v>44.45</v>
      </c>
      <c r="O15" s="427">
        <f>Februari!O15</f>
        <v>2</v>
      </c>
      <c r="P15" s="428" t="str">
        <f>Februari!P15</f>
        <v>2x per week abbo</v>
      </c>
      <c r="Q15" s="325">
        <f>IFERROR(VLOOKUP(P15, Tarieven!$A$2:$J$150, 10, FALSE), "0")</f>
        <v>28.55</v>
      </c>
      <c r="R15" s="444" t="str">
        <f>Februari!R15</f>
        <v/>
      </c>
      <c r="S15" s="428" t="str">
        <f>Februari!S15</f>
        <v/>
      </c>
      <c r="T15" s="325" t="str">
        <f>IFERROR(VLOOKUP(S15, Tarieven!$A$2:$J$150, 10, FALSE), "0")</f>
        <v>0</v>
      </c>
      <c r="U15" s="77">
        <f>Februari!U15</f>
        <v>1</v>
      </c>
      <c r="V15" s="327" t="str">
        <f>Februari!V15</f>
        <v>Cheer regulier +2 abbo</v>
      </c>
      <c r="W15" s="325">
        <f>IFERROR(VLOOKUP(V15, Tarieven!$A$2:$J$150, 10, FALSE), "0")</f>
        <v>29.03333333</v>
      </c>
      <c r="X15" s="138">
        <f>Februari!X15</f>
        <v>7</v>
      </c>
      <c r="Y15" s="398">
        <v>0.0</v>
      </c>
      <c r="Z15" s="329">
        <f t="shared" si="3"/>
        <v>12</v>
      </c>
      <c r="AA15" s="32">
        <f t="shared" si="4"/>
        <v>94.5</v>
      </c>
      <c r="AB15" s="32">
        <f t="shared" si="5"/>
        <v>175.0333333</v>
      </c>
      <c r="AC15" s="32">
        <f t="shared" si="6"/>
        <v>80.53333333</v>
      </c>
    </row>
    <row r="16" ht="22.5" customHeight="1">
      <c r="A16" s="331" t="str">
        <f>Rooster!A17</f>
        <v>Dinsdag</v>
      </c>
      <c r="B16" s="396">
        <f>Rooster!B17</f>
        <v>0.75</v>
      </c>
      <c r="C16" s="15">
        <f>Rooster!C17</f>
        <v>90</v>
      </c>
      <c r="D16" s="11" t="str">
        <f>Rooster!D17</f>
        <v>Selectie Cheer</v>
      </c>
      <c r="E16" s="77">
        <v>5.0</v>
      </c>
      <c r="F16" s="327" t="str">
        <f>Rooster!E17</f>
        <v>Eigenaar</v>
      </c>
      <c r="G16" s="319">
        <f>IFERROR(VLOOKUP(F16, Docenten!$A$2:$G$30, 7, FALSE), "0")</f>
        <v>0</v>
      </c>
      <c r="H16" s="320">
        <f t="shared" si="1"/>
        <v>0</v>
      </c>
      <c r="I16" s="327" t="str">
        <f>Rooster!H17</f>
        <v>Santpoort Zuid</v>
      </c>
      <c r="J16" s="321">
        <f>IFERROR(VLOOKUP(I16, Locaties!$A$2:$G$15, 7, FALSE), "0")</f>
        <v>18.9</v>
      </c>
      <c r="K16" s="42">
        <f t="shared" si="2"/>
        <v>28.35</v>
      </c>
      <c r="L16" s="427">
        <f>Februari!L16</f>
        <v>2</v>
      </c>
      <c r="M16" s="428" t="str">
        <f>Februari!M16</f>
        <v>Cheer selectie +2 abbo</v>
      </c>
      <c r="N16" s="321">
        <f>IFERROR(VLOOKUP(M16, Tarieven!$A$1:$J$150, 10, FALSE), "0")</f>
        <v>31.53333333</v>
      </c>
      <c r="O16" s="427">
        <f>Februari!O16</f>
        <v>1</v>
      </c>
      <c r="P16" s="428" t="str">
        <f>Februari!P16</f>
        <v>Cheer selectie +1 abbo</v>
      </c>
      <c r="Q16" s="325">
        <f>IFERROR(VLOOKUP(P16, Tarieven!$A$2:$J$150, 10, FALSE), "0")</f>
        <v>34.25</v>
      </c>
      <c r="R16" s="444" t="str">
        <f>Februari!R16</f>
        <v/>
      </c>
      <c r="S16" s="428" t="str">
        <f>Februari!S16</f>
        <v/>
      </c>
      <c r="T16" s="325" t="str">
        <f>IFERROR(VLOOKUP(S16, Tarieven!$A$2:$J$150, 10, FALSE), "0")</f>
        <v>0</v>
      </c>
      <c r="U16" s="77" t="str">
        <f>Februari!U16</f>
        <v/>
      </c>
      <c r="V16" s="327" t="str">
        <f>Februari!V16</f>
        <v/>
      </c>
      <c r="W16" s="325" t="str">
        <f>IFERROR(VLOOKUP(V16, Tarieven!$A$2:$J$150, 10, FALSE), "0")</f>
        <v>0</v>
      </c>
      <c r="X16" s="138">
        <f>Februari!X16</f>
        <v>8</v>
      </c>
      <c r="Y16" s="398">
        <v>0.0</v>
      </c>
      <c r="Z16" s="329">
        <f t="shared" si="3"/>
        <v>11</v>
      </c>
      <c r="AA16" s="32">
        <f t="shared" si="4"/>
        <v>141.75</v>
      </c>
      <c r="AB16" s="32">
        <f t="shared" si="5"/>
        <v>97.31666667</v>
      </c>
      <c r="AC16" s="32">
        <f t="shared" si="6"/>
        <v>-44.43333333</v>
      </c>
    </row>
    <row r="17" ht="22.5" customHeight="1">
      <c r="A17" s="331" t="str">
        <f>Rooster!A18</f>
        <v>Dinsdag</v>
      </c>
      <c r="B17" s="396">
        <f>Rooster!B18</f>
        <v>0.8125</v>
      </c>
      <c r="C17" s="15">
        <f>Rooster!C18</f>
        <v>60</v>
      </c>
      <c r="D17" s="11" t="str">
        <f>Rooster!D18</f>
        <v>Hiphop 15+</v>
      </c>
      <c r="E17" s="77">
        <v>5.0</v>
      </c>
      <c r="F17" s="327" t="str">
        <f>Rooster!E18</f>
        <v>Eigenaar</v>
      </c>
      <c r="G17" s="319">
        <f>IFERROR(VLOOKUP(F17, Docenten!$A$2:$G$30, 7, FALSE), "0")</f>
        <v>0</v>
      </c>
      <c r="H17" s="320">
        <f t="shared" si="1"/>
        <v>0</v>
      </c>
      <c r="I17" s="327" t="str">
        <f>Rooster!H18</f>
        <v>Santpoort Zuid</v>
      </c>
      <c r="J17" s="321">
        <f>IFERROR(VLOOKUP(I17, Locaties!$A$2:$G$15, 7, FALSE), "0")</f>
        <v>18.9</v>
      </c>
      <c r="K17" s="42">
        <f t="shared" si="2"/>
        <v>18.9</v>
      </c>
      <c r="L17" s="427">
        <f>Februari!L17</f>
        <v>4</v>
      </c>
      <c r="M17" s="428" t="str">
        <f>Februari!M17</f>
        <v>3x per week abbo</v>
      </c>
      <c r="N17" s="321">
        <f>IFERROR(VLOOKUP(M17, Tarieven!$A$1:$J$150, 10, FALSE), "0")</f>
        <v>28.93333333</v>
      </c>
      <c r="O17" s="427">
        <f>Februari!O17</f>
        <v>1</v>
      </c>
      <c r="P17" s="428" t="str">
        <f>Februari!P17</f>
        <v>2x per week abbo</v>
      </c>
      <c r="Q17" s="325">
        <f>IFERROR(VLOOKUP(P17, Tarieven!$A$2:$J$150, 10, FALSE), "0")</f>
        <v>28.55</v>
      </c>
      <c r="R17" s="444">
        <f>Februari!R17</f>
        <v>2</v>
      </c>
      <c r="S17" s="428" t="str">
        <f>Februari!S17</f>
        <v>1x per week abbo</v>
      </c>
      <c r="T17" s="325">
        <f>IFERROR(VLOOKUP(S17, Tarieven!$A$2:$J$150, 10, FALSE), "0")</f>
        <v>31</v>
      </c>
      <c r="U17" s="77" t="str">
        <f>Februari!U17</f>
        <v/>
      </c>
      <c r="V17" s="327" t="str">
        <f>Februari!V17</f>
        <v/>
      </c>
      <c r="W17" s="325" t="str">
        <f>IFERROR(VLOOKUP(V17, Tarieven!$A$2:$J$150, 10, FALSE), "0")</f>
        <v>0</v>
      </c>
      <c r="X17" s="138">
        <f>Februari!X17</f>
        <v>9</v>
      </c>
      <c r="Y17" s="398">
        <v>0.0</v>
      </c>
      <c r="Z17" s="329">
        <f t="shared" si="3"/>
        <v>16</v>
      </c>
      <c r="AA17" s="32">
        <f t="shared" si="4"/>
        <v>94.5</v>
      </c>
      <c r="AB17" s="32">
        <f t="shared" si="5"/>
        <v>206.2833333</v>
      </c>
      <c r="AC17" s="32">
        <f t="shared" si="6"/>
        <v>111.7833333</v>
      </c>
    </row>
    <row r="18" ht="22.5" customHeight="1">
      <c r="A18" s="331" t="str">
        <f>Rooster!A19</f>
        <v>Woensdag</v>
      </c>
      <c r="B18" s="396">
        <f>Rooster!B19</f>
        <v>0.6041666667</v>
      </c>
      <c r="C18" s="15">
        <f>Rooster!C19</f>
        <v>60</v>
      </c>
      <c r="D18" s="11" t="str">
        <f>Rooster!D19</f>
        <v>Streetdance 6+</v>
      </c>
      <c r="E18" s="77">
        <v>4.0</v>
      </c>
      <c r="F18" s="327" t="str">
        <f>Rooster!E19</f>
        <v>Julia</v>
      </c>
      <c r="G18" s="319">
        <f>IFERROR(VLOOKUP(F18, Docenten!$A$2:$G$30, 7, FALSE), "0")</f>
        <v>15</v>
      </c>
      <c r="H18" s="320">
        <f t="shared" si="1"/>
        <v>15</v>
      </c>
      <c r="I18" s="327" t="str">
        <f>Rooster!H19</f>
        <v>Santpoort Noord</v>
      </c>
      <c r="J18" s="321">
        <f>IFERROR(VLOOKUP(I18, Locaties!$A$2:$G$15, 7, FALSE), "0")</f>
        <v>14.2</v>
      </c>
      <c r="K18" s="42">
        <f t="shared" si="2"/>
        <v>14.2</v>
      </c>
      <c r="L18" s="427">
        <f>Februari!L18</f>
        <v>1</v>
      </c>
      <c r="M18" s="428" t="str">
        <f>Februari!M18</f>
        <v>2x per week abbo</v>
      </c>
      <c r="N18" s="321">
        <f>IFERROR(VLOOKUP(M18, Tarieven!$A$1:$J$150, 10, FALSE), "0")</f>
        <v>28.55</v>
      </c>
      <c r="O18" s="427">
        <f>Februari!O18</f>
        <v>3</v>
      </c>
      <c r="P18" s="428" t="str">
        <f>Februari!P18</f>
        <v>1x per week abbo</v>
      </c>
      <c r="Q18" s="325">
        <f>IFERROR(VLOOKUP(P18, Tarieven!$A$2:$J$150, 10, FALSE), "0")</f>
        <v>31</v>
      </c>
      <c r="R18" s="444" t="str">
        <f>Februari!R18</f>
        <v/>
      </c>
      <c r="S18" s="428" t="str">
        <f>Februari!S18</f>
        <v/>
      </c>
      <c r="T18" s="325" t="str">
        <f>IFERROR(VLOOKUP(S18, Tarieven!$A$2:$J$150, 10, FALSE), "0")</f>
        <v>0</v>
      </c>
      <c r="U18" s="77" t="str">
        <f>Februari!U18</f>
        <v/>
      </c>
      <c r="V18" s="327" t="str">
        <f>Februari!V18</f>
        <v/>
      </c>
      <c r="W18" s="325" t="str">
        <f>IFERROR(VLOOKUP(V18, Tarieven!$A$2:$J$150, 10, FALSE), "0")</f>
        <v>0</v>
      </c>
      <c r="X18" s="138">
        <f>Februari!X18</f>
        <v>9</v>
      </c>
      <c r="Y18" s="398">
        <v>0.0</v>
      </c>
      <c r="Z18" s="329">
        <f t="shared" si="3"/>
        <v>13</v>
      </c>
      <c r="AA18" s="32">
        <f t="shared" si="4"/>
        <v>116.8</v>
      </c>
      <c r="AB18" s="32">
        <f t="shared" si="5"/>
        <v>121.55</v>
      </c>
      <c r="AC18" s="32">
        <f t="shared" si="6"/>
        <v>4.75</v>
      </c>
    </row>
    <row r="19" ht="22.5" customHeight="1">
      <c r="A19" s="331" t="str">
        <f>Rooster!A20</f>
        <v>Woensdag</v>
      </c>
      <c r="B19" s="396">
        <f>Rooster!B20</f>
        <v>0.6458333333</v>
      </c>
      <c r="C19" s="15">
        <f>Rooster!C20</f>
        <v>60</v>
      </c>
      <c r="D19" s="11" t="str">
        <f>Rooster!D20</f>
        <v>Streetdance 8+</v>
      </c>
      <c r="E19" s="77">
        <v>4.0</v>
      </c>
      <c r="F19" s="327" t="str">
        <f>Rooster!E20</f>
        <v>Julia</v>
      </c>
      <c r="G19" s="319">
        <f>IFERROR(VLOOKUP(F19, Docenten!$A$2:$G$30, 7, FALSE), "0")</f>
        <v>15</v>
      </c>
      <c r="H19" s="320">
        <f t="shared" si="1"/>
        <v>15</v>
      </c>
      <c r="I19" s="327" t="str">
        <f>Rooster!H20</f>
        <v>Santpoort Noord</v>
      </c>
      <c r="J19" s="321">
        <f>IFERROR(VLOOKUP(I19, Locaties!$A$2:$G$15, 7, FALSE), "0")</f>
        <v>14.2</v>
      </c>
      <c r="K19" s="42">
        <f t="shared" si="2"/>
        <v>14.2</v>
      </c>
      <c r="L19" s="427">
        <f>Februari!L19</f>
        <v>4</v>
      </c>
      <c r="M19" s="428" t="str">
        <f>Februari!M19</f>
        <v>1x per week abbo</v>
      </c>
      <c r="N19" s="321">
        <f>IFERROR(VLOOKUP(M19, Tarieven!$A$1:$J$150, 10, FALSE), "0")</f>
        <v>31</v>
      </c>
      <c r="O19" s="427">
        <f>Februari!O19</f>
        <v>1</v>
      </c>
      <c r="P19" s="428" t="str">
        <f>Februari!P19</f>
        <v>Cheer regulier +1 abbo</v>
      </c>
      <c r="Q19" s="325">
        <f>IFERROR(VLOOKUP(P19, Tarieven!$A$2:$J$150, 10, FALSE), "0")</f>
        <v>32.25</v>
      </c>
      <c r="R19" s="444">
        <f>Februari!R19</f>
        <v>1</v>
      </c>
      <c r="S19" s="428" t="str">
        <f>Februari!S19</f>
        <v>Cheer regulier + onbeperkt abbo</v>
      </c>
      <c r="T19" s="325">
        <f>IFERROR(VLOOKUP(S19, Tarieven!$A$2:$J$150, 10, FALSE), "0")</f>
        <v>44.45</v>
      </c>
      <c r="U19" s="77">
        <f>Februari!U19</f>
        <v>1</v>
      </c>
      <c r="V19" s="327" t="str">
        <f>Februari!V19</f>
        <v>1x per week </v>
      </c>
      <c r="W19" s="325">
        <f>IFERROR(VLOOKUP(V19, Tarieven!$A$2:$J$150, 10, FALSE), "0")</f>
        <v>279</v>
      </c>
      <c r="X19" s="138">
        <f>Februari!X19</f>
        <v>11</v>
      </c>
      <c r="Y19" s="398">
        <v>0.0</v>
      </c>
      <c r="Z19" s="329">
        <f t="shared" si="3"/>
        <v>18</v>
      </c>
      <c r="AA19" s="32">
        <f t="shared" si="4"/>
        <v>116.8</v>
      </c>
      <c r="AB19" s="32">
        <f t="shared" si="5"/>
        <v>479.7</v>
      </c>
      <c r="AC19" s="32">
        <f t="shared" si="6"/>
        <v>362.9</v>
      </c>
    </row>
    <row r="20" ht="22.5" customHeight="1">
      <c r="A20" s="331" t="str">
        <f>Rooster!A21</f>
        <v>Woensdag</v>
      </c>
      <c r="B20" s="396">
        <f>Rooster!B21</f>
        <v>0.6875</v>
      </c>
      <c r="C20" s="15">
        <f>Rooster!C21</f>
        <v>60</v>
      </c>
      <c r="D20" s="11" t="str">
        <f>Rooster!D21</f>
        <v>Modern 11+</v>
      </c>
      <c r="E20" s="77">
        <v>4.0</v>
      </c>
      <c r="F20" s="327" t="str">
        <f>Rooster!E21</f>
        <v>Julia</v>
      </c>
      <c r="G20" s="319">
        <f>IFERROR(VLOOKUP(F20, Docenten!$A$2:$G$30, 7, FALSE), "0")</f>
        <v>15</v>
      </c>
      <c r="H20" s="320">
        <f t="shared" si="1"/>
        <v>15</v>
      </c>
      <c r="I20" s="327" t="str">
        <f>Rooster!H21</f>
        <v>Santpoort Noord</v>
      </c>
      <c r="J20" s="321">
        <f>IFERROR(VLOOKUP(I20, Locaties!$A$2:$G$15, 7, FALSE), "0")</f>
        <v>14.2</v>
      </c>
      <c r="K20" s="42">
        <f t="shared" si="2"/>
        <v>14.2</v>
      </c>
      <c r="L20" s="427">
        <f>Februari!L20</f>
        <v>3</v>
      </c>
      <c r="M20" s="428" t="str">
        <f>Februari!M20</f>
        <v>1x per week abbo</v>
      </c>
      <c r="N20" s="321">
        <f>IFERROR(VLOOKUP(M20, Tarieven!$A$1:$J$150, 10, FALSE), "0")</f>
        <v>31</v>
      </c>
      <c r="O20" s="427">
        <f>Februari!O20</f>
        <v>1</v>
      </c>
      <c r="P20" s="428" t="str">
        <f>Februari!P20</f>
        <v>Cheer regulier +1 abbo</v>
      </c>
      <c r="Q20" s="325">
        <f>IFERROR(VLOOKUP(P20, Tarieven!$A$2:$J$150, 10, FALSE), "0")</f>
        <v>32.25</v>
      </c>
      <c r="R20" s="444">
        <f>Februari!R20</f>
        <v>1</v>
      </c>
      <c r="S20" s="428" t="str">
        <f>Februari!S20</f>
        <v>Cheer regulier + onbeperkt abbo</v>
      </c>
      <c r="T20" s="325">
        <f>IFERROR(VLOOKUP(S20, Tarieven!$A$2:$J$150, 10, FALSE), "0")</f>
        <v>44.45</v>
      </c>
      <c r="U20" s="77" t="str">
        <f>Februari!U20</f>
        <v/>
      </c>
      <c r="V20" s="327" t="str">
        <f>Februari!V20</f>
        <v/>
      </c>
      <c r="W20" s="325" t="str">
        <f>IFERROR(VLOOKUP(V20, Tarieven!$A$2:$J$150, 10, FALSE), "0")</f>
        <v>0</v>
      </c>
      <c r="X20" s="138">
        <f>Februari!X20</f>
        <v>9</v>
      </c>
      <c r="Y20" s="398">
        <v>0.0</v>
      </c>
      <c r="Z20" s="329">
        <f t="shared" si="3"/>
        <v>14</v>
      </c>
      <c r="AA20" s="32">
        <f t="shared" si="4"/>
        <v>116.8</v>
      </c>
      <c r="AB20" s="32">
        <f t="shared" si="5"/>
        <v>169.7</v>
      </c>
      <c r="AC20" s="32">
        <f t="shared" si="6"/>
        <v>52.9</v>
      </c>
    </row>
    <row r="21" ht="22.5" customHeight="1">
      <c r="A21" s="331" t="str">
        <f>Rooster!A22</f>
        <v>Woensdag</v>
      </c>
      <c r="B21" s="396">
        <f>Rooster!B22</f>
        <v>0.7291666667</v>
      </c>
      <c r="C21" s="15">
        <f>Rooster!C22</f>
        <v>60</v>
      </c>
      <c r="D21" s="11" t="str">
        <f>Rooster!D22</f>
        <v>Selectie Hiphop 11+</v>
      </c>
      <c r="E21" s="77">
        <v>4.0</v>
      </c>
      <c r="F21" s="327" t="str">
        <f>Rooster!E22</f>
        <v>Eigenaar</v>
      </c>
      <c r="G21" s="319">
        <f>IFERROR(VLOOKUP(F21, Docenten!$A$2:$G$30, 7, FALSE), "0")</f>
        <v>0</v>
      </c>
      <c r="H21" s="320">
        <f t="shared" si="1"/>
        <v>0</v>
      </c>
      <c r="I21" s="327" t="str">
        <f>Rooster!H22</f>
        <v>Santpoort Noord</v>
      </c>
      <c r="J21" s="321">
        <f>IFERROR(VLOOKUP(I21, Locaties!$A$2:$G$15, 7, FALSE), "0")</f>
        <v>14.2</v>
      </c>
      <c r="K21" s="42">
        <f t="shared" si="2"/>
        <v>14.2</v>
      </c>
      <c r="L21" s="427">
        <f>Februari!L21</f>
        <v>1</v>
      </c>
      <c r="M21" s="428" t="str">
        <f>Februari!M21</f>
        <v>1x per week abbo</v>
      </c>
      <c r="N21" s="321">
        <f>IFERROR(VLOOKUP(M21, Tarieven!$A$1:$J$150, 10, FALSE), "0")</f>
        <v>31</v>
      </c>
      <c r="O21" s="427">
        <f>Februari!O21</f>
        <v>3</v>
      </c>
      <c r="P21" s="428" t="str">
        <f>Februari!P21</f>
        <v>2x per week abbo</v>
      </c>
      <c r="Q21" s="325">
        <f>IFERROR(VLOOKUP(P21, Tarieven!$A$2:$J$150, 10, FALSE), "0")</f>
        <v>28.55</v>
      </c>
      <c r="R21" s="444">
        <f>Februari!R21</f>
        <v>1</v>
      </c>
      <c r="S21" s="428" t="str">
        <f>Februari!S21</f>
        <v>Cheer regulier +1 abbo</v>
      </c>
      <c r="T21" s="325">
        <f>IFERROR(VLOOKUP(S21, Tarieven!$A$2:$J$150, 10, FALSE), "0")</f>
        <v>32.25</v>
      </c>
      <c r="U21" s="77" t="str">
        <f>Februari!U21</f>
        <v/>
      </c>
      <c r="V21" s="327" t="str">
        <f>Februari!V21</f>
        <v/>
      </c>
      <c r="W21" s="325" t="str">
        <f>IFERROR(VLOOKUP(V21, Tarieven!$A$2:$J$150, 10, FALSE), "0")</f>
        <v>0</v>
      </c>
      <c r="X21" s="138">
        <f>Februari!X21</f>
        <v>11</v>
      </c>
      <c r="Y21" s="398">
        <v>0.0</v>
      </c>
      <c r="Z21" s="329">
        <f t="shared" si="3"/>
        <v>16</v>
      </c>
      <c r="AA21" s="32">
        <f t="shared" si="4"/>
        <v>56.8</v>
      </c>
      <c r="AB21" s="32">
        <f t="shared" si="5"/>
        <v>148.9</v>
      </c>
      <c r="AC21" s="32">
        <f t="shared" si="6"/>
        <v>92.1</v>
      </c>
    </row>
    <row r="22" ht="22.5" customHeight="1">
      <c r="A22" s="331" t="str">
        <f>Rooster!A23</f>
        <v>Woensdag</v>
      </c>
      <c r="B22" s="396">
        <f>Rooster!B23</f>
        <v>0.7708333333</v>
      </c>
      <c r="C22" s="15">
        <f>Rooster!C23</f>
        <v>60</v>
      </c>
      <c r="D22" s="11" t="str">
        <f>Rooster!D23</f>
        <v>Show 12+</v>
      </c>
      <c r="E22" s="77">
        <v>4.0</v>
      </c>
      <c r="F22" s="327" t="str">
        <f>Rooster!E23</f>
        <v>Eigenaar</v>
      </c>
      <c r="G22" s="319">
        <f>IFERROR(VLOOKUP(F22, Docenten!$A$2:$G$30, 7, FALSE), "0")</f>
        <v>0</v>
      </c>
      <c r="H22" s="320">
        <f t="shared" si="1"/>
        <v>0</v>
      </c>
      <c r="I22" s="327" t="str">
        <f>Rooster!H23</f>
        <v>Santpoort Noord</v>
      </c>
      <c r="J22" s="321">
        <f>IFERROR(VLOOKUP(I22, Locaties!$A$2:$G$15, 7, FALSE), "0")</f>
        <v>14.2</v>
      </c>
      <c r="K22" s="42">
        <f t="shared" si="2"/>
        <v>14.2</v>
      </c>
      <c r="L22" s="427">
        <f>Februari!L22</f>
        <v>1</v>
      </c>
      <c r="M22" s="428" t="str">
        <f>Februari!M22</f>
        <v>Cheer selectie +1 abbo</v>
      </c>
      <c r="N22" s="321">
        <f>IFERROR(VLOOKUP(M22, Tarieven!$A$1:$J$150, 10, FALSE), "0")</f>
        <v>34.25</v>
      </c>
      <c r="O22" s="427" t="str">
        <f>Februari!O22</f>
        <v/>
      </c>
      <c r="P22" s="428" t="str">
        <f>Februari!P22</f>
        <v/>
      </c>
      <c r="Q22" s="325" t="str">
        <f>IFERROR(VLOOKUP(P22, Tarieven!$A$2:$J$150, 10, FALSE), "0")</f>
        <v>0</v>
      </c>
      <c r="R22" s="444" t="str">
        <f>Februari!R22</f>
        <v/>
      </c>
      <c r="S22" s="428" t="str">
        <f>Februari!S22</f>
        <v/>
      </c>
      <c r="T22" s="325" t="str">
        <f>IFERROR(VLOOKUP(S22, Tarieven!$A$2:$J$150, 10, FALSE), "0")</f>
        <v>0</v>
      </c>
      <c r="U22" s="77" t="str">
        <f>Februari!U22</f>
        <v/>
      </c>
      <c r="V22" s="327" t="str">
        <f>Februari!V22</f>
        <v/>
      </c>
      <c r="W22" s="325" t="str">
        <f>IFERROR(VLOOKUP(V22, Tarieven!$A$2:$J$150, 10, FALSE), "0")</f>
        <v>0</v>
      </c>
      <c r="X22" s="138">
        <f>Februari!X22</f>
        <v>9</v>
      </c>
      <c r="Y22" s="398">
        <v>0.0</v>
      </c>
      <c r="Z22" s="329">
        <f t="shared" si="3"/>
        <v>10</v>
      </c>
      <c r="AA22" s="32">
        <f t="shared" si="4"/>
        <v>56.8</v>
      </c>
      <c r="AB22" s="32">
        <f t="shared" si="5"/>
        <v>34.25</v>
      </c>
      <c r="AC22" s="32">
        <f t="shared" si="6"/>
        <v>-22.55</v>
      </c>
    </row>
    <row r="23" ht="22.5" customHeight="1">
      <c r="A23" s="331" t="str">
        <f>Rooster!A24</f>
        <v/>
      </c>
      <c r="B23" s="396" t="str">
        <f>Rooster!B24</f>
        <v/>
      </c>
      <c r="C23" s="15" t="str">
        <f>Rooster!C24</f>
        <v/>
      </c>
      <c r="D23" s="11" t="str">
        <f>Rooster!D24</f>
        <v/>
      </c>
      <c r="E23" s="77"/>
      <c r="F23" s="327" t="str">
        <f>Rooster!E24</f>
        <v/>
      </c>
      <c r="G23" s="319" t="str">
        <f>IFERROR(VLOOKUP(F23, Docenten!$A$2:$G$30, 7, FALSE), "0")</f>
        <v>0</v>
      </c>
      <c r="H23" s="320">
        <f t="shared" si="1"/>
        <v>0</v>
      </c>
      <c r="I23" s="327" t="str">
        <f>Rooster!H24</f>
        <v/>
      </c>
      <c r="J23" s="321" t="str">
        <f>IFERROR(VLOOKUP(I23, Locaties!$A$2:$G$15, 7, FALSE), "0")</f>
        <v>0</v>
      </c>
      <c r="K23" s="42">
        <f t="shared" si="2"/>
        <v>0</v>
      </c>
      <c r="L23" s="427" t="str">
        <f>Februari!L23</f>
        <v/>
      </c>
      <c r="M23" s="428" t="str">
        <f>Februari!M23</f>
        <v/>
      </c>
      <c r="N23" s="321" t="str">
        <f>IFERROR(VLOOKUP(M23, Tarieven!$A$1:$J$150, 10, FALSE), "0")</f>
        <v>0</v>
      </c>
      <c r="O23" s="427" t="str">
        <f>Februari!O23</f>
        <v/>
      </c>
      <c r="P23" s="428" t="str">
        <f>Februari!P23</f>
        <v/>
      </c>
      <c r="Q23" s="325" t="str">
        <f>IFERROR(VLOOKUP(P23, Tarieven!$A$2:$J$150, 10, FALSE), "0")</f>
        <v>0</v>
      </c>
      <c r="R23" s="444" t="str">
        <f>Februari!R23</f>
        <v/>
      </c>
      <c r="S23" s="428" t="str">
        <f>Februari!S23</f>
        <v/>
      </c>
      <c r="T23" s="325" t="str">
        <f>IFERROR(VLOOKUP(S23, Tarieven!$A$2:$J$150, 10, FALSE), "0")</f>
        <v>0</v>
      </c>
      <c r="U23" s="77" t="str">
        <f>Februari!U23</f>
        <v/>
      </c>
      <c r="V23" s="327" t="str">
        <f>Februari!V23</f>
        <v/>
      </c>
      <c r="W23" s="325" t="str">
        <f>IFERROR(VLOOKUP(V23, Tarieven!$A$2:$J$150, 10, FALSE), "0")</f>
        <v>0</v>
      </c>
      <c r="X23" s="138">
        <f>Februari!X23</f>
        <v>0</v>
      </c>
      <c r="Y23" s="398">
        <v>0.0</v>
      </c>
      <c r="Z23" s="329">
        <f t="shared" si="3"/>
        <v>0</v>
      </c>
      <c r="AA23" s="32">
        <f t="shared" si="4"/>
        <v>0</v>
      </c>
      <c r="AB23" s="32">
        <f t="shared" si="5"/>
        <v>0</v>
      </c>
      <c r="AC23" s="32">
        <f t="shared" si="6"/>
        <v>0</v>
      </c>
    </row>
    <row r="24" ht="22.5" customHeight="1">
      <c r="A24" s="331" t="str">
        <f>Rooster!A25</f>
        <v>Donderdag</v>
      </c>
      <c r="B24" s="396">
        <f>Rooster!B25</f>
        <v>0.6458333333</v>
      </c>
      <c r="C24" s="15">
        <f>Rooster!C25</f>
        <v>60</v>
      </c>
      <c r="D24" s="11" t="str">
        <f>Rooster!D25</f>
        <v>Showdance 6+</v>
      </c>
      <c r="E24" s="77">
        <v>4.0</v>
      </c>
      <c r="F24" s="70" t="s">
        <v>59</v>
      </c>
      <c r="G24" s="319">
        <f>IFERROR(VLOOKUP(F24, Docenten!$A$2:$G$30, 7, FALSE), "0")</f>
        <v>20</v>
      </c>
      <c r="H24" s="320">
        <f t="shared" si="1"/>
        <v>20</v>
      </c>
      <c r="I24" s="327" t="str">
        <f>Rooster!H25</f>
        <v>Santpoort Zuid</v>
      </c>
      <c r="J24" s="321">
        <f>IFERROR(VLOOKUP(I24, Locaties!$A$2:$G$15, 7, FALSE), "0")</f>
        <v>18.9</v>
      </c>
      <c r="K24" s="42">
        <f t="shared" si="2"/>
        <v>18.9</v>
      </c>
      <c r="L24" s="427">
        <f>Februari!L24</f>
        <v>6</v>
      </c>
      <c r="M24" s="428" t="str">
        <f>Februari!M24</f>
        <v>1x per week abbo</v>
      </c>
      <c r="N24" s="321">
        <f>IFERROR(VLOOKUP(M24, Tarieven!$A$1:$J$150, 10, FALSE), "0")</f>
        <v>31</v>
      </c>
      <c r="O24" s="427">
        <f>Februari!O24</f>
        <v>3</v>
      </c>
      <c r="P24" s="428" t="str">
        <f>Februari!P24</f>
        <v>2x per week abbo</v>
      </c>
      <c r="Q24" s="325">
        <f>IFERROR(VLOOKUP(P24, Tarieven!$A$2:$J$150, 10, FALSE), "0")</f>
        <v>28.55</v>
      </c>
      <c r="R24" s="444" t="str">
        <f>Februari!R24</f>
        <v/>
      </c>
      <c r="S24" s="428" t="str">
        <f>Februari!S24</f>
        <v/>
      </c>
      <c r="T24" s="325" t="str">
        <f>IFERROR(VLOOKUP(S24, Tarieven!$A$2:$J$150, 10, FALSE), "0")</f>
        <v>0</v>
      </c>
      <c r="U24" s="77" t="str">
        <f>Februari!U24</f>
        <v/>
      </c>
      <c r="V24" s="327" t="str">
        <f>Februari!V24</f>
        <v/>
      </c>
      <c r="W24" s="325" t="str">
        <f>IFERROR(VLOOKUP(V24, Tarieven!$A$2:$J$150, 10, FALSE), "0")</f>
        <v>0</v>
      </c>
      <c r="X24" s="138">
        <f>Februari!X24</f>
        <v>4</v>
      </c>
      <c r="Y24" s="398">
        <v>0.0</v>
      </c>
      <c r="Z24" s="329">
        <f t="shared" si="3"/>
        <v>13</v>
      </c>
      <c r="AA24" s="32">
        <f t="shared" si="4"/>
        <v>155.6</v>
      </c>
      <c r="AB24" s="32">
        <f t="shared" si="5"/>
        <v>271.65</v>
      </c>
      <c r="AC24" s="32">
        <f t="shared" si="6"/>
        <v>116.05</v>
      </c>
    </row>
    <row r="25" ht="22.5" customHeight="1">
      <c r="A25" s="331" t="str">
        <f>Rooster!A26</f>
        <v>Donderdag</v>
      </c>
      <c r="B25" s="396">
        <f>Rooster!B26</f>
        <v>0.6875</v>
      </c>
      <c r="C25" s="15">
        <f>Rooster!C26</f>
        <v>60</v>
      </c>
      <c r="D25" s="11" t="str">
        <f>Rooster!D26</f>
        <v>Showdance 8+</v>
      </c>
      <c r="E25" s="77">
        <v>4.0</v>
      </c>
      <c r="F25" s="70" t="s">
        <v>59</v>
      </c>
      <c r="G25" s="319">
        <f>IFERROR(VLOOKUP(F25, Docenten!$A$2:$G$30, 7, FALSE), "0")</f>
        <v>20</v>
      </c>
      <c r="H25" s="320">
        <f t="shared" si="1"/>
        <v>20</v>
      </c>
      <c r="I25" s="327" t="str">
        <f>Rooster!H26</f>
        <v>Santpoort Zuid</v>
      </c>
      <c r="J25" s="321">
        <f>IFERROR(VLOOKUP(I25, Locaties!$A$2:$G$15, 7, FALSE), "0")</f>
        <v>18.9</v>
      </c>
      <c r="K25" s="42">
        <f t="shared" si="2"/>
        <v>18.9</v>
      </c>
      <c r="L25" s="427">
        <f>Februari!L25</f>
        <v>5</v>
      </c>
      <c r="M25" s="428" t="str">
        <f>Februari!M25</f>
        <v>1x per week abbo</v>
      </c>
      <c r="N25" s="321">
        <f>IFERROR(VLOOKUP(M25, Tarieven!$A$1:$J$150, 10, FALSE), "0")</f>
        <v>31</v>
      </c>
      <c r="O25" s="427">
        <f>Februari!O25</f>
        <v>2</v>
      </c>
      <c r="P25" s="428" t="str">
        <f>Februari!P25</f>
        <v>2x per week abbo</v>
      </c>
      <c r="Q25" s="325">
        <f>IFERROR(VLOOKUP(P25, Tarieven!$A$2:$J$150, 10, FALSE), "0")</f>
        <v>28.55</v>
      </c>
      <c r="R25" s="444" t="str">
        <f>Februari!R25</f>
        <v/>
      </c>
      <c r="S25" s="428" t="str">
        <f>Februari!S25</f>
        <v/>
      </c>
      <c r="T25" s="325" t="str">
        <f>IFERROR(VLOOKUP(S25, Tarieven!$A$2:$J$150, 10, FALSE), "0")</f>
        <v>0</v>
      </c>
      <c r="U25" s="77" t="str">
        <f>Februari!U25</f>
        <v/>
      </c>
      <c r="V25" s="327" t="str">
        <f>Februari!V25</f>
        <v/>
      </c>
      <c r="W25" s="325" t="str">
        <f>IFERROR(VLOOKUP(V25, Tarieven!$A$2:$J$150, 10, FALSE), "0")</f>
        <v>0</v>
      </c>
      <c r="X25" s="138">
        <f>Februari!X25</f>
        <v>4</v>
      </c>
      <c r="Y25" s="398">
        <v>0.0</v>
      </c>
      <c r="Z25" s="329">
        <f t="shared" si="3"/>
        <v>11</v>
      </c>
      <c r="AA25" s="32">
        <f t="shared" si="4"/>
        <v>155.6</v>
      </c>
      <c r="AB25" s="32">
        <f t="shared" si="5"/>
        <v>212.1</v>
      </c>
      <c r="AC25" s="32">
        <f t="shared" si="6"/>
        <v>56.5</v>
      </c>
    </row>
    <row r="26" ht="22.5" customHeight="1">
      <c r="A26" s="331" t="str">
        <f>Rooster!A27</f>
        <v>Donderdag</v>
      </c>
      <c r="B26" s="396">
        <f>Rooster!B27</f>
        <v>0.7291666667</v>
      </c>
      <c r="C26" s="15">
        <f>Rooster!C27</f>
        <v>60</v>
      </c>
      <c r="D26" s="11" t="str">
        <f>Rooster!D27</f>
        <v>Modern 14+</v>
      </c>
      <c r="E26" s="77">
        <v>4.0</v>
      </c>
      <c r="F26" s="70" t="s">
        <v>59</v>
      </c>
      <c r="G26" s="319">
        <f>IFERROR(VLOOKUP(F26, Docenten!$A$2:$G$30, 7, FALSE), "0")</f>
        <v>20</v>
      </c>
      <c r="H26" s="320">
        <f t="shared" si="1"/>
        <v>20</v>
      </c>
      <c r="I26" s="327" t="str">
        <f>Rooster!H27</f>
        <v>Santpoort Zuid</v>
      </c>
      <c r="J26" s="321">
        <f>IFERROR(VLOOKUP(I26, Locaties!$A$2:$G$15, 7, FALSE), "0")</f>
        <v>18.9</v>
      </c>
      <c r="K26" s="42">
        <f t="shared" si="2"/>
        <v>18.9</v>
      </c>
      <c r="L26" s="427">
        <f>Februari!L26</f>
        <v>3</v>
      </c>
      <c r="M26" s="428" t="str">
        <f>Februari!M26</f>
        <v>3x per week abbo</v>
      </c>
      <c r="N26" s="321">
        <f>IFERROR(VLOOKUP(M26, Tarieven!$A$1:$J$150, 10, FALSE), "0")</f>
        <v>28.93333333</v>
      </c>
      <c r="O26" s="427">
        <f>Februari!O26</f>
        <v>1</v>
      </c>
      <c r="P26" s="428" t="str">
        <f>Februari!P26</f>
        <v>2x per week abbo</v>
      </c>
      <c r="Q26" s="325">
        <f>IFERROR(VLOOKUP(P26, Tarieven!$A$2:$J$150, 10, FALSE), "0")</f>
        <v>28.55</v>
      </c>
      <c r="R26" s="444">
        <f>Februari!R26</f>
        <v>2</v>
      </c>
      <c r="S26" s="428" t="str">
        <f>Februari!S26</f>
        <v>Cheer selectie +2 abbo</v>
      </c>
      <c r="T26" s="325">
        <f>IFERROR(VLOOKUP(S26, Tarieven!$A$2:$J$150, 10, FALSE), "0")</f>
        <v>31.53333333</v>
      </c>
      <c r="U26" s="77" t="str">
        <f>Februari!U26</f>
        <v/>
      </c>
      <c r="V26" s="327" t="str">
        <f>Februari!V26</f>
        <v/>
      </c>
      <c r="W26" s="325" t="str">
        <f>IFERROR(VLOOKUP(V26, Tarieven!$A$2:$J$150, 10, FALSE), "0")</f>
        <v>0</v>
      </c>
      <c r="X26" s="138">
        <f>Februari!X26</f>
        <v>7</v>
      </c>
      <c r="Y26" s="398">
        <v>0.0</v>
      </c>
      <c r="Z26" s="329">
        <f t="shared" si="3"/>
        <v>13</v>
      </c>
      <c r="AA26" s="32">
        <f t="shared" si="4"/>
        <v>155.6</v>
      </c>
      <c r="AB26" s="32">
        <f t="shared" si="5"/>
        <v>178.4166667</v>
      </c>
      <c r="AC26" s="32">
        <f t="shared" si="6"/>
        <v>22.81666667</v>
      </c>
    </row>
    <row r="27" ht="22.5" customHeight="1">
      <c r="A27" s="331" t="str">
        <f>Rooster!A28</f>
        <v>Donderdag</v>
      </c>
      <c r="B27" s="396">
        <f>Rooster!B28</f>
        <v>0.7708333333</v>
      </c>
      <c r="C27" s="15">
        <f>Rooster!C28</f>
        <v>60</v>
      </c>
      <c r="D27" s="11" t="str">
        <f>Rooster!D28</f>
        <v>Commercial 14+</v>
      </c>
      <c r="E27" s="77">
        <v>4.0</v>
      </c>
      <c r="F27" s="327" t="str">
        <f>Rooster!E28</f>
        <v>Nova</v>
      </c>
      <c r="G27" s="319">
        <f>IFERROR(VLOOKUP(F27, Docenten!$A$2:$G$30, 7, FALSE), "0")</f>
        <v>22.5</v>
      </c>
      <c r="H27" s="320">
        <f t="shared" si="1"/>
        <v>22.5</v>
      </c>
      <c r="I27" s="327" t="str">
        <f>Rooster!H28</f>
        <v>Santpoort Zuid</v>
      </c>
      <c r="J27" s="321">
        <f>IFERROR(VLOOKUP(I27, Locaties!$A$2:$G$15, 7, FALSE), "0")</f>
        <v>18.9</v>
      </c>
      <c r="K27" s="42">
        <f t="shared" si="2"/>
        <v>18.9</v>
      </c>
      <c r="L27" s="427">
        <f>Februari!L27</f>
        <v>5</v>
      </c>
      <c r="M27" s="428" t="str">
        <f>Februari!M27</f>
        <v>3x per week abbo</v>
      </c>
      <c r="N27" s="321">
        <f>IFERROR(VLOOKUP(M27, Tarieven!$A$1:$J$150, 10, FALSE), "0")</f>
        <v>28.93333333</v>
      </c>
      <c r="O27" s="427">
        <f>Februari!O27</f>
        <v>2</v>
      </c>
      <c r="P27" s="428" t="str">
        <f>Februari!P27</f>
        <v>2x per week abbo</v>
      </c>
      <c r="Q27" s="325">
        <f>IFERROR(VLOOKUP(P27, Tarieven!$A$2:$J$150, 10, FALSE), "0")</f>
        <v>28.55</v>
      </c>
      <c r="R27" s="444">
        <f>Februari!R27</f>
        <v>2</v>
      </c>
      <c r="S27" s="428" t="str">
        <f>Februari!S27</f>
        <v>Cheer selectie +2 abbo</v>
      </c>
      <c r="T27" s="325">
        <f>IFERROR(VLOOKUP(S27, Tarieven!$A$2:$J$150, 10, FALSE), "0")</f>
        <v>31.53333333</v>
      </c>
      <c r="U27" s="77">
        <f>Februari!U27</f>
        <v>1</v>
      </c>
      <c r="V27" s="327" t="str">
        <f>Februari!V27</f>
        <v>1x per week abbo</v>
      </c>
      <c r="W27" s="325">
        <f>IFERROR(VLOOKUP(V27, Tarieven!$A$2:$J$150, 10, FALSE), "0")</f>
        <v>31</v>
      </c>
      <c r="X27" s="138">
        <f>Februari!X27</f>
        <v>10</v>
      </c>
      <c r="Y27" s="398">
        <v>0.0</v>
      </c>
      <c r="Z27" s="329">
        <f t="shared" si="3"/>
        <v>20</v>
      </c>
      <c r="AA27" s="32">
        <f t="shared" si="4"/>
        <v>165.6</v>
      </c>
      <c r="AB27" s="32">
        <f t="shared" si="5"/>
        <v>295.8333333</v>
      </c>
      <c r="AC27" s="32">
        <f t="shared" si="6"/>
        <v>130.2333333</v>
      </c>
    </row>
    <row r="28" ht="22.5" customHeight="1">
      <c r="A28" s="331" t="str">
        <f>Rooster!A29</f>
        <v>Donderdag</v>
      </c>
      <c r="B28" s="396">
        <f>Rooster!B29</f>
        <v>0.8125</v>
      </c>
      <c r="C28" s="15">
        <f>Rooster!C29</f>
        <v>60</v>
      </c>
      <c r="D28" s="11" t="str">
        <f>Rooster!D29</f>
        <v>Selectie Hiphop 16+</v>
      </c>
      <c r="E28" s="77">
        <v>4.0</v>
      </c>
      <c r="F28" s="327" t="str">
        <f>Rooster!E29</f>
        <v>Nova</v>
      </c>
      <c r="G28" s="319">
        <f>IFERROR(VLOOKUP(F28, Docenten!$A$2:$G$30, 7, FALSE), "0")</f>
        <v>22.5</v>
      </c>
      <c r="H28" s="320">
        <f t="shared" si="1"/>
        <v>22.5</v>
      </c>
      <c r="I28" s="327" t="str">
        <f>Rooster!H29</f>
        <v>Santpoort Zuid</v>
      </c>
      <c r="J28" s="321">
        <f>IFERROR(VLOOKUP(I28, Locaties!$A$2:$G$15, 7, FALSE), "0")</f>
        <v>18.9</v>
      </c>
      <c r="K28" s="42">
        <f t="shared" si="2"/>
        <v>18.9</v>
      </c>
      <c r="L28" s="427">
        <f>Februari!L28</f>
        <v>2</v>
      </c>
      <c r="M28" s="428" t="str">
        <f>Februari!M28</f>
        <v>Cheer selectie +2 abbo</v>
      </c>
      <c r="N28" s="321">
        <f>IFERROR(VLOOKUP(M28, Tarieven!$A$1:$J$150, 10, FALSE), "0")</f>
        <v>31.53333333</v>
      </c>
      <c r="O28" s="427">
        <f>Februari!O28</f>
        <v>3</v>
      </c>
      <c r="P28" s="428" t="str">
        <f>Februari!P28</f>
        <v>3x per week abbo</v>
      </c>
      <c r="Q28" s="325">
        <f>IFERROR(VLOOKUP(P28, Tarieven!$A$2:$J$150, 10, FALSE), "0")</f>
        <v>28.93333333</v>
      </c>
      <c r="R28" s="444">
        <f>Februari!R28</f>
        <v>2</v>
      </c>
      <c r="S28" s="428" t="str">
        <f>Februari!S28</f>
        <v>2x per week abbo</v>
      </c>
      <c r="T28" s="325">
        <f>IFERROR(VLOOKUP(S28, Tarieven!$A$2:$J$150, 10, FALSE), "0")</f>
        <v>28.55</v>
      </c>
      <c r="U28" s="77" t="str">
        <f>Februari!U28</f>
        <v/>
      </c>
      <c r="V28" s="327" t="str">
        <f>Februari!V28</f>
        <v/>
      </c>
      <c r="W28" s="325" t="str">
        <f>IFERROR(VLOOKUP(V28, Tarieven!$A$2:$J$150, 10, FALSE), "0")</f>
        <v>0</v>
      </c>
      <c r="X28" s="138">
        <f>Februari!X28</f>
        <v>8</v>
      </c>
      <c r="Y28" s="398">
        <v>0.0</v>
      </c>
      <c r="Z28" s="329">
        <f t="shared" si="3"/>
        <v>15</v>
      </c>
      <c r="AA28" s="32">
        <f t="shared" si="4"/>
        <v>165.6</v>
      </c>
      <c r="AB28" s="32">
        <f t="shared" si="5"/>
        <v>206.9666667</v>
      </c>
      <c r="AC28" s="32">
        <f t="shared" si="6"/>
        <v>41.36666667</v>
      </c>
    </row>
    <row r="29" ht="22.5" customHeight="1">
      <c r="A29" s="331" t="str">
        <f>Rooster!A30</f>
        <v>Donderdag</v>
      </c>
      <c r="B29" s="396">
        <f>Rooster!B30</f>
        <v>0.8541666667</v>
      </c>
      <c r="C29" s="15">
        <f>Rooster!C30</f>
        <v>60</v>
      </c>
      <c r="D29" s="11" t="str">
        <f>Rooster!D30</f>
        <v>Modern 16+</v>
      </c>
      <c r="E29" s="77">
        <v>4.0</v>
      </c>
      <c r="F29" s="327" t="str">
        <f>Rooster!E30</f>
        <v>Nova</v>
      </c>
      <c r="G29" s="319">
        <f>IFERROR(VLOOKUP(F29, Docenten!$A$2:$G$30, 7, FALSE), "0")</f>
        <v>22.5</v>
      </c>
      <c r="H29" s="320">
        <f t="shared" si="1"/>
        <v>22.5</v>
      </c>
      <c r="I29" s="327" t="str">
        <f>Rooster!H30</f>
        <v>Santpoort Zuid</v>
      </c>
      <c r="J29" s="321">
        <f>IFERROR(VLOOKUP(I29, Locaties!$A$2:$G$15, 7, FALSE), "0")</f>
        <v>18.9</v>
      </c>
      <c r="K29" s="42">
        <f t="shared" si="2"/>
        <v>18.9</v>
      </c>
      <c r="L29" s="427">
        <f>Februari!L29</f>
        <v>1</v>
      </c>
      <c r="M29" s="428" t="str">
        <f>Februari!M29</f>
        <v>1x per week abbo</v>
      </c>
      <c r="N29" s="321">
        <f>IFERROR(VLOOKUP(M29, Tarieven!$A$1:$J$150, 10, FALSE), "0")</f>
        <v>31</v>
      </c>
      <c r="O29" s="427">
        <f>Februari!O29</f>
        <v>2</v>
      </c>
      <c r="P29" s="428" t="str">
        <f>Februari!P29</f>
        <v>3x per week abbo</v>
      </c>
      <c r="Q29" s="325">
        <f>IFERROR(VLOOKUP(P29, Tarieven!$A$2:$J$150, 10, FALSE), "0")</f>
        <v>28.93333333</v>
      </c>
      <c r="R29" s="444" t="str">
        <f>Februari!R29</f>
        <v/>
      </c>
      <c r="S29" s="428" t="str">
        <f>Februari!S29</f>
        <v/>
      </c>
      <c r="T29" s="325" t="str">
        <f>IFERROR(VLOOKUP(S29, Tarieven!$A$2:$J$150, 10, FALSE), "0")</f>
        <v>0</v>
      </c>
      <c r="U29" s="77" t="str">
        <f>Februari!U29</f>
        <v/>
      </c>
      <c r="V29" s="327" t="str">
        <f>Februari!V29</f>
        <v/>
      </c>
      <c r="W29" s="325" t="str">
        <f>IFERROR(VLOOKUP(V29, Tarieven!$A$2:$J$150, 10, FALSE), "0")</f>
        <v>0</v>
      </c>
      <c r="X29" s="138">
        <f>Februari!X29</f>
        <v>5</v>
      </c>
      <c r="Y29" s="398">
        <v>0.0</v>
      </c>
      <c r="Z29" s="329">
        <f t="shared" si="3"/>
        <v>8</v>
      </c>
      <c r="AA29" s="32">
        <f t="shared" si="4"/>
        <v>165.6</v>
      </c>
      <c r="AB29" s="32">
        <f t="shared" si="5"/>
        <v>88.86666667</v>
      </c>
      <c r="AC29" s="32">
        <f t="shared" si="6"/>
        <v>-76.73333333</v>
      </c>
    </row>
    <row r="30" ht="22.5" customHeight="1">
      <c r="A30" s="331" t="str">
        <f>Rooster!A31</f>
        <v>Vrijdag</v>
      </c>
      <c r="B30" s="396">
        <f>Rooster!B31</f>
        <v>0.625</v>
      </c>
      <c r="C30" s="15">
        <f>Rooster!C31</f>
        <v>60</v>
      </c>
      <c r="D30" s="11" t="str">
        <f>Rooster!D31</f>
        <v>Selectie Hiphop 8+</v>
      </c>
      <c r="E30" s="77">
        <v>4.0</v>
      </c>
      <c r="F30" s="327" t="str">
        <f>Rooster!E31</f>
        <v>Eigenaar</v>
      </c>
      <c r="G30" s="319">
        <f>IFERROR(VLOOKUP(F30, Docenten!$A$2:$G$30, 7, FALSE), "0")</f>
        <v>0</v>
      </c>
      <c r="H30" s="320">
        <f t="shared" si="1"/>
        <v>0</v>
      </c>
      <c r="I30" s="327" t="str">
        <f>Rooster!H31</f>
        <v>Santpoort Zuid</v>
      </c>
      <c r="J30" s="321">
        <f>IFERROR(VLOOKUP(I30, Locaties!$A$2:$G$15, 7, FALSE), "0")</f>
        <v>18.9</v>
      </c>
      <c r="K30" s="42">
        <f t="shared" si="2"/>
        <v>18.9</v>
      </c>
      <c r="L30" s="427">
        <f>Februari!L30</f>
        <v>5</v>
      </c>
      <c r="M30" s="428" t="str">
        <f>Februari!M30</f>
        <v>2x per week abbo</v>
      </c>
      <c r="N30" s="321">
        <f>IFERROR(VLOOKUP(M30, Tarieven!$A$1:$J$150, 10, FALSE), "0")</f>
        <v>28.55</v>
      </c>
      <c r="O30" s="427">
        <f>Februari!O30</f>
        <v>3</v>
      </c>
      <c r="P30" s="428" t="str">
        <f>Februari!P30</f>
        <v>Cheer regulier + onbeperkt abbo</v>
      </c>
      <c r="Q30" s="325">
        <f>IFERROR(VLOOKUP(P30, Tarieven!$A$2:$J$150, 10, FALSE), "0")</f>
        <v>44.45</v>
      </c>
      <c r="R30" s="444">
        <f>Februari!R30</f>
        <v>1</v>
      </c>
      <c r="S30" s="428" t="str">
        <f>Februari!S30</f>
        <v>Cheer regulier +2 abbo</v>
      </c>
      <c r="T30" s="325">
        <f>IFERROR(VLOOKUP(S30, Tarieven!$A$2:$J$150, 10, FALSE), "0")</f>
        <v>29.03333333</v>
      </c>
      <c r="U30" s="77" t="str">
        <f>Februari!U30</f>
        <v/>
      </c>
      <c r="V30" s="327" t="str">
        <f>Februari!V30</f>
        <v/>
      </c>
      <c r="W30" s="325" t="str">
        <f>IFERROR(VLOOKUP(V30, Tarieven!$A$2:$J$150, 10, FALSE), "0")</f>
        <v>0</v>
      </c>
      <c r="X30" s="138">
        <f>Februari!X30</f>
        <v>4</v>
      </c>
      <c r="Y30" s="398">
        <v>0.0</v>
      </c>
      <c r="Z30" s="329">
        <f t="shared" si="3"/>
        <v>13</v>
      </c>
      <c r="AA30" s="32">
        <f t="shared" si="4"/>
        <v>75.6</v>
      </c>
      <c r="AB30" s="32">
        <f t="shared" si="5"/>
        <v>305.1333333</v>
      </c>
      <c r="AC30" s="32">
        <f t="shared" si="6"/>
        <v>229.5333333</v>
      </c>
    </row>
    <row r="31" ht="22.5" customHeight="1">
      <c r="A31" s="331" t="str">
        <f>Rooster!A32</f>
        <v>Vrijdag</v>
      </c>
      <c r="B31" s="396">
        <f>Rooster!B32</f>
        <v>0.6666666667</v>
      </c>
      <c r="C31" s="15">
        <f>Rooster!C32</f>
        <v>60</v>
      </c>
      <c r="D31" s="11" t="str">
        <f>Rooster!D32</f>
        <v>Cheer 8+</v>
      </c>
      <c r="E31" s="77">
        <v>4.0</v>
      </c>
      <c r="F31" s="327" t="str">
        <f>Rooster!E32</f>
        <v>Eigenaar</v>
      </c>
      <c r="G31" s="319">
        <f>IFERROR(VLOOKUP(F31, Docenten!$A$2:$G$30, 7, FALSE), "0")</f>
        <v>0</v>
      </c>
      <c r="H31" s="320">
        <f t="shared" si="1"/>
        <v>0</v>
      </c>
      <c r="I31" s="327" t="str">
        <f>Rooster!H32</f>
        <v>Santpoort Zuid</v>
      </c>
      <c r="J31" s="321">
        <f>IFERROR(VLOOKUP(I31, Locaties!$A$2:$G$15, 7, FALSE), "0")</f>
        <v>18.9</v>
      </c>
      <c r="K31" s="42">
        <f t="shared" si="2"/>
        <v>18.9</v>
      </c>
      <c r="L31" s="427">
        <f>Februari!L31</f>
        <v>3</v>
      </c>
      <c r="M31" s="428" t="str">
        <f>Februari!M31</f>
        <v>Cheer regulier + onbeperkt abbo</v>
      </c>
      <c r="N31" s="321">
        <f>IFERROR(VLOOKUP(M31, Tarieven!$A$1:$J$150, 10, FALSE), "0")</f>
        <v>44.45</v>
      </c>
      <c r="O31" s="427">
        <f>Februari!O31</f>
        <v>5</v>
      </c>
      <c r="P31" s="428" t="str">
        <f>Februari!P31</f>
        <v>Cheer regulier +1 abbo</v>
      </c>
      <c r="Q31" s="325">
        <f>IFERROR(VLOOKUP(P31, Tarieven!$A$2:$J$150, 10, FALSE), "0")</f>
        <v>32.25</v>
      </c>
      <c r="R31" s="444">
        <f>Februari!R31</f>
        <v>1</v>
      </c>
      <c r="S31" s="428" t="str">
        <f>Februari!S31</f>
        <v>Cheer regulier abbo</v>
      </c>
      <c r="T31" s="325">
        <f>IFERROR(VLOOKUP(S31, Tarieven!$A$2:$J$150, 10, FALSE), "0")</f>
        <v>33.5</v>
      </c>
      <c r="U31" s="77">
        <v>1.0</v>
      </c>
      <c r="V31" s="70" t="s">
        <v>48</v>
      </c>
      <c r="W31" s="432">
        <v>82.0</v>
      </c>
      <c r="X31" s="138">
        <f>Februari!X31</f>
        <v>11</v>
      </c>
      <c r="Y31" s="398">
        <v>0.0</v>
      </c>
      <c r="Z31" s="329">
        <f t="shared" si="3"/>
        <v>21</v>
      </c>
      <c r="AA31" s="32">
        <f t="shared" si="4"/>
        <v>75.6</v>
      </c>
      <c r="AB31" s="32">
        <f t="shared" si="5"/>
        <v>410.1</v>
      </c>
      <c r="AC31" s="32">
        <f t="shared" si="6"/>
        <v>334.5</v>
      </c>
    </row>
    <row r="32" ht="22.5" customHeight="1">
      <c r="A32" s="331" t="str">
        <f>Rooster!A33</f>
        <v>Vrijdag</v>
      </c>
      <c r="B32" s="396">
        <f>Rooster!B33</f>
        <v>0.7083333333</v>
      </c>
      <c r="C32" s="15">
        <f>Rooster!C33</f>
        <v>60</v>
      </c>
      <c r="D32" s="11" t="str">
        <f>Rooster!D33</f>
        <v>Cheer 12+</v>
      </c>
      <c r="E32" s="77">
        <v>4.0</v>
      </c>
      <c r="F32" s="327" t="str">
        <f>Rooster!E33</f>
        <v>Eigenaar</v>
      </c>
      <c r="G32" s="319">
        <f>IFERROR(VLOOKUP(F32, Docenten!$A$2:$G$30, 7, FALSE), "0")</f>
        <v>0</v>
      </c>
      <c r="H32" s="320">
        <f t="shared" si="1"/>
        <v>0</v>
      </c>
      <c r="I32" s="327" t="str">
        <f>Rooster!H33</f>
        <v>Santpoort Zuid</v>
      </c>
      <c r="J32" s="321">
        <f>IFERROR(VLOOKUP(I32, Locaties!$A$2:$G$15, 7, FALSE), "0")</f>
        <v>18.9</v>
      </c>
      <c r="K32" s="42">
        <f t="shared" si="2"/>
        <v>18.9</v>
      </c>
      <c r="L32" s="427">
        <f>Februari!L32</f>
        <v>4</v>
      </c>
      <c r="M32" s="428" t="str">
        <f>Februari!M32</f>
        <v>Cheer regulier +1 abbo</v>
      </c>
      <c r="N32" s="321">
        <f>IFERROR(VLOOKUP(M32, Tarieven!$A$1:$J$150, 10, FALSE), "0")</f>
        <v>32.25</v>
      </c>
      <c r="O32" s="427">
        <f>Februari!O32</f>
        <v>3</v>
      </c>
      <c r="P32" s="428" t="str">
        <f>Februari!P32</f>
        <v>Cheer regulier + onbeperkt abbo</v>
      </c>
      <c r="Q32" s="325">
        <f>IFERROR(VLOOKUP(P32, Tarieven!$A$2:$J$150, 10, FALSE), "0")</f>
        <v>44.45</v>
      </c>
      <c r="R32" s="444">
        <f>Februari!R32</f>
        <v>1</v>
      </c>
      <c r="S32" s="428" t="str">
        <f>Februari!S32</f>
        <v>Cheer regulier abbo</v>
      </c>
      <c r="T32" s="325">
        <f>IFERROR(VLOOKUP(S32, Tarieven!$A$2:$J$150, 10, FALSE), "0")</f>
        <v>33.5</v>
      </c>
      <c r="U32" s="77">
        <f>Februari!U32</f>
        <v>2</v>
      </c>
      <c r="V32" s="327" t="str">
        <f>Februari!V32</f>
        <v>1x per week abbo</v>
      </c>
      <c r="W32" s="325">
        <f>IFERROR(VLOOKUP(V32, Tarieven!$A$2:$J$150, 10, FALSE), "0")</f>
        <v>31</v>
      </c>
      <c r="X32" s="138">
        <f>Februari!X32</f>
        <v>5</v>
      </c>
      <c r="Y32" s="398">
        <v>0.0</v>
      </c>
      <c r="Z32" s="329">
        <f t="shared" si="3"/>
        <v>15</v>
      </c>
      <c r="AA32" s="32">
        <f t="shared" si="4"/>
        <v>75.6</v>
      </c>
      <c r="AB32" s="32">
        <f t="shared" si="5"/>
        <v>357.85</v>
      </c>
      <c r="AC32" s="32">
        <f t="shared" si="6"/>
        <v>282.25</v>
      </c>
    </row>
    <row r="33" ht="22.5" customHeight="1">
      <c r="A33" s="331" t="str">
        <f>Rooster!A34</f>
        <v>Vrijdag</v>
      </c>
      <c r="B33" s="396">
        <f>Rooster!B34</f>
        <v>0.75</v>
      </c>
      <c r="C33" s="15">
        <f>Rooster!C34</f>
        <v>60</v>
      </c>
      <c r="D33" s="11" t="str">
        <f>Rooster!D34</f>
        <v>Urban-pop-Show 11+</v>
      </c>
      <c r="E33" s="77">
        <v>4.0</v>
      </c>
      <c r="F33" s="327" t="str">
        <f>Rooster!E34</f>
        <v>Eigenaar</v>
      </c>
      <c r="G33" s="319">
        <f>IFERROR(VLOOKUP(F33, Docenten!$A$2:$G$30, 7, FALSE), "0")</f>
        <v>0</v>
      </c>
      <c r="H33" s="320">
        <f t="shared" si="1"/>
        <v>0</v>
      </c>
      <c r="I33" s="327" t="str">
        <f>Rooster!H34</f>
        <v>Santpoort Noord</v>
      </c>
      <c r="J33" s="321">
        <f>IFERROR(VLOOKUP(I33, Locaties!$A$2:$G$15, 7, FALSE), "0")</f>
        <v>14.2</v>
      </c>
      <c r="K33" s="42">
        <f t="shared" si="2"/>
        <v>14.2</v>
      </c>
      <c r="L33" s="427">
        <f>Februari!L33</f>
        <v>2</v>
      </c>
      <c r="M33" s="428" t="str">
        <f>Februari!M33</f>
        <v>Cheer regulier +1 abbo</v>
      </c>
      <c r="N33" s="321">
        <f>IFERROR(VLOOKUP(M33, Tarieven!$A$1:$J$150, 10, FALSE), "0")</f>
        <v>32.25</v>
      </c>
      <c r="O33" s="440">
        <v>3.0</v>
      </c>
      <c r="P33" s="428" t="str">
        <f>Februari!P33</f>
        <v>1x per week abbo</v>
      </c>
      <c r="Q33" s="325"/>
      <c r="R33" s="444" t="str">
        <f>Februari!R33</f>
        <v/>
      </c>
      <c r="S33" s="428" t="str">
        <f>Februari!S33</f>
        <v/>
      </c>
      <c r="T33" s="325" t="str">
        <f>IFERROR(VLOOKUP(S33, Tarieven!$A$2:$J$150, 10, FALSE), "0")</f>
        <v>0</v>
      </c>
      <c r="U33" s="77" t="str">
        <f>Februari!U33</f>
        <v/>
      </c>
      <c r="V33" s="327" t="str">
        <f>Februari!V33</f>
        <v/>
      </c>
      <c r="W33" s="325" t="str">
        <f>IFERROR(VLOOKUP(V33, Tarieven!$A$2:$J$150, 10, FALSE), "0")</f>
        <v>0</v>
      </c>
      <c r="X33" s="138">
        <f>Februari!X33</f>
        <v>8</v>
      </c>
      <c r="Y33" s="398">
        <v>0.0</v>
      </c>
      <c r="Z33" s="329">
        <f t="shared" si="3"/>
        <v>13</v>
      </c>
      <c r="AA33" s="32">
        <f t="shared" si="4"/>
        <v>56.8</v>
      </c>
      <c r="AB33" s="32">
        <f t="shared" si="5"/>
        <v>64.5</v>
      </c>
      <c r="AC33" s="32">
        <f t="shared" si="6"/>
        <v>7.7</v>
      </c>
    </row>
    <row r="34" ht="22.5" customHeight="1">
      <c r="A34" s="331" t="str">
        <f>Rooster!A35</f>
        <v>Zaterdag</v>
      </c>
      <c r="B34" s="396">
        <f>Rooster!B35</f>
        <v>0.375</v>
      </c>
      <c r="C34" s="15">
        <f>Rooster!C35</f>
        <v>60</v>
      </c>
      <c r="D34" s="11" t="str">
        <f>Rooster!D35</f>
        <v>Peuters</v>
      </c>
      <c r="E34" s="77">
        <v>4.0</v>
      </c>
      <c r="F34" s="327" t="str">
        <f>Rooster!E35</f>
        <v>Frederique</v>
      </c>
      <c r="G34" s="319">
        <f>IFERROR(VLOOKUP(F34, Docenten!$A$2:$G$30, 7, FALSE), "0")</f>
        <v>12.5</v>
      </c>
      <c r="H34" s="320">
        <f t="shared" si="1"/>
        <v>12.5</v>
      </c>
      <c r="I34" s="327" t="str">
        <f>Rooster!H35</f>
        <v>Santpoort Noord</v>
      </c>
      <c r="J34" s="321">
        <f>IFERROR(VLOOKUP(I34, Locaties!$A$2:$G$15, 7, FALSE), "0")</f>
        <v>14.2</v>
      </c>
      <c r="K34" s="42">
        <f t="shared" si="2"/>
        <v>14.2</v>
      </c>
      <c r="L34" s="427">
        <f>Februari!L34</f>
        <v>12</v>
      </c>
      <c r="M34" s="428" t="str">
        <f>Februari!M34</f>
        <v>1x per week abbo</v>
      </c>
      <c r="N34" s="321">
        <f>IFERROR(VLOOKUP(M34, Tarieven!$A$1:$J$150, 10, FALSE), "0")</f>
        <v>31</v>
      </c>
      <c r="O34" s="427">
        <f>Februari!O34</f>
        <v>1</v>
      </c>
      <c r="P34" s="428" t="str">
        <f>Februari!P34</f>
        <v/>
      </c>
      <c r="Q34" s="325" t="str">
        <f>IFERROR(VLOOKUP(P34, Tarieven!$A$2:$J$150, 10, FALSE), "0")</f>
        <v>0</v>
      </c>
      <c r="R34" s="444" t="str">
        <f>Februari!R34</f>
        <v/>
      </c>
      <c r="S34" s="428" t="str">
        <f>Februari!S34</f>
        <v/>
      </c>
      <c r="T34" s="325" t="str">
        <f>IFERROR(VLOOKUP(S34, Tarieven!$A$2:$J$150, 10, FALSE), "0")</f>
        <v>0</v>
      </c>
      <c r="U34" s="77" t="str">
        <f>Februari!U34</f>
        <v/>
      </c>
      <c r="V34" s="327" t="str">
        <f>Februari!V34</f>
        <v/>
      </c>
      <c r="W34" s="325" t="str">
        <f>IFERROR(VLOOKUP(V34, Tarieven!$A$2:$J$150, 10, FALSE), "0")</f>
        <v>0</v>
      </c>
      <c r="X34" s="138">
        <f>Februari!X34</f>
        <v>4</v>
      </c>
      <c r="Y34" s="398">
        <v>0.0</v>
      </c>
      <c r="Z34" s="329">
        <f t="shared" si="3"/>
        <v>17</v>
      </c>
      <c r="AA34" s="32">
        <f t="shared" si="4"/>
        <v>106.8</v>
      </c>
      <c r="AB34" s="32">
        <f t="shared" si="5"/>
        <v>372</v>
      </c>
      <c r="AC34" s="32">
        <f t="shared" si="6"/>
        <v>265.2</v>
      </c>
    </row>
    <row r="35" ht="22.5" customHeight="1">
      <c r="A35" s="331" t="str">
        <f>Rooster!A36</f>
        <v>Zaterdag</v>
      </c>
      <c r="B35" s="396">
        <f>Rooster!B36</f>
        <v>0.40625</v>
      </c>
      <c r="C35" s="15">
        <f>Rooster!C36</f>
        <v>60</v>
      </c>
      <c r="D35" s="11" t="str">
        <f>Rooster!D36</f>
        <v>Kleuters</v>
      </c>
      <c r="E35" s="77">
        <v>4.0</v>
      </c>
      <c r="F35" s="327" t="str">
        <f>Rooster!E36</f>
        <v>Frederique</v>
      </c>
      <c r="G35" s="319">
        <f>IFERROR(VLOOKUP(F35, Docenten!$A$2:$G$30, 7, FALSE), "0")</f>
        <v>12.5</v>
      </c>
      <c r="H35" s="320">
        <f t="shared" si="1"/>
        <v>12.5</v>
      </c>
      <c r="I35" s="327" t="str">
        <f>Rooster!H36</f>
        <v>Santpoort Noord</v>
      </c>
      <c r="J35" s="321">
        <f>IFERROR(VLOOKUP(I35, Locaties!$A$2:$G$15, 7, FALSE), "0")</f>
        <v>14.2</v>
      </c>
      <c r="K35" s="42">
        <f t="shared" si="2"/>
        <v>14.2</v>
      </c>
      <c r="L35" s="427">
        <f>Februari!L35</f>
        <v>11</v>
      </c>
      <c r="M35" s="428" t="str">
        <f>Februari!M35</f>
        <v>1x per week abbo</v>
      </c>
      <c r="N35" s="321">
        <f>IFERROR(VLOOKUP(M35, Tarieven!$A$1:$J$150, 10, FALSE), "0")</f>
        <v>31</v>
      </c>
      <c r="O35" s="427" t="str">
        <f>Februari!O35</f>
        <v/>
      </c>
      <c r="P35" s="428" t="str">
        <f>Februari!P35</f>
        <v/>
      </c>
      <c r="Q35" s="325"/>
      <c r="R35" s="444" t="str">
        <f>Februari!R35</f>
        <v/>
      </c>
      <c r="S35" s="428" t="str">
        <f>Februari!S35</f>
        <v/>
      </c>
      <c r="T35" s="325" t="str">
        <f>IFERROR(VLOOKUP(S35, Tarieven!$A$2:$J$150, 10, FALSE), "0")</f>
        <v>0</v>
      </c>
      <c r="U35" s="77" t="str">
        <f>Februari!U35</f>
        <v/>
      </c>
      <c r="V35" s="327" t="str">
        <f>Februari!V35</f>
        <v/>
      </c>
      <c r="W35" s="325" t="str">
        <f>IFERROR(VLOOKUP(V35, Tarieven!$A$2:$J$150, 10, FALSE), "0")</f>
        <v>0</v>
      </c>
      <c r="X35" s="138">
        <f>Februari!X35</f>
        <v>5</v>
      </c>
      <c r="Y35" s="398">
        <v>0.0</v>
      </c>
      <c r="Z35" s="329">
        <f t="shared" si="3"/>
        <v>16</v>
      </c>
      <c r="AA35" s="32">
        <f t="shared" si="4"/>
        <v>106.8</v>
      </c>
      <c r="AB35" s="32">
        <f t="shared" si="5"/>
        <v>341</v>
      </c>
      <c r="AC35" s="32">
        <f t="shared" si="6"/>
        <v>234.2</v>
      </c>
    </row>
    <row r="36" ht="22.5" customHeight="1">
      <c r="A36" s="331" t="str">
        <f>Rooster!A37</f>
        <v>Zaterdag</v>
      </c>
      <c r="B36" s="396">
        <f>Rooster!B37</f>
        <v>0.4375</v>
      </c>
      <c r="C36" s="15">
        <f>Rooster!C37</f>
        <v>60</v>
      </c>
      <c r="D36" s="11" t="str">
        <f>Rooster!D37</f>
        <v>Showdance 5-6</v>
      </c>
      <c r="E36" s="77">
        <v>4.0</v>
      </c>
      <c r="F36" s="327" t="str">
        <f>Rooster!E37</f>
        <v>Frederique</v>
      </c>
      <c r="G36" s="319">
        <f>IFERROR(VLOOKUP(F36, Docenten!$A$2:$G$30, 7, FALSE), "0")</f>
        <v>12.5</v>
      </c>
      <c r="H36" s="320">
        <f t="shared" si="1"/>
        <v>12.5</v>
      </c>
      <c r="I36" s="327" t="str">
        <f>Rooster!H37</f>
        <v>Santpoort Noord</v>
      </c>
      <c r="J36" s="321">
        <f>IFERROR(VLOOKUP(I36, Locaties!$A$2:$G$15, 7, FALSE), "0")</f>
        <v>14.2</v>
      </c>
      <c r="K36" s="42">
        <f t="shared" si="2"/>
        <v>14.2</v>
      </c>
      <c r="L36" s="440">
        <v>2.0</v>
      </c>
      <c r="M36" s="428" t="str">
        <f>Februari!M36</f>
        <v>1x per week abbo</v>
      </c>
      <c r="N36" s="321">
        <f>IFERROR(VLOOKUP(M36, Tarieven!$A$1:$J$150, 10, FALSE), "0")</f>
        <v>31</v>
      </c>
      <c r="O36" s="427" t="str">
        <f>Februari!O36</f>
        <v/>
      </c>
      <c r="P36" s="428" t="str">
        <f>Februari!P36</f>
        <v/>
      </c>
      <c r="Q36" s="325" t="str">
        <f>IFERROR(VLOOKUP(P36, Tarieven!$A$2:$J$150, 10, FALSE), "0")</f>
        <v>0</v>
      </c>
      <c r="R36" s="444" t="str">
        <f>Februari!R36</f>
        <v/>
      </c>
      <c r="S36" s="428" t="str">
        <f>Februari!S36</f>
        <v/>
      </c>
      <c r="T36" s="325" t="str">
        <f>IFERROR(VLOOKUP(S36, Tarieven!$A$2:$J$150, 10, FALSE), "0")</f>
        <v>0</v>
      </c>
      <c r="U36" s="77" t="str">
        <f>Februari!U36</f>
        <v/>
      </c>
      <c r="V36" s="327" t="str">
        <f>Februari!V36</f>
        <v/>
      </c>
      <c r="W36" s="325" t="str">
        <f>IFERROR(VLOOKUP(V36, Tarieven!$A$2:$J$150, 10, FALSE), "0")</f>
        <v>0</v>
      </c>
      <c r="X36" s="138">
        <f>Februari!X36</f>
        <v>9</v>
      </c>
      <c r="Y36" s="398">
        <v>0.0</v>
      </c>
      <c r="Z36" s="329">
        <f t="shared" si="3"/>
        <v>11</v>
      </c>
      <c r="AA36" s="32">
        <f t="shared" si="4"/>
        <v>106.8</v>
      </c>
      <c r="AB36" s="32">
        <f t="shared" si="5"/>
        <v>62</v>
      </c>
      <c r="AC36" s="32">
        <f t="shared" si="6"/>
        <v>-44.8</v>
      </c>
    </row>
    <row r="37" ht="22.5" customHeight="1">
      <c r="A37" s="331" t="str">
        <f>Rooster!A38</f>
        <v>Zaterdag</v>
      </c>
      <c r="B37" s="396">
        <f>Rooster!B38</f>
        <v>0.4791666667</v>
      </c>
      <c r="C37" s="15">
        <f>Rooster!C38</f>
        <v>60</v>
      </c>
      <c r="D37" s="11" t="str">
        <f>Rooster!D38</f>
        <v>Showdance 7+</v>
      </c>
      <c r="E37" s="77">
        <v>4.0</v>
      </c>
      <c r="F37" s="327" t="str">
        <f>Rooster!E38</f>
        <v>Frederique</v>
      </c>
      <c r="G37" s="319">
        <f>IFERROR(VLOOKUP(F37, Docenten!$A$2:$G$30, 7, FALSE), "0")</f>
        <v>12.5</v>
      </c>
      <c r="H37" s="320">
        <f t="shared" si="1"/>
        <v>12.5</v>
      </c>
      <c r="I37" s="327" t="str">
        <f>Rooster!H38</f>
        <v>Santpoort Noord</v>
      </c>
      <c r="J37" s="321">
        <f>IFERROR(VLOOKUP(I37, Locaties!$A$2:$G$15, 7, FALSE), "0")</f>
        <v>14.2</v>
      </c>
      <c r="K37" s="42">
        <f t="shared" si="2"/>
        <v>14.2</v>
      </c>
      <c r="L37" s="427">
        <f>Februari!L37</f>
        <v>6</v>
      </c>
      <c r="M37" s="428" t="str">
        <f>Februari!M37</f>
        <v>1x per week abbo</v>
      </c>
      <c r="N37" s="321">
        <f>IFERROR(VLOOKUP(M37, Tarieven!$A$1:$J$150, 10, FALSE), "0")</f>
        <v>31</v>
      </c>
      <c r="O37" s="427">
        <f>Februari!O37</f>
        <v>1</v>
      </c>
      <c r="P37" s="428" t="str">
        <f>Februari!P37</f>
        <v>2x per week abbo</v>
      </c>
      <c r="Q37" s="325">
        <f>IFERROR(VLOOKUP(P37, Tarieven!$A$2:$J$150, 10, FALSE), "0")</f>
        <v>28.55</v>
      </c>
      <c r="R37" s="444" t="str">
        <f>Februari!R37</f>
        <v/>
      </c>
      <c r="S37" s="428" t="str">
        <f>Februari!S37</f>
        <v/>
      </c>
      <c r="T37" s="325" t="str">
        <f>IFERROR(VLOOKUP(S37, Tarieven!$A$2:$J$150, 10, FALSE), "0")</f>
        <v>0</v>
      </c>
      <c r="U37" s="77" t="str">
        <f>Februari!U37</f>
        <v/>
      </c>
      <c r="V37" s="327" t="str">
        <f>Februari!V37</f>
        <v/>
      </c>
      <c r="W37" s="325" t="str">
        <f>IFERROR(VLOOKUP(V37, Tarieven!$A$2:$J$150, 10, FALSE), "0")</f>
        <v>0</v>
      </c>
      <c r="X37" s="138">
        <f>Februari!X37</f>
        <v>4</v>
      </c>
      <c r="Y37" s="398">
        <v>0.0</v>
      </c>
      <c r="Z37" s="329">
        <f t="shared" si="3"/>
        <v>11</v>
      </c>
      <c r="AA37" s="32">
        <f t="shared" si="4"/>
        <v>106.8</v>
      </c>
      <c r="AB37" s="32">
        <f t="shared" si="5"/>
        <v>214.55</v>
      </c>
      <c r="AC37" s="32">
        <f t="shared" si="6"/>
        <v>107.75</v>
      </c>
    </row>
    <row r="38" ht="22.5" customHeight="1">
      <c r="A38" s="331" t="str">
        <f>Rooster!A39</f>
        <v>Zaterdag</v>
      </c>
      <c r="B38" s="396">
        <f>Rooster!B39</f>
        <v>0.4166666667</v>
      </c>
      <c r="C38" s="15">
        <f>Rooster!C39</f>
        <v>60</v>
      </c>
      <c r="D38" s="11" t="str">
        <f>Rooster!D39</f>
        <v>Peuters</v>
      </c>
      <c r="E38" s="77">
        <v>4.0</v>
      </c>
      <c r="F38" s="327" t="str">
        <f>Rooster!E39</f>
        <v>Tess</v>
      </c>
      <c r="G38" s="319">
        <f>IFERROR(VLOOKUP(F38, Docenten!$A$2:$G$30, 7, FALSE), "0")</f>
        <v>17.5</v>
      </c>
      <c r="H38" s="320">
        <f t="shared" si="1"/>
        <v>17.5</v>
      </c>
      <c r="I38" s="327" t="str">
        <f>Rooster!H39</f>
        <v>Santpoort Zuid</v>
      </c>
      <c r="J38" s="321">
        <f>IFERROR(VLOOKUP(I38, Locaties!$A$2:$G$15, 7, FALSE), "0")</f>
        <v>18.9</v>
      </c>
      <c r="K38" s="42">
        <f t="shared" si="2"/>
        <v>18.9</v>
      </c>
      <c r="L38" s="427" t="str">
        <f>Februari!L38</f>
        <v/>
      </c>
      <c r="M38" s="428" t="str">
        <f>Februari!M38</f>
        <v/>
      </c>
      <c r="N38" s="321" t="str">
        <f>IFERROR(VLOOKUP(M38, Tarieven!$A$1:$J$150, 10, FALSE), "0")</f>
        <v>0</v>
      </c>
      <c r="O38" s="427" t="str">
        <f>Februari!O38</f>
        <v/>
      </c>
      <c r="P38" s="428" t="str">
        <f>Februari!P38</f>
        <v/>
      </c>
      <c r="Q38" s="325" t="str">
        <f>IFERROR(VLOOKUP(P38, Tarieven!$A$2:$J$150, 10, FALSE), "0")</f>
        <v>0</v>
      </c>
      <c r="R38" s="444" t="str">
        <f>Februari!R38</f>
        <v/>
      </c>
      <c r="S38" s="428" t="str">
        <f>Februari!S38</f>
        <v/>
      </c>
      <c r="T38" s="325" t="str">
        <f>IFERROR(VLOOKUP(S38, Tarieven!$A$2:$J$150, 10, FALSE), "0")</f>
        <v>0</v>
      </c>
      <c r="U38" s="77" t="str">
        <f>Februari!U38</f>
        <v/>
      </c>
      <c r="V38" s="327" t="str">
        <f>Februari!V38</f>
        <v/>
      </c>
      <c r="W38" s="325" t="str">
        <f>IFERROR(VLOOKUP(V38, Tarieven!$A$2:$J$150, 10, FALSE), "0")</f>
        <v>0</v>
      </c>
      <c r="X38" s="138">
        <f>Februari!X38</f>
        <v>0</v>
      </c>
      <c r="Y38" s="398">
        <v>0.0</v>
      </c>
      <c r="Z38" s="329">
        <f t="shared" si="3"/>
        <v>0</v>
      </c>
      <c r="AA38" s="32">
        <f t="shared" si="4"/>
        <v>145.6</v>
      </c>
      <c r="AB38" s="32">
        <f t="shared" si="5"/>
        <v>0</v>
      </c>
      <c r="AC38" s="32">
        <f t="shared" si="6"/>
        <v>-145.6</v>
      </c>
    </row>
    <row r="39" ht="22.5" customHeight="1">
      <c r="A39" s="331" t="str">
        <f>Rooster!A40</f>
        <v>Zaterdag</v>
      </c>
      <c r="B39" s="396">
        <f>Rooster!B40</f>
        <v>0.4479166667</v>
      </c>
      <c r="C39" s="15">
        <f>Rooster!C40</f>
        <v>60</v>
      </c>
      <c r="D39" s="11" t="str">
        <f>Rooster!D40</f>
        <v>Kleuters</v>
      </c>
      <c r="E39" s="77">
        <v>4.0</v>
      </c>
      <c r="F39" s="327" t="str">
        <f>Rooster!E40</f>
        <v>Tess</v>
      </c>
      <c r="G39" s="319">
        <f>IFERROR(VLOOKUP(F39, Docenten!$A$2:$G$30, 7, FALSE), "0")</f>
        <v>17.5</v>
      </c>
      <c r="H39" s="320">
        <f t="shared" si="1"/>
        <v>17.5</v>
      </c>
      <c r="I39" s="327" t="str">
        <f>Rooster!H40</f>
        <v>Santpoort Zuid</v>
      </c>
      <c r="J39" s="321">
        <f>IFERROR(VLOOKUP(I39, Locaties!$A$2:$G$15, 7, FALSE), "0")</f>
        <v>18.9</v>
      </c>
      <c r="K39" s="42">
        <f t="shared" si="2"/>
        <v>18.9</v>
      </c>
      <c r="L39" s="427">
        <f>Februari!L39</f>
        <v>9</v>
      </c>
      <c r="M39" s="428" t="str">
        <f>Februari!M39</f>
        <v>1x per week abbo</v>
      </c>
      <c r="N39" s="321">
        <f>IFERROR(VLOOKUP(M39, Tarieven!$A$1:$J$150, 10, FALSE), "0")</f>
        <v>31</v>
      </c>
      <c r="O39" s="427">
        <f>Februari!O39</f>
        <v>1</v>
      </c>
      <c r="P39" s="428" t="str">
        <f>Februari!P39</f>
        <v>Aangepast tarief</v>
      </c>
      <c r="Q39" s="325">
        <f>IFERROR(VLOOKUP(P39, Tarieven!$A$2:$J$150, 10, FALSE), "0")</f>
        <v>0</v>
      </c>
      <c r="R39" s="444">
        <f>Februari!R39</f>
        <v>1</v>
      </c>
      <c r="S39" s="428" t="str">
        <f>Februari!S39</f>
        <v>1x per week </v>
      </c>
      <c r="T39" s="325">
        <f>IFERROR(VLOOKUP(S39, Tarieven!$A$2:$J$150, 10, FALSE), "0")</f>
        <v>279</v>
      </c>
      <c r="U39" s="77">
        <f>Februari!U39</f>
        <v>1</v>
      </c>
      <c r="V39" s="327" t="str">
        <f>Februari!V39</f>
        <v>Aangepast tarief</v>
      </c>
      <c r="W39" s="325">
        <f>IFERROR(VLOOKUP(V39, Tarieven!$A$2:$J$150, 10, FALSE), "0")</f>
        <v>0</v>
      </c>
      <c r="X39" s="138">
        <f>Februari!X39</f>
        <v>0</v>
      </c>
      <c r="Y39" s="398">
        <v>0.0</v>
      </c>
      <c r="Z39" s="329">
        <f t="shared" si="3"/>
        <v>12</v>
      </c>
      <c r="AA39" s="32">
        <f t="shared" si="4"/>
        <v>145.6</v>
      </c>
      <c r="AB39" s="32">
        <f t="shared" si="5"/>
        <v>558</v>
      </c>
      <c r="AC39" s="32">
        <f t="shared" si="6"/>
        <v>412.4</v>
      </c>
    </row>
    <row r="40" ht="22.5" customHeight="1">
      <c r="A40" s="331" t="str">
        <f>Rooster!A41</f>
        <v/>
      </c>
      <c r="B40" s="396" t="str">
        <f>Rooster!B41</f>
        <v/>
      </c>
      <c r="C40" s="15" t="str">
        <f>Rooster!C41</f>
        <v/>
      </c>
      <c r="D40" s="11" t="str">
        <f>Rooster!D41</f>
        <v/>
      </c>
      <c r="E40" s="77"/>
      <c r="F40" s="327" t="str">
        <f>Rooster!E41</f>
        <v/>
      </c>
      <c r="G40" s="319" t="str">
        <f>IFERROR(VLOOKUP(F40, Docenten!$A$2:$G$30, 7, FALSE), "0")</f>
        <v>0</v>
      </c>
      <c r="H40" s="320">
        <f t="shared" si="1"/>
        <v>0</v>
      </c>
      <c r="I40" s="327" t="str">
        <f>Rooster!H41</f>
        <v/>
      </c>
      <c r="J40" s="321" t="str">
        <f>IFERROR(VLOOKUP(I40, Locaties!$A$2:$G$15, 7, FALSE), "0")</f>
        <v>0</v>
      </c>
      <c r="K40" s="42">
        <f t="shared" si="2"/>
        <v>0</v>
      </c>
      <c r="L40" s="427" t="str">
        <f>Februari!L40</f>
        <v/>
      </c>
      <c r="M40" s="428" t="str">
        <f>Februari!M40</f>
        <v/>
      </c>
      <c r="N40" s="321" t="str">
        <f>IFERROR(VLOOKUP(M40, Tarieven!$A$1:$J$150, 10, FALSE), "0")</f>
        <v>0</v>
      </c>
      <c r="O40" s="427" t="str">
        <f>Februari!O40</f>
        <v/>
      </c>
      <c r="P40" s="428" t="str">
        <f>Februari!P40</f>
        <v/>
      </c>
      <c r="Q40" s="325" t="str">
        <f>IFERROR(VLOOKUP(P40, Tarieven!$A$2:$J$150, 10, FALSE), "0")</f>
        <v>0</v>
      </c>
      <c r="R40" s="444" t="str">
        <f>Februari!R40</f>
        <v/>
      </c>
      <c r="S40" s="428" t="str">
        <f>Februari!S40</f>
        <v/>
      </c>
      <c r="T40" s="325" t="str">
        <f>IFERROR(VLOOKUP(S40, Tarieven!$A$2:$J$150, 10, FALSE), "0")</f>
        <v>0</v>
      </c>
      <c r="U40" s="77" t="str">
        <f>Februari!U40</f>
        <v/>
      </c>
      <c r="V40" s="327" t="str">
        <f>Februari!V40</f>
        <v/>
      </c>
      <c r="W40" s="325" t="str">
        <f>IFERROR(VLOOKUP(V40, Tarieven!$A$2:$J$150, 10, FALSE), "0")</f>
        <v>0</v>
      </c>
      <c r="X40" s="138">
        <f>Februari!X40</f>
        <v>0</v>
      </c>
      <c r="Y40" s="398">
        <v>0.0</v>
      </c>
      <c r="Z40" s="329">
        <f t="shared" si="3"/>
        <v>0</v>
      </c>
      <c r="AA40" s="32">
        <f t="shared" si="4"/>
        <v>0</v>
      </c>
      <c r="AB40" s="32">
        <f t="shared" si="5"/>
        <v>0</v>
      </c>
      <c r="AC40" s="32">
        <f t="shared" si="6"/>
        <v>0</v>
      </c>
    </row>
    <row r="41" ht="22.5" customHeight="1">
      <c r="A41" s="331" t="str">
        <f>Rooster!A42</f>
        <v/>
      </c>
      <c r="B41" s="396" t="str">
        <f>Rooster!B42</f>
        <v/>
      </c>
      <c r="C41" s="15" t="str">
        <f>Rooster!C42</f>
        <v/>
      </c>
      <c r="D41" s="11" t="str">
        <f>Rooster!D42</f>
        <v/>
      </c>
      <c r="E41" s="77"/>
      <c r="F41" s="327" t="str">
        <f>Rooster!E42</f>
        <v/>
      </c>
      <c r="G41" s="319" t="str">
        <f>IFERROR(VLOOKUP(F41, Docenten!$A$2:$G$30, 7, FALSE), "0")</f>
        <v>0</v>
      </c>
      <c r="H41" s="320">
        <f t="shared" si="1"/>
        <v>0</v>
      </c>
      <c r="I41" s="327" t="str">
        <f>Rooster!H42</f>
        <v/>
      </c>
      <c r="J41" s="321" t="str">
        <f>IFERROR(VLOOKUP(I41, Locaties!$A$2:$G$15, 7, FALSE), "0")</f>
        <v>0</v>
      </c>
      <c r="K41" s="42">
        <f t="shared" si="2"/>
        <v>0</v>
      </c>
      <c r="L41" s="427" t="str">
        <f>Februari!L41</f>
        <v/>
      </c>
      <c r="M41" s="428" t="str">
        <f>Februari!M41</f>
        <v/>
      </c>
      <c r="N41" s="321" t="str">
        <f>IFERROR(VLOOKUP(M41, Tarieven!$A$1:$J$150, 10, FALSE), "0")</f>
        <v>0</v>
      </c>
      <c r="O41" s="427" t="str">
        <f>Februari!O41</f>
        <v/>
      </c>
      <c r="P41" s="428" t="str">
        <f>Februari!P41</f>
        <v/>
      </c>
      <c r="Q41" s="325" t="str">
        <f>IFERROR(VLOOKUP(P41, Tarieven!$A$2:$J$150, 10, FALSE), "0")</f>
        <v>0</v>
      </c>
      <c r="R41" s="444" t="str">
        <f>Februari!R41</f>
        <v/>
      </c>
      <c r="S41" s="428" t="str">
        <f>Februari!S41</f>
        <v/>
      </c>
      <c r="T41" s="325" t="str">
        <f>IFERROR(VLOOKUP(S41, Tarieven!$A$2:$J$150, 10, FALSE), "0")</f>
        <v>0</v>
      </c>
      <c r="U41" s="77" t="str">
        <f>Februari!U41</f>
        <v/>
      </c>
      <c r="V41" s="327" t="str">
        <f>Februari!V41</f>
        <v/>
      </c>
      <c r="W41" s="325" t="str">
        <f>IFERROR(VLOOKUP(V41, Tarieven!$A$2:$J$150, 10, FALSE), "0")</f>
        <v>0</v>
      </c>
      <c r="X41" s="138">
        <f>Februari!X41</f>
        <v>0</v>
      </c>
      <c r="Y41" s="398">
        <v>0.0</v>
      </c>
      <c r="Z41" s="329">
        <f t="shared" si="3"/>
        <v>0</v>
      </c>
      <c r="AA41" s="32">
        <f t="shared" si="4"/>
        <v>0</v>
      </c>
      <c r="AB41" s="32">
        <f t="shared" si="5"/>
        <v>0</v>
      </c>
      <c r="AC41" s="32">
        <f t="shared" si="6"/>
        <v>0</v>
      </c>
    </row>
    <row r="42" ht="22.5" customHeight="1">
      <c r="A42" s="331" t="str">
        <f>Rooster!A43</f>
        <v>Maandag</v>
      </c>
      <c r="B42" s="396">
        <f>Rooster!B43</f>
        <v>0.3958333333</v>
      </c>
      <c r="C42" s="15">
        <f>Rooster!C43</f>
        <v>60</v>
      </c>
      <c r="D42" s="11" t="str">
        <f>Rooster!D43</f>
        <v>Kinderopvang</v>
      </c>
      <c r="E42" s="77">
        <v>5.0</v>
      </c>
      <c r="F42" s="327" t="str">
        <f>Rooster!E43</f>
        <v>Opvang T</v>
      </c>
      <c r="G42" s="319">
        <f>IFERROR(VLOOKUP(F42, Docenten!$A$2:$G$30, 7, FALSE), "0")</f>
        <v>45</v>
      </c>
      <c r="H42" s="320">
        <f t="shared" si="1"/>
        <v>45</v>
      </c>
      <c r="I42" s="327" t="str">
        <f>Rooster!H43</f>
        <v/>
      </c>
      <c r="J42" s="321" t="str">
        <f>IFERROR(VLOOKUP(I42, Locaties!$A$2:$G$15, 7, FALSE), "0")</f>
        <v>0</v>
      </c>
      <c r="K42" s="42">
        <f t="shared" si="2"/>
        <v>0</v>
      </c>
      <c r="L42" s="427">
        <f>Februari!L42</f>
        <v>1</v>
      </c>
      <c r="M42" s="428" t="str">
        <f>Februari!M42</f>
        <v>Aangepast tarief</v>
      </c>
      <c r="N42" s="442">
        <v>400.0</v>
      </c>
      <c r="O42" s="427" t="str">
        <f>Februari!O42</f>
        <v/>
      </c>
      <c r="P42" s="428" t="str">
        <f>Februari!P42</f>
        <v/>
      </c>
      <c r="Q42" s="325" t="str">
        <f>IFERROR(VLOOKUP(P42, Tarieven!$A$2:$J$150, 10, FALSE), "0")</f>
        <v>0</v>
      </c>
      <c r="R42" s="444" t="str">
        <f>Februari!R42</f>
        <v/>
      </c>
      <c r="S42" s="428" t="str">
        <f>Februari!S42</f>
        <v/>
      </c>
      <c r="T42" s="325" t="str">
        <f>IFERROR(VLOOKUP(S42, Tarieven!$A$2:$J$150, 10, FALSE), "0")</f>
        <v>0</v>
      </c>
      <c r="U42" s="77" t="str">
        <f>Februari!U42</f>
        <v/>
      </c>
      <c r="V42" s="327" t="str">
        <f>Februari!V42</f>
        <v/>
      </c>
      <c r="W42" s="325" t="str">
        <f>IFERROR(VLOOKUP(V42, Tarieven!$A$2:$J$150, 10, FALSE), "0")</f>
        <v>0</v>
      </c>
      <c r="X42" s="138">
        <f>Februari!X42</f>
        <v>0</v>
      </c>
      <c r="Y42" s="398">
        <v>0.0</v>
      </c>
      <c r="Z42" s="329">
        <f t="shared" si="3"/>
        <v>1</v>
      </c>
      <c r="AA42" s="32">
        <f t="shared" si="4"/>
        <v>225</v>
      </c>
      <c r="AB42" s="32">
        <f t="shared" si="5"/>
        <v>400</v>
      </c>
      <c r="AC42" s="32">
        <f t="shared" si="6"/>
        <v>175</v>
      </c>
    </row>
    <row r="43" ht="22.5" customHeight="1">
      <c r="A43" s="331" t="str">
        <f>Rooster!A44</f>
        <v>Vrijdag</v>
      </c>
      <c r="B43" s="396">
        <f>Rooster!B44</f>
        <v>0.7916666667</v>
      </c>
      <c r="C43" s="15">
        <v>60.0</v>
      </c>
      <c r="D43" s="11" t="str">
        <f>Rooster!D44</f>
        <v>Prive training</v>
      </c>
      <c r="E43" s="77"/>
      <c r="F43" s="327"/>
      <c r="G43" s="319"/>
      <c r="H43" s="320"/>
      <c r="I43" s="70"/>
      <c r="J43" s="321" t="str">
        <f>IFERROR(VLOOKUP(I43, Locaties!$A$2:$G$15, 7, FALSE), "0")</f>
        <v>0</v>
      </c>
      <c r="K43" s="42">
        <f t="shared" si="2"/>
        <v>0</v>
      </c>
      <c r="L43" s="427" t="str">
        <f>Februari!L43</f>
        <v/>
      </c>
      <c r="M43" s="428" t="str">
        <f>Februari!M43</f>
        <v/>
      </c>
      <c r="N43" s="321" t="str">
        <f>IFERROR(VLOOKUP(M43, Tarieven!$A$1:$J$150, 10, FALSE), "0")</f>
        <v>0</v>
      </c>
      <c r="O43" s="427" t="str">
        <f>Februari!O43</f>
        <v/>
      </c>
      <c r="P43" s="428" t="str">
        <f>Februari!P43</f>
        <v/>
      </c>
      <c r="Q43" s="325" t="str">
        <f>IFERROR(VLOOKUP(P43, Tarieven!$A$2:$J$150, 10, FALSE), "0")</f>
        <v>0</v>
      </c>
      <c r="R43" s="444" t="str">
        <f>Februari!R43</f>
        <v/>
      </c>
      <c r="S43" s="428" t="str">
        <f>Februari!S43</f>
        <v/>
      </c>
      <c r="T43" s="325" t="str">
        <f>IFERROR(VLOOKUP(S43, Tarieven!$A$2:$J$150, 10, FALSE), "0")</f>
        <v>0</v>
      </c>
      <c r="U43" s="77" t="str">
        <f>Februari!U43</f>
        <v/>
      </c>
      <c r="V43" s="327" t="str">
        <f>Februari!V43</f>
        <v/>
      </c>
      <c r="W43" s="325" t="str">
        <f>IFERROR(VLOOKUP(V43, Tarieven!$A$2:$J$150, 10, FALSE), "0")</f>
        <v>0</v>
      </c>
      <c r="X43" s="138">
        <f>Februari!X43</f>
        <v>0</v>
      </c>
      <c r="Y43" s="398">
        <v>0.0</v>
      </c>
      <c r="Z43" s="329">
        <f t="shared" si="3"/>
        <v>0</v>
      </c>
      <c r="AA43" s="32">
        <f t="shared" si="4"/>
        <v>0</v>
      </c>
      <c r="AB43" s="32">
        <f t="shared" si="5"/>
        <v>0</v>
      </c>
      <c r="AC43" s="32">
        <f t="shared" si="6"/>
        <v>0</v>
      </c>
    </row>
    <row r="44" ht="22.5" customHeight="1">
      <c r="A44" s="331" t="str">
        <f>Rooster!A45</f>
        <v>Zaterdag</v>
      </c>
      <c r="B44" s="396">
        <f>Rooster!B45</f>
        <v>0.5625</v>
      </c>
      <c r="C44" s="15">
        <v>60.0</v>
      </c>
      <c r="D44" s="11" t="str">
        <f>Rooster!D45</f>
        <v>Prive training</v>
      </c>
      <c r="E44" s="77"/>
      <c r="F44" s="327"/>
      <c r="G44" s="319"/>
      <c r="H44" s="320"/>
      <c r="I44" s="70"/>
      <c r="J44" s="321" t="str">
        <f>IFERROR(VLOOKUP(I44, Locaties!$A$2:$G$15, 7, FALSE), "0")</f>
        <v>0</v>
      </c>
      <c r="K44" s="42">
        <f t="shared" si="2"/>
        <v>0</v>
      </c>
      <c r="L44" s="427" t="str">
        <f>Februari!L44</f>
        <v/>
      </c>
      <c r="M44" s="428" t="str">
        <f>Februari!M44</f>
        <v/>
      </c>
      <c r="N44" s="321" t="str">
        <f>IFERROR(VLOOKUP(M44, Tarieven!$A$1:$J$150, 10, FALSE), "0")</f>
        <v>0</v>
      </c>
      <c r="O44" s="427" t="str">
        <f>Februari!O44</f>
        <v/>
      </c>
      <c r="P44" s="428" t="str">
        <f>Februari!P44</f>
        <v/>
      </c>
      <c r="Q44" s="325" t="str">
        <f>IFERROR(VLOOKUP(P44, Tarieven!$A$2:$J$150, 10, FALSE), "0")</f>
        <v>0</v>
      </c>
      <c r="R44" s="444" t="str">
        <f>Februari!R44</f>
        <v/>
      </c>
      <c r="S44" s="428" t="str">
        <f>Februari!S44</f>
        <v/>
      </c>
      <c r="T44" s="325" t="str">
        <f>IFERROR(VLOOKUP(S44, Tarieven!$A$2:$J$150, 10, FALSE), "0")</f>
        <v>0</v>
      </c>
      <c r="U44" s="77" t="str">
        <f>Februari!U44</f>
        <v/>
      </c>
      <c r="V44" s="327" t="str">
        <f>Februari!V44</f>
        <v/>
      </c>
      <c r="W44" s="325" t="str">
        <f>IFERROR(VLOOKUP(V44, Tarieven!$A$2:$J$150, 10, FALSE), "0")</f>
        <v>0</v>
      </c>
      <c r="X44" s="138">
        <f>Februari!X44</f>
        <v>0</v>
      </c>
      <c r="Y44" s="398">
        <v>0.0</v>
      </c>
      <c r="Z44" s="329">
        <f t="shared" si="3"/>
        <v>0</v>
      </c>
      <c r="AA44" s="32">
        <f t="shared" si="4"/>
        <v>0</v>
      </c>
      <c r="AB44" s="32">
        <f t="shared" si="5"/>
        <v>0</v>
      </c>
      <c r="AC44" s="32">
        <f t="shared" si="6"/>
        <v>0</v>
      </c>
    </row>
    <row r="45" ht="22.5" customHeight="1">
      <c r="A45" s="331" t="str">
        <f>Rooster!A46</f>
        <v/>
      </c>
      <c r="B45" s="396" t="str">
        <f>Rooster!B46</f>
        <v/>
      </c>
      <c r="C45" s="15" t="str">
        <f>Rooster!C46</f>
        <v/>
      </c>
      <c r="D45" s="11" t="str">
        <f>Rooster!D46</f>
        <v/>
      </c>
      <c r="E45" s="77"/>
      <c r="F45" s="327" t="str">
        <f>Rooster!E46</f>
        <v/>
      </c>
      <c r="G45" s="319" t="str">
        <f>IFERROR(VLOOKUP(F45, Docenten!$A$2:$G$30, 7, FALSE), "0")</f>
        <v>0</v>
      </c>
      <c r="H45" s="320">
        <f t="shared" ref="H45:H101" si="7">SUM(G45/60)*C45</f>
        <v>0</v>
      </c>
      <c r="I45" s="327" t="str">
        <f>Rooster!H46</f>
        <v/>
      </c>
      <c r="J45" s="321" t="str">
        <f>IFERROR(VLOOKUP(I45, Locaties!$A$2:$G$15, 7, FALSE), "0")</f>
        <v>0</v>
      </c>
      <c r="K45" s="42">
        <f t="shared" si="2"/>
        <v>0</v>
      </c>
      <c r="L45" s="427" t="str">
        <f>Februari!L45</f>
        <v/>
      </c>
      <c r="M45" s="428" t="str">
        <f>Februari!M45</f>
        <v/>
      </c>
      <c r="N45" s="321" t="str">
        <f>IFERROR(VLOOKUP(M45, Tarieven!$A$1:$J$150, 10, FALSE), "0")</f>
        <v>0</v>
      </c>
      <c r="O45" s="427" t="str">
        <f>Februari!O45</f>
        <v/>
      </c>
      <c r="P45" s="428" t="str">
        <f>Februari!P45</f>
        <v/>
      </c>
      <c r="Q45" s="325" t="str">
        <f>IFERROR(VLOOKUP(P45, Tarieven!$A$2:$J$150, 10, FALSE), "0")</f>
        <v>0</v>
      </c>
      <c r="R45" s="444" t="str">
        <f>Februari!R45</f>
        <v/>
      </c>
      <c r="S45" s="428" t="str">
        <f>Februari!S45</f>
        <v/>
      </c>
      <c r="T45" s="325" t="str">
        <f>IFERROR(VLOOKUP(S45, Tarieven!$A$2:$J$150, 10, FALSE), "0")</f>
        <v>0</v>
      </c>
      <c r="U45" s="77" t="str">
        <f>Februari!U45</f>
        <v/>
      </c>
      <c r="V45" s="327" t="str">
        <f>Februari!V45</f>
        <v/>
      </c>
      <c r="W45" s="325" t="str">
        <f>IFERROR(VLOOKUP(V45, Tarieven!$A$2:$J$150, 10, FALSE), "0")</f>
        <v>0</v>
      </c>
      <c r="X45" s="138">
        <f>Februari!X45</f>
        <v>0</v>
      </c>
      <c r="Y45" s="398">
        <v>0.0</v>
      </c>
      <c r="Z45" s="329">
        <f t="shared" si="3"/>
        <v>0</v>
      </c>
      <c r="AA45" s="32">
        <f t="shared" si="4"/>
        <v>0</v>
      </c>
      <c r="AB45" s="32">
        <f t="shared" si="5"/>
        <v>0</v>
      </c>
      <c r="AC45" s="32">
        <f t="shared" si="6"/>
        <v>0</v>
      </c>
    </row>
    <row r="46" ht="22.5" customHeight="1">
      <c r="A46" s="331" t="str">
        <f>Rooster!A47</f>
        <v/>
      </c>
      <c r="B46" s="396" t="str">
        <f>Rooster!B47</f>
        <v/>
      </c>
      <c r="C46" s="15" t="str">
        <f>Rooster!C47</f>
        <v/>
      </c>
      <c r="D46" s="11" t="str">
        <f>Rooster!D47</f>
        <v/>
      </c>
      <c r="E46" s="77"/>
      <c r="F46" s="327" t="str">
        <f>Rooster!E47</f>
        <v/>
      </c>
      <c r="G46" s="319" t="str">
        <f>IFERROR(VLOOKUP(F46, Docenten!$A$2:$G$30, 7, FALSE), "0")</f>
        <v>0</v>
      </c>
      <c r="H46" s="320">
        <f t="shared" si="7"/>
        <v>0</v>
      </c>
      <c r="I46" s="327" t="str">
        <f>Rooster!H47</f>
        <v/>
      </c>
      <c r="J46" s="321" t="str">
        <f>IFERROR(VLOOKUP(I46, Locaties!$A$2:$G$15, 7, FALSE), "0")</f>
        <v>0</v>
      </c>
      <c r="K46" s="42">
        <f t="shared" si="2"/>
        <v>0</v>
      </c>
      <c r="L46" s="427" t="str">
        <f>Februari!L46</f>
        <v/>
      </c>
      <c r="M46" s="428" t="str">
        <f>Februari!M46</f>
        <v/>
      </c>
      <c r="N46" s="321" t="str">
        <f>IFERROR(VLOOKUP(M46, Tarieven!$A$1:$J$150, 10, FALSE), "0")</f>
        <v>0</v>
      </c>
      <c r="O46" s="427" t="str">
        <f>Februari!O46</f>
        <v/>
      </c>
      <c r="P46" s="428" t="str">
        <f>Februari!P46</f>
        <v/>
      </c>
      <c r="Q46" s="325" t="str">
        <f>IFERROR(VLOOKUP(P46, Tarieven!$A$2:$J$150, 10, FALSE), "0")</f>
        <v>0</v>
      </c>
      <c r="R46" s="444" t="str">
        <f>Februari!R46</f>
        <v/>
      </c>
      <c r="S46" s="428" t="str">
        <f>Februari!S46</f>
        <v/>
      </c>
      <c r="T46" s="325" t="str">
        <f>IFERROR(VLOOKUP(S46, Tarieven!$A$2:$J$150, 10, FALSE), "0")</f>
        <v>0</v>
      </c>
      <c r="U46" s="77" t="str">
        <f>Februari!U46</f>
        <v/>
      </c>
      <c r="V46" s="327" t="str">
        <f>Februari!V46</f>
        <v/>
      </c>
      <c r="W46" s="325" t="str">
        <f>IFERROR(VLOOKUP(V46, Tarieven!$A$2:$J$150, 10, FALSE), "0")</f>
        <v>0</v>
      </c>
      <c r="X46" s="138">
        <f>Februari!X46</f>
        <v>0</v>
      </c>
      <c r="Y46" s="398">
        <v>0.0</v>
      </c>
      <c r="Z46" s="329">
        <f t="shared" si="3"/>
        <v>0</v>
      </c>
      <c r="AA46" s="32">
        <f t="shared" si="4"/>
        <v>0</v>
      </c>
      <c r="AB46" s="32">
        <f t="shared" si="5"/>
        <v>0</v>
      </c>
      <c r="AC46" s="32">
        <f t="shared" si="6"/>
        <v>0</v>
      </c>
    </row>
    <row r="47" ht="22.5" customHeight="1">
      <c r="A47" s="331" t="str">
        <f>Rooster!A48</f>
        <v>Donderdag</v>
      </c>
      <c r="B47" s="396">
        <f>Rooster!B48</f>
        <v>0.75</v>
      </c>
      <c r="C47" s="15">
        <f>Rooster!C48</f>
        <v>60</v>
      </c>
      <c r="D47" s="11" t="str">
        <f>Rooster!D48</f>
        <v>Turnen 6+</v>
      </c>
      <c r="E47" s="77">
        <v>4.0</v>
      </c>
      <c r="F47" s="327" t="str">
        <f>Rooster!E48</f>
        <v>Dion + 3</v>
      </c>
      <c r="G47" s="319">
        <f>IFERROR(VLOOKUP(F47, Docenten!$A$2:$G$30, 7, FALSE), "0")</f>
        <v>34</v>
      </c>
      <c r="H47" s="320">
        <f t="shared" si="7"/>
        <v>34</v>
      </c>
      <c r="I47" s="327" t="str">
        <f>Rooster!H48</f>
        <v>Santpoort Noord</v>
      </c>
      <c r="J47" s="321">
        <f>IFERROR(VLOOKUP(I47, Locaties!$A$2:$G$15, 7, FALSE), "0")</f>
        <v>14.2</v>
      </c>
      <c r="K47" s="42">
        <f t="shared" si="2"/>
        <v>14.2</v>
      </c>
      <c r="L47" s="427">
        <f>Februari!L47</f>
        <v>10</v>
      </c>
      <c r="M47" s="428" t="str">
        <f>Februari!M47</f>
        <v>Aangepast tarief</v>
      </c>
      <c r="N47" s="321">
        <f>IFERROR(VLOOKUP(M47, Tarieven!$A$1:$J$150, 10, FALSE), "0")</f>
        <v>0</v>
      </c>
      <c r="O47" s="427">
        <f>Februari!O47</f>
        <v>1</v>
      </c>
      <c r="P47" s="428" t="str">
        <f>Februari!P47</f>
        <v>Aangepast tarief</v>
      </c>
      <c r="Q47" s="432">
        <v>50.0</v>
      </c>
      <c r="R47" s="444" t="str">
        <f>Februari!R47</f>
        <v/>
      </c>
      <c r="S47" s="428" t="str">
        <f>Februari!S47</f>
        <v/>
      </c>
      <c r="T47" s="325" t="str">
        <f>IFERROR(VLOOKUP(S47, Tarieven!$A$2:$J$150, 10, FALSE), "0")</f>
        <v>0</v>
      </c>
      <c r="U47" s="77" t="str">
        <f>Februari!U47</f>
        <v/>
      </c>
      <c r="V47" s="327" t="str">
        <f>Februari!V47</f>
        <v/>
      </c>
      <c r="W47" s="325" t="str">
        <f>IFERROR(VLOOKUP(V47, Tarieven!$A$2:$J$150, 10, FALSE), "0")</f>
        <v>0</v>
      </c>
      <c r="X47" s="138">
        <f>Februari!X47</f>
        <v>0</v>
      </c>
      <c r="Y47" s="398">
        <v>0.0</v>
      </c>
      <c r="Z47" s="329">
        <f t="shared" si="3"/>
        <v>11</v>
      </c>
      <c r="AA47" s="32">
        <f t="shared" si="4"/>
        <v>192.8</v>
      </c>
      <c r="AB47" s="32">
        <f t="shared" si="5"/>
        <v>50</v>
      </c>
      <c r="AC47" s="32">
        <f t="shared" si="6"/>
        <v>-142.8</v>
      </c>
    </row>
    <row r="48" ht="22.5" customHeight="1">
      <c r="A48" s="331" t="str">
        <f>Rooster!A49</f>
        <v>Donderdag</v>
      </c>
      <c r="B48" s="396">
        <f>Rooster!B49</f>
        <v>0.7916666667</v>
      </c>
      <c r="C48" s="15">
        <f>Rooster!C49</f>
        <v>60</v>
      </c>
      <c r="D48" s="11" t="str">
        <f>Rooster!D49</f>
        <v>Turnen 12+</v>
      </c>
      <c r="E48" s="77">
        <v>4.0</v>
      </c>
      <c r="F48" s="327" t="str">
        <f>Rooster!E49</f>
        <v>Dion + 3</v>
      </c>
      <c r="G48" s="319">
        <f>IFERROR(VLOOKUP(F48, Docenten!$A$2:$G$30, 7, FALSE), "0")</f>
        <v>34</v>
      </c>
      <c r="H48" s="320">
        <f t="shared" si="7"/>
        <v>34</v>
      </c>
      <c r="I48" s="327" t="str">
        <f>Rooster!H49</f>
        <v>Santpoort Noord</v>
      </c>
      <c r="J48" s="321">
        <f>IFERROR(VLOOKUP(I48, Locaties!$A$2:$G$15, 7, FALSE), "0")</f>
        <v>14.2</v>
      </c>
      <c r="K48" s="42">
        <f t="shared" si="2"/>
        <v>14.2</v>
      </c>
      <c r="L48" s="427">
        <f>Februari!L48</f>
        <v>6</v>
      </c>
      <c r="M48" s="428" t="str">
        <f>Februari!M48</f>
        <v>Aangepast tarief</v>
      </c>
      <c r="N48" s="321">
        <f>IFERROR(VLOOKUP(M48, Tarieven!$A$1:$J$150, 10, FALSE), "0")</f>
        <v>0</v>
      </c>
      <c r="O48" s="427">
        <f>Februari!O48</f>
        <v>2</v>
      </c>
      <c r="P48" s="428" t="str">
        <f>Februari!P48</f>
        <v>Aangepast tarief</v>
      </c>
      <c r="Q48" s="325">
        <f>IFERROR(VLOOKUP(P48, Tarieven!$A$2:$J$150, 10, FALSE), "0")</f>
        <v>0</v>
      </c>
      <c r="R48" s="444" t="str">
        <f>Februari!R48</f>
        <v/>
      </c>
      <c r="S48" s="428" t="str">
        <f>Februari!S48</f>
        <v/>
      </c>
      <c r="T48" s="325" t="str">
        <f>IFERROR(VLOOKUP(S48, Tarieven!$A$2:$J$150, 10, FALSE), "0")</f>
        <v>0</v>
      </c>
      <c r="U48" s="77" t="str">
        <f>Februari!U48</f>
        <v/>
      </c>
      <c r="V48" s="327" t="str">
        <f>Februari!V48</f>
        <v/>
      </c>
      <c r="W48" s="325" t="str">
        <f>IFERROR(VLOOKUP(V48, Tarieven!$A$2:$J$150, 10, FALSE), "0")</f>
        <v>0</v>
      </c>
      <c r="X48" s="138">
        <f>Februari!X48</f>
        <v>0</v>
      </c>
      <c r="Y48" s="398">
        <v>0.0</v>
      </c>
      <c r="Z48" s="329">
        <f t="shared" si="3"/>
        <v>8</v>
      </c>
      <c r="AA48" s="32">
        <f t="shared" si="4"/>
        <v>192.8</v>
      </c>
      <c r="AB48" s="32">
        <f t="shared" si="5"/>
        <v>0</v>
      </c>
      <c r="AC48" s="32">
        <f t="shared" si="6"/>
        <v>-192.8</v>
      </c>
    </row>
    <row r="49" ht="22.5" customHeight="1">
      <c r="A49" s="331" t="str">
        <f>Rooster!A50</f>
        <v/>
      </c>
      <c r="B49" s="396" t="str">
        <f>Rooster!B50</f>
        <v/>
      </c>
      <c r="C49" s="15" t="str">
        <f>Rooster!C50</f>
        <v/>
      </c>
      <c r="D49" s="11" t="str">
        <f>Rooster!D50</f>
        <v/>
      </c>
      <c r="E49" s="77"/>
      <c r="F49" s="327" t="str">
        <f>Rooster!E50</f>
        <v/>
      </c>
      <c r="G49" s="319" t="str">
        <f>IFERROR(VLOOKUP(F49, Docenten!$A$2:$G$30, 7, FALSE), "0")</f>
        <v>0</v>
      </c>
      <c r="H49" s="320">
        <f t="shared" si="7"/>
        <v>0</v>
      </c>
      <c r="I49" s="327" t="str">
        <f>Rooster!H50</f>
        <v/>
      </c>
      <c r="J49" s="321" t="str">
        <f>IFERROR(VLOOKUP(I49, Locaties!$A$2:$G$15, 7, FALSE), "0")</f>
        <v>0</v>
      </c>
      <c r="K49" s="42">
        <f t="shared" si="2"/>
        <v>0</v>
      </c>
      <c r="L49" s="427" t="str">
        <f>Februari!L49</f>
        <v/>
      </c>
      <c r="M49" s="428" t="str">
        <f>Februari!M49</f>
        <v/>
      </c>
      <c r="N49" s="321" t="str">
        <f>IFERROR(VLOOKUP(M49, Tarieven!$A$1:$J$150, 10, FALSE), "0")</f>
        <v>0</v>
      </c>
      <c r="O49" s="427" t="str">
        <f>Februari!O49</f>
        <v/>
      </c>
      <c r="P49" s="428" t="str">
        <f>Februari!P49</f>
        <v/>
      </c>
      <c r="Q49" s="325" t="str">
        <f>IFERROR(VLOOKUP(P49, Tarieven!$A$2:$J$150, 10, FALSE), "0")</f>
        <v>0</v>
      </c>
      <c r="R49" s="444" t="str">
        <f>Februari!R49</f>
        <v/>
      </c>
      <c r="S49" s="428" t="str">
        <f>Februari!S49</f>
        <v/>
      </c>
      <c r="T49" s="325" t="str">
        <f>IFERROR(VLOOKUP(S49, Tarieven!$A$2:$J$150, 10, FALSE), "0")</f>
        <v>0</v>
      </c>
      <c r="U49" s="77" t="str">
        <f>Februari!U49</f>
        <v/>
      </c>
      <c r="V49" s="327" t="str">
        <f>Februari!V49</f>
        <v/>
      </c>
      <c r="W49" s="325" t="str">
        <f>IFERROR(VLOOKUP(V49, Tarieven!$A$2:$J$150, 10, FALSE), "0")</f>
        <v>0</v>
      </c>
      <c r="X49" s="138">
        <f>Februari!X49</f>
        <v>0</v>
      </c>
      <c r="Y49" s="398">
        <v>0.0</v>
      </c>
      <c r="Z49" s="329">
        <f t="shared" si="3"/>
        <v>0</v>
      </c>
      <c r="AA49" s="32">
        <f t="shared" si="4"/>
        <v>0</v>
      </c>
      <c r="AB49" s="32">
        <f t="shared" si="5"/>
        <v>0</v>
      </c>
      <c r="AC49" s="32">
        <f t="shared" si="6"/>
        <v>0</v>
      </c>
    </row>
    <row r="50" ht="22.5" customHeight="1">
      <c r="A50" s="331" t="str">
        <f>Rooster!A51</f>
        <v/>
      </c>
      <c r="B50" s="396" t="str">
        <f>Rooster!B51</f>
        <v/>
      </c>
      <c r="C50" s="15" t="str">
        <f>Rooster!C51</f>
        <v/>
      </c>
      <c r="D50" s="11" t="str">
        <f>Rooster!D51</f>
        <v/>
      </c>
      <c r="E50" s="77"/>
      <c r="F50" s="327" t="str">
        <f>Rooster!E51</f>
        <v/>
      </c>
      <c r="G50" s="319" t="str">
        <f>IFERROR(VLOOKUP(F50, Docenten!$A$2:$G$30, 7, FALSE), "0")</f>
        <v>0</v>
      </c>
      <c r="H50" s="320">
        <f t="shared" si="7"/>
        <v>0</v>
      </c>
      <c r="I50" s="327" t="str">
        <f>Rooster!H51</f>
        <v/>
      </c>
      <c r="J50" s="321" t="str">
        <f>IFERROR(VLOOKUP(I50, Locaties!$A$2:$G$15, 7, FALSE), "0")</f>
        <v>0</v>
      </c>
      <c r="K50" s="42">
        <f t="shared" si="2"/>
        <v>0</v>
      </c>
      <c r="L50" s="427" t="str">
        <f>Februari!L50</f>
        <v/>
      </c>
      <c r="M50" s="428" t="str">
        <f>Februari!M50</f>
        <v/>
      </c>
      <c r="N50" s="321" t="str">
        <f>IFERROR(VLOOKUP(M50, Tarieven!$A$1:$J$150, 10, FALSE), "0")</f>
        <v>0</v>
      </c>
      <c r="O50" s="427" t="str">
        <f>Februari!O50</f>
        <v/>
      </c>
      <c r="P50" s="428" t="str">
        <f>Februari!P50</f>
        <v/>
      </c>
      <c r="Q50" s="325" t="str">
        <f>IFERROR(VLOOKUP(P50, Tarieven!$A$2:$J$150, 10, FALSE), "0")</f>
        <v>0</v>
      </c>
      <c r="R50" s="444" t="str">
        <f>Februari!R50</f>
        <v/>
      </c>
      <c r="S50" s="428" t="str">
        <f>Februari!S50</f>
        <v/>
      </c>
      <c r="T50" s="325" t="str">
        <f>IFERROR(VLOOKUP(S50, Tarieven!$A$2:$J$150, 10, FALSE), "0")</f>
        <v>0</v>
      </c>
      <c r="U50" s="77" t="str">
        <f>Februari!U50</f>
        <v/>
      </c>
      <c r="V50" s="327" t="str">
        <f>Februari!V50</f>
        <v/>
      </c>
      <c r="W50" s="325" t="str">
        <f>IFERROR(VLOOKUP(V50, Tarieven!$A$2:$J$150, 10, FALSE), "0")</f>
        <v>0</v>
      </c>
      <c r="X50" s="138">
        <f>Februari!X50</f>
        <v>0</v>
      </c>
      <c r="Y50" s="398">
        <v>0.0</v>
      </c>
      <c r="Z50" s="329">
        <f t="shared" si="3"/>
        <v>0</v>
      </c>
      <c r="AA50" s="32">
        <f t="shared" si="4"/>
        <v>0</v>
      </c>
      <c r="AB50" s="32">
        <f t="shared" si="5"/>
        <v>0</v>
      </c>
      <c r="AC50" s="32">
        <f t="shared" si="6"/>
        <v>0</v>
      </c>
    </row>
    <row r="51" ht="22.5" customHeight="1">
      <c r="A51" s="331" t="str">
        <f>Rooster!A52</f>
        <v/>
      </c>
      <c r="B51" s="396" t="str">
        <f>Rooster!B52</f>
        <v/>
      </c>
      <c r="C51" s="15" t="str">
        <f>Rooster!C52</f>
        <v/>
      </c>
      <c r="D51" s="11" t="str">
        <f>Rooster!D52</f>
        <v/>
      </c>
      <c r="E51" s="77"/>
      <c r="F51" s="327" t="str">
        <f>Rooster!E52</f>
        <v/>
      </c>
      <c r="G51" s="319" t="str">
        <f>IFERROR(VLOOKUP(F51, Docenten!$A$2:$G$30, 7, FALSE), "0")</f>
        <v>0</v>
      </c>
      <c r="H51" s="320">
        <f t="shared" si="7"/>
        <v>0</v>
      </c>
      <c r="I51" s="327" t="str">
        <f>Rooster!H52</f>
        <v/>
      </c>
      <c r="J51" s="321" t="str">
        <f>IFERROR(VLOOKUP(I51, Locaties!$A$2:$G$15, 7, FALSE), "0")</f>
        <v>0</v>
      </c>
      <c r="K51" s="42">
        <f t="shared" si="2"/>
        <v>0</v>
      </c>
      <c r="L51" s="427" t="str">
        <f>Februari!L51</f>
        <v/>
      </c>
      <c r="M51" s="428" t="str">
        <f>Februari!M51</f>
        <v/>
      </c>
      <c r="N51" s="321" t="str">
        <f>IFERROR(VLOOKUP(M51, Tarieven!$A$1:$J$150, 10, FALSE), "0")</f>
        <v>0</v>
      </c>
      <c r="O51" s="427" t="str">
        <f>Februari!O51</f>
        <v/>
      </c>
      <c r="P51" s="428" t="str">
        <f>Februari!P51</f>
        <v/>
      </c>
      <c r="Q51" s="325" t="str">
        <f>IFERROR(VLOOKUP(P51, Tarieven!$A$2:$J$150, 10, FALSE), "0")</f>
        <v>0</v>
      </c>
      <c r="R51" s="444" t="str">
        <f>Februari!R51</f>
        <v/>
      </c>
      <c r="S51" s="428" t="str">
        <f>Februari!S51</f>
        <v/>
      </c>
      <c r="T51" s="325" t="str">
        <f>IFERROR(VLOOKUP(S51, Tarieven!$A$2:$J$150, 10, FALSE), "0")</f>
        <v>0</v>
      </c>
      <c r="U51" s="77" t="str">
        <f>Februari!U51</f>
        <v/>
      </c>
      <c r="V51" s="327" t="str">
        <f>Februari!V51</f>
        <v/>
      </c>
      <c r="W51" s="325" t="str">
        <f>IFERROR(VLOOKUP(V51, Tarieven!$A$2:$J$150, 10, FALSE), "0")</f>
        <v>0</v>
      </c>
      <c r="X51" s="138">
        <f>Februari!X51</f>
        <v>0</v>
      </c>
      <c r="Y51" s="398">
        <v>0.0</v>
      </c>
      <c r="Z51" s="329">
        <f t="shared" si="3"/>
        <v>0</v>
      </c>
      <c r="AA51" s="32">
        <f t="shared" si="4"/>
        <v>0</v>
      </c>
      <c r="AB51" s="32">
        <f t="shared" si="5"/>
        <v>0</v>
      </c>
      <c r="AC51" s="32">
        <f t="shared" si="6"/>
        <v>0</v>
      </c>
    </row>
    <row r="52" ht="22.5" customHeight="1">
      <c r="A52" s="331" t="str">
        <f>Rooster!A53</f>
        <v/>
      </c>
      <c r="B52" s="396" t="str">
        <f>Rooster!B53</f>
        <v/>
      </c>
      <c r="C52" s="15" t="str">
        <f>Rooster!C53</f>
        <v/>
      </c>
      <c r="D52" s="11" t="str">
        <f>Rooster!D53</f>
        <v/>
      </c>
      <c r="E52" s="77"/>
      <c r="F52" s="327" t="str">
        <f>Rooster!E53</f>
        <v/>
      </c>
      <c r="G52" s="319" t="str">
        <f>IFERROR(VLOOKUP(F52, Docenten!$A$2:$G$30, 7, FALSE), "0")</f>
        <v>0</v>
      </c>
      <c r="H52" s="320">
        <f t="shared" si="7"/>
        <v>0</v>
      </c>
      <c r="I52" s="327" t="str">
        <f>Rooster!H53</f>
        <v/>
      </c>
      <c r="J52" s="321" t="str">
        <f>IFERROR(VLOOKUP(I52, Locaties!$A$2:$G$15, 7, FALSE), "0")</f>
        <v>0</v>
      </c>
      <c r="K52" s="42">
        <f t="shared" si="2"/>
        <v>0</v>
      </c>
      <c r="L52" s="427" t="str">
        <f>Februari!L52</f>
        <v/>
      </c>
      <c r="M52" s="428" t="str">
        <f>Februari!M52</f>
        <v/>
      </c>
      <c r="N52" s="321" t="str">
        <f>IFERROR(VLOOKUP(M52, Tarieven!$A$1:$J$150, 10, FALSE), "0")</f>
        <v>0</v>
      </c>
      <c r="O52" s="427" t="str">
        <f>Februari!O52</f>
        <v/>
      </c>
      <c r="P52" s="428" t="str">
        <f>Februari!P52</f>
        <v/>
      </c>
      <c r="Q52" s="325" t="str">
        <f>IFERROR(VLOOKUP(P52, Tarieven!$A$2:$J$150, 10, FALSE), "0")</f>
        <v>0</v>
      </c>
      <c r="R52" s="444" t="str">
        <f>Februari!R52</f>
        <v/>
      </c>
      <c r="S52" s="428" t="str">
        <f>Februari!S52</f>
        <v/>
      </c>
      <c r="T52" s="325" t="str">
        <f>IFERROR(VLOOKUP(S52, Tarieven!$A$2:$J$150, 10, FALSE), "0")</f>
        <v>0</v>
      </c>
      <c r="U52" s="77" t="str">
        <f>Februari!U52</f>
        <v/>
      </c>
      <c r="V52" s="327" t="str">
        <f>Februari!V52</f>
        <v/>
      </c>
      <c r="W52" s="325" t="str">
        <f>IFERROR(VLOOKUP(V52, Tarieven!$A$2:$J$150, 10, FALSE), "0")</f>
        <v>0</v>
      </c>
      <c r="X52" s="138">
        <f>Februari!X52</f>
        <v>0</v>
      </c>
      <c r="Y52" s="398">
        <v>0.0</v>
      </c>
      <c r="Z52" s="329">
        <f t="shared" si="3"/>
        <v>0</v>
      </c>
      <c r="AA52" s="32">
        <f t="shared" si="4"/>
        <v>0</v>
      </c>
      <c r="AB52" s="32">
        <f t="shared" si="5"/>
        <v>0</v>
      </c>
      <c r="AC52" s="32">
        <f t="shared" si="6"/>
        <v>0</v>
      </c>
    </row>
    <row r="53" ht="22.5" customHeight="1">
      <c r="A53" s="331" t="str">
        <f>Rooster!A54</f>
        <v/>
      </c>
      <c r="B53" s="396" t="str">
        <f>Rooster!B54</f>
        <v/>
      </c>
      <c r="C53" s="15" t="str">
        <f>Rooster!C54</f>
        <v/>
      </c>
      <c r="D53" s="11" t="str">
        <f>Rooster!D54</f>
        <v/>
      </c>
      <c r="E53" s="77"/>
      <c r="F53" s="327" t="str">
        <f>Rooster!E54</f>
        <v/>
      </c>
      <c r="G53" s="319" t="str">
        <f>IFERROR(VLOOKUP(F53, Docenten!$A$2:$G$30, 7, FALSE), "0")</f>
        <v>0</v>
      </c>
      <c r="H53" s="320">
        <f t="shared" si="7"/>
        <v>0</v>
      </c>
      <c r="I53" s="327" t="str">
        <f>Rooster!H54</f>
        <v/>
      </c>
      <c r="J53" s="321" t="str">
        <f>IFERROR(VLOOKUP(I53, Locaties!$A$2:$G$15, 7, FALSE), "0")</f>
        <v>0</v>
      </c>
      <c r="K53" s="42">
        <f t="shared" si="2"/>
        <v>0</v>
      </c>
      <c r="L53" s="427" t="str">
        <f>Februari!L53</f>
        <v/>
      </c>
      <c r="M53" s="428" t="str">
        <f>Februari!M53</f>
        <v/>
      </c>
      <c r="N53" s="321" t="str">
        <f>IFERROR(VLOOKUP(M53, Tarieven!$A$1:$J$150, 10, FALSE), "0")</f>
        <v>0</v>
      </c>
      <c r="O53" s="427" t="str">
        <f>Februari!O53</f>
        <v/>
      </c>
      <c r="P53" s="428" t="str">
        <f>Februari!P53</f>
        <v/>
      </c>
      <c r="Q53" s="325" t="str">
        <f>IFERROR(VLOOKUP(P53, Tarieven!$A$2:$J$150, 10, FALSE), "0")</f>
        <v>0</v>
      </c>
      <c r="R53" s="444" t="str">
        <f>Februari!R53</f>
        <v/>
      </c>
      <c r="S53" s="428" t="str">
        <f>Februari!S53</f>
        <v/>
      </c>
      <c r="T53" s="325" t="str">
        <f>IFERROR(VLOOKUP(S53, Tarieven!$A$2:$J$150, 10, FALSE), "0")</f>
        <v>0</v>
      </c>
      <c r="U53" s="77" t="str">
        <f>Februari!U53</f>
        <v/>
      </c>
      <c r="V53" s="327" t="str">
        <f>Februari!V53</f>
        <v/>
      </c>
      <c r="W53" s="325" t="str">
        <f>IFERROR(VLOOKUP(V53, Tarieven!$A$2:$J$150, 10, FALSE), "0")</f>
        <v>0</v>
      </c>
      <c r="X53" s="138">
        <f>Februari!X53</f>
        <v>0</v>
      </c>
      <c r="Y53" s="398">
        <v>0.0</v>
      </c>
      <c r="Z53" s="329">
        <f t="shared" si="3"/>
        <v>0</v>
      </c>
      <c r="AA53" s="32">
        <f t="shared" si="4"/>
        <v>0</v>
      </c>
      <c r="AB53" s="32">
        <f t="shared" si="5"/>
        <v>0</v>
      </c>
      <c r="AC53" s="32">
        <f t="shared" si="6"/>
        <v>0</v>
      </c>
    </row>
    <row r="54" ht="22.5" customHeight="1">
      <c r="A54" s="331" t="str">
        <f>Rooster!A55</f>
        <v/>
      </c>
      <c r="B54" s="396" t="str">
        <f>Rooster!B55</f>
        <v/>
      </c>
      <c r="C54" s="15" t="str">
        <f>Rooster!C55</f>
        <v/>
      </c>
      <c r="D54" s="11" t="str">
        <f>Rooster!D55</f>
        <v/>
      </c>
      <c r="E54" s="77"/>
      <c r="F54" s="327" t="str">
        <f>Rooster!E55</f>
        <v/>
      </c>
      <c r="G54" s="319" t="str">
        <f>IFERROR(VLOOKUP(F54, Docenten!$A$2:$G$30, 7, FALSE), "0")</f>
        <v>0</v>
      </c>
      <c r="H54" s="320">
        <f t="shared" si="7"/>
        <v>0</v>
      </c>
      <c r="I54" s="327" t="str">
        <f>Rooster!H55</f>
        <v/>
      </c>
      <c r="J54" s="321" t="str">
        <f>IFERROR(VLOOKUP(I54, Locaties!$A$2:$G$15, 7, FALSE), "0")</f>
        <v>0</v>
      </c>
      <c r="K54" s="42">
        <f t="shared" si="2"/>
        <v>0</v>
      </c>
      <c r="L54" s="427" t="str">
        <f>Februari!L54</f>
        <v/>
      </c>
      <c r="M54" s="428" t="str">
        <f>Februari!M54</f>
        <v/>
      </c>
      <c r="N54" s="321" t="str">
        <f>IFERROR(VLOOKUP(M54, Tarieven!$A$1:$J$150, 10, FALSE), "0")</f>
        <v>0</v>
      </c>
      <c r="O54" s="427" t="str">
        <f>Februari!O54</f>
        <v/>
      </c>
      <c r="P54" s="428" t="str">
        <f>Februari!P54</f>
        <v/>
      </c>
      <c r="Q54" s="325" t="str">
        <f>IFERROR(VLOOKUP(P54, Tarieven!$A$2:$J$150, 10, FALSE), "0")</f>
        <v>0</v>
      </c>
      <c r="R54" s="444" t="str">
        <f>Februari!R54</f>
        <v/>
      </c>
      <c r="S54" s="428" t="str">
        <f>Februari!S54</f>
        <v/>
      </c>
      <c r="T54" s="325" t="str">
        <f>IFERROR(VLOOKUP(S54, Tarieven!$A$2:$J$150, 10, FALSE), "0")</f>
        <v>0</v>
      </c>
      <c r="U54" s="77" t="str">
        <f>Februari!U54</f>
        <v/>
      </c>
      <c r="V54" s="327" t="str">
        <f>Februari!V54</f>
        <v/>
      </c>
      <c r="W54" s="325" t="str">
        <f>IFERROR(VLOOKUP(V54, Tarieven!$A$2:$J$150, 10, FALSE), "0")</f>
        <v>0</v>
      </c>
      <c r="X54" s="138">
        <f>Februari!X54</f>
        <v>0</v>
      </c>
      <c r="Y54" s="398">
        <v>0.0</v>
      </c>
      <c r="Z54" s="329">
        <f t="shared" si="3"/>
        <v>0</v>
      </c>
      <c r="AA54" s="32">
        <f t="shared" si="4"/>
        <v>0</v>
      </c>
      <c r="AB54" s="32">
        <f t="shared" si="5"/>
        <v>0</v>
      </c>
      <c r="AC54" s="32">
        <f t="shared" si="6"/>
        <v>0</v>
      </c>
    </row>
    <row r="55" ht="22.5" customHeight="1">
      <c r="A55" s="331" t="str">
        <f>Rooster!A56</f>
        <v/>
      </c>
      <c r="B55" s="396" t="str">
        <f>Rooster!B56</f>
        <v/>
      </c>
      <c r="C55" s="15" t="str">
        <f>Rooster!C56</f>
        <v/>
      </c>
      <c r="D55" s="11" t="str">
        <f>Rooster!D56</f>
        <v/>
      </c>
      <c r="E55" s="77"/>
      <c r="F55" s="327" t="str">
        <f>Rooster!E56</f>
        <v/>
      </c>
      <c r="G55" s="319" t="str">
        <f>IFERROR(VLOOKUP(F55, Docenten!$A$2:$G$30, 7, FALSE), "0")</f>
        <v>0</v>
      </c>
      <c r="H55" s="320">
        <f t="shared" si="7"/>
        <v>0</v>
      </c>
      <c r="I55" s="327" t="str">
        <f>Rooster!H56</f>
        <v/>
      </c>
      <c r="J55" s="321" t="str">
        <f>IFERROR(VLOOKUP(I55, Locaties!$A$2:$G$15, 7, FALSE), "0")</f>
        <v>0</v>
      </c>
      <c r="K55" s="42">
        <f t="shared" si="2"/>
        <v>0</v>
      </c>
      <c r="L55" s="427" t="str">
        <f>Februari!L55</f>
        <v/>
      </c>
      <c r="M55" s="428" t="str">
        <f>Februari!M55</f>
        <v/>
      </c>
      <c r="N55" s="321" t="str">
        <f>IFERROR(VLOOKUP(M55, Tarieven!$A$1:$J$150, 10, FALSE), "0")</f>
        <v>0</v>
      </c>
      <c r="O55" s="427" t="str">
        <f>Februari!O55</f>
        <v/>
      </c>
      <c r="P55" s="428" t="str">
        <f>Februari!P55</f>
        <v/>
      </c>
      <c r="Q55" s="325" t="str">
        <f>IFERROR(VLOOKUP(P55, Tarieven!$A$2:$J$150, 10, FALSE), "0")</f>
        <v>0</v>
      </c>
      <c r="R55" s="444" t="str">
        <f>Februari!R55</f>
        <v/>
      </c>
      <c r="S55" s="428" t="str">
        <f>Februari!S55</f>
        <v/>
      </c>
      <c r="T55" s="325" t="str">
        <f>IFERROR(VLOOKUP(S55, Tarieven!$A$2:$J$150, 10, FALSE), "0")</f>
        <v>0</v>
      </c>
      <c r="U55" s="77" t="str">
        <f>Februari!U55</f>
        <v/>
      </c>
      <c r="V55" s="327" t="str">
        <f>Februari!V55</f>
        <v/>
      </c>
      <c r="W55" s="325" t="str">
        <f>IFERROR(VLOOKUP(V55, Tarieven!$A$2:$J$150, 10, FALSE), "0")</f>
        <v>0</v>
      </c>
      <c r="X55" s="138">
        <f>Februari!X55</f>
        <v>0</v>
      </c>
      <c r="Y55" s="398">
        <v>0.0</v>
      </c>
      <c r="Z55" s="329">
        <f t="shared" si="3"/>
        <v>0</v>
      </c>
      <c r="AA55" s="32">
        <f t="shared" si="4"/>
        <v>0</v>
      </c>
      <c r="AB55" s="32">
        <f t="shared" si="5"/>
        <v>0</v>
      </c>
      <c r="AC55" s="32">
        <f t="shared" si="6"/>
        <v>0</v>
      </c>
    </row>
    <row r="56" ht="22.5" customHeight="1">
      <c r="A56" s="331" t="str">
        <f>Rooster!A57</f>
        <v/>
      </c>
      <c r="B56" s="396" t="str">
        <f>Rooster!B57</f>
        <v/>
      </c>
      <c r="C56" s="15" t="str">
        <f>Rooster!C57</f>
        <v/>
      </c>
      <c r="D56" s="11" t="str">
        <f>Rooster!D57</f>
        <v/>
      </c>
      <c r="E56" s="77"/>
      <c r="F56" s="327" t="str">
        <f>Rooster!E57</f>
        <v/>
      </c>
      <c r="G56" s="319" t="str">
        <f>IFERROR(VLOOKUP(F56, Docenten!$A$2:$G$30, 7, FALSE), "0")</f>
        <v>0</v>
      </c>
      <c r="H56" s="320">
        <f t="shared" si="7"/>
        <v>0</v>
      </c>
      <c r="I56" s="327" t="str">
        <f>Rooster!H57</f>
        <v/>
      </c>
      <c r="J56" s="321" t="str">
        <f>IFERROR(VLOOKUP(I56, Locaties!$A$2:$G$15, 7, FALSE), "0")</f>
        <v>0</v>
      </c>
      <c r="K56" s="42">
        <f t="shared" si="2"/>
        <v>0</v>
      </c>
      <c r="L56" s="427" t="str">
        <f>Februari!L56</f>
        <v/>
      </c>
      <c r="M56" s="428" t="str">
        <f>Februari!M56</f>
        <v/>
      </c>
      <c r="N56" s="321" t="str">
        <f>IFERROR(VLOOKUP(M56, Tarieven!$A$1:$J$150, 10, FALSE), "0")</f>
        <v>0</v>
      </c>
      <c r="O56" s="427" t="str">
        <f>Februari!O56</f>
        <v/>
      </c>
      <c r="P56" s="428" t="str">
        <f>Februari!P56</f>
        <v/>
      </c>
      <c r="Q56" s="325" t="str">
        <f>IFERROR(VLOOKUP(P56, Tarieven!$A$2:$J$150, 10, FALSE), "0")</f>
        <v>0</v>
      </c>
      <c r="R56" s="444" t="str">
        <f>Februari!R56</f>
        <v/>
      </c>
      <c r="S56" s="428" t="str">
        <f>Februari!S56</f>
        <v/>
      </c>
      <c r="T56" s="325" t="str">
        <f>IFERROR(VLOOKUP(S56, Tarieven!$A$2:$J$150, 10, FALSE), "0")</f>
        <v>0</v>
      </c>
      <c r="U56" s="77" t="str">
        <f>Februari!U56</f>
        <v/>
      </c>
      <c r="V56" s="327" t="str">
        <f>Februari!V56</f>
        <v/>
      </c>
      <c r="W56" s="325" t="str">
        <f>IFERROR(VLOOKUP(V56, Tarieven!$A$2:$J$150, 10, FALSE), "0")</f>
        <v>0</v>
      </c>
      <c r="X56" s="138">
        <f>Februari!X56</f>
        <v>0</v>
      </c>
      <c r="Y56" s="398">
        <v>0.0</v>
      </c>
      <c r="Z56" s="329">
        <f t="shared" si="3"/>
        <v>0</v>
      </c>
      <c r="AA56" s="32">
        <f t="shared" si="4"/>
        <v>0</v>
      </c>
      <c r="AB56" s="32">
        <f t="shared" si="5"/>
        <v>0</v>
      </c>
      <c r="AC56" s="32">
        <f t="shared" si="6"/>
        <v>0</v>
      </c>
    </row>
    <row r="57" ht="22.5" customHeight="1">
      <c r="A57" s="331" t="str">
        <f>Rooster!A58</f>
        <v/>
      </c>
      <c r="B57" s="396" t="str">
        <f>Rooster!B58</f>
        <v/>
      </c>
      <c r="C57" s="15" t="str">
        <f>Rooster!C58</f>
        <v/>
      </c>
      <c r="D57" s="11" t="str">
        <f>Rooster!D58</f>
        <v/>
      </c>
      <c r="E57" s="77"/>
      <c r="F57" s="327" t="str">
        <f>Rooster!E58</f>
        <v/>
      </c>
      <c r="G57" s="319" t="str">
        <f>IFERROR(VLOOKUP(F57, Docenten!$A$2:$G$30, 7, FALSE), "0")</f>
        <v>0</v>
      </c>
      <c r="H57" s="320">
        <f t="shared" si="7"/>
        <v>0</v>
      </c>
      <c r="I57" s="327" t="str">
        <f>Rooster!H58</f>
        <v/>
      </c>
      <c r="J57" s="321" t="str">
        <f>IFERROR(VLOOKUP(I57, Locaties!$A$2:$G$15, 7, FALSE), "0")</f>
        <v>0</v>
      </c>
      <c r="K57" s="42">
        <f t="shared" si="2"/>
        <v>0</v>
      </c>
      <c r="L57" s="427" t="str">
        <f>Februari!L57</f>
        <v/>
      </c>
      <c r="M57" s="428" t="str">
        <f>Februari!M57</f>
        <v/>
      </c>
      <c r="N57" s="321" t="str">
        <f>IFERROR(VLOOKUP(M57, Tarieven!$A$1:$J$150, 10, FALSE), "0")</f>
        <v>0</v>
      </c>
      <c r="O57" s="427" t="str">
        <f>Februari!O57</f>
        <v/>
      </c>
      <c r="P57" s="428" t="str">
        <f>Februari!P57</f>
        <v/>
      </c>
      <c r="Q57" s="325" t="str">
        <f>IFERROR(VLOOKUP(P57, Tarieven!$A$2:$J$150, 10, FALSE), "0")</f>
        <v>0</v>
      </c>
      <c r="R57" s="444" t="str">
        <f>Februari!R57</f>
        <v/>
      </c>
      <c r="S57" s="428" t="str">
        <f>Februari!S57</f>
        <v/>
      </c>
      <c r="T57" s="325" t="str">
        <f>IFERROR(VLOOKUP(S57, Tarieven!$A$2:$J$150, 10, FALSE), "0")</f>
        <v>0</v>
      </c>
      <c r="U57" s="77" t="str">
        <f>Februari!U57</f>
        <v/>
      </c>
      <c r="V57" s="327" t="str">
        <f>Februari!V57</f>
        <v/>
      </c>
      <c r="W57" s="325" t="str">
        <f>IFERROR(VLOOKUP(V57, Tarieven!$A$2:$J$150, 10, FALSE), "0")</f>
        <v>0</v>
      </c>
      <c r="X57" s="138">
        <f>Februari!X57</f>
        <v>0</v>
      </c>
      <c r="Y57" s="398">
        <v>0.0</v>
      </c>
      <c r="Z57" s="329">
        <f t="shared" si="3"/>
        <v>0</v>
      </c>
      <c r="AA57" s="32">
        <f t="shared" si="4"/>
        <v>0</v>
      </c>
      <c r="AB57" s="32">
        <f t="shared" si="5"/>
        <v>0</v>
      </c>
      <c r="AC57" s="32">
        <f t="shared" si="6"/>
        <v>0</v>
      </c>
    </row>
    <row r="58" ht="22.5" customHeight="1">
      <c r="A58" s="331" t="str">
        <f>Rooster!A59</f>
        <v/>
      </c>
      <c r="B58" s="396" t="str">
        <f>Rooster!B59</f>
        <v/>
      </c>
      <c r="C58" s="15" t="str">
        <f>Rooster!C59</f>
        <v/>
      </c>
      <c r="D58" s="11" t="str">
        <f>Rooster!D59</f>
        <v/>
      </c>
      <c r="E58" s="77"/>
      <c r="F58" s="327" t="str">
        <f>Rooster!E59</f>
        <v/>
      </c>
      <c r="G58" s="319" t="str">
        <f>IFERROR(VLOOKUP(F58, Docenten!$A$2:$G$30, 7, FALSE), "0")</f>
        <v>0</v>
      </c>
      <c r="H58" s="320">
        <f t="shared" si="7"/>
        <v>0</v>
      </c>
      <c r="I58" s="327" t="str">
        <f>Rooster!H59</f>
        <v/>
      </c>
      <c r="J58" s="321" t="str">
        <f>IFERROR(VLOOKUP(I58, Locaties!$A$2:$G$15, 7, FALSE), "0")</f>
        <v>0</v>
      </c>
      <c r="K58" s="42">
        <f t="shared" si="2"/>
        <v>0</v>
      </c>
      <c r="L58" s="427" t="str">
        <f>Februari!L58</f>
        <v/>
      </c>
      <c r="M58" s="428" t="str">
        <f>Februari!M58</f>
        <v/>
      </c>
      <c r="N58" s="321" t="str">
        <f>IFERROR(VLOOKUP(M58, Tarieven!$A$1:$J$150, 10, FALSE), "0")</f>
        <v>0</v>
      </c>
      <c r="O58" s="427" t="str">
        <f>Februari!O58</f>
        <v/>
      </c>
      <c r="P58" s="428" t="str">
        <f>Februari!P58</f>
        <v/>
      </c>
      <c r="Q58" s="325" t="str">
        <f>IFERROR(VLOOKUP(P58, Tarieven!$A$2:$J$150, 10, FALSE), "0")</f>
        <v>0</v>
      </c>
      <c r="R58" s="444" t="str">
        <f>Februari!R58</f>
        <v/>
      </c>
      <c r="S58" s="428" t="str">
        <f>Februari!S58</f>
        <v/>
      </c>
      <c r="T58" s="325" t="str">
        <f>IFERROR(VLOOKUP(S58, Tarieven!$A$2:$J$150, 10, FALSE), "0")</f>
        <v>0</v>
      </c>
      <c r="U58" s="77" t="str">
        <f>Februari!U58</f>
        <v/>
      </c>
      <c r="V58" s="327" t="str">
        <f>Februari!V58</f>
        <v/>
      </c>
      <c r="W58" s="325" t="str">
        <f>IFERROR(VLOOKUP(V58, Tarieven!$A$2:$J$150, 10, FALSE), "0")</f>
        <v>0</v>
      </c>
      <c r="X58" s="138">
        <f>Februari!X58</f>
        <v>0</v>
      </c>
      <c r="Y58" s="398">
        <v>0.0</v>
      </c>
      <c r="Z58" s="329">
        <f t="shared" si="3"/>
        <v>0</v>
      </c>
      <c r="AA58" s="32">
        <f t="shared" si="4"/>
        <v>0</v>
      </c>
      <c r="AB58" s="32">
        <f t="shared" si="5"/>
        <v>0</v>
      </c>
      <c r="AC58" s="32">
        <f t="shared" si="6"/>
        <v>0</v>
      </c>
    </row>
    <row r="59" ht="22.5" customHeight="1">
      <c r="A59" s="331" t="str">
        <f>Rooster!A60</f>
        <v/>
      </c>
      <c r="B59" s="396" t="str">
        <f>Rooster!B60</f>
        <v/>
      </c>
      <c r="C59" s="15" t="str">
        <f>Rooster!C60</f>
        <v/>
      </c>
      <c r="D59" s="11" t="str">
        <f>Rooster!D60</f>
        <v/>
      </c>
      <c r="E59" s="77"/>
      <c r="F59" s="327" t="str">
        <f>Rooster!E60</f>
        <v/>
      </c>
      <c r="G59" s="319" t="str">
        <f>IFERROR(VLOOKUP(F59, Docenten!$A$2:$G$30, 7, FALSE), "0")</f>
        <v>0</v>
      </c>
      <c r="H59" s="320">
        <f t="shared" si="7"/>
        <v>0</v>
      </c>
      <c r="I59" s="327" t="str">
        <f>Rooster!H60</f>
        <v/>
      </c>
      <c r="J59" s="321" t="str">
        <f>IFERROR(VLOOKUP(I59, Locaties!$A$2:$G$15, 7, FALSE), "0")</f>
        <v>0</v>
      </c>
      <c r="K59" s="42">
        <f t="shared" si="2"/>
        <v>0</v>
      </c>
      <c r="L59" s="427" t="str">
        <f>Februari!L59</f>
        <v/>
      </c>
      <c r="M59" s="428" t="str">
        <f>Februari!M59</f>
        <v/>
      </c>
      <c r="N59" s="321" t="str">
        <f>IFERROR(VLOOKUP(M59, Tarieven!$A$1:$J$150, 10, FALSE), "0")</f>
        <v>0</v>
      </c>
      <c r="O59" s="427" t="str">
        <f>Februari!O59</f>
        <v/>
      </c>
      <c r="P59" s="428" t="str">
        <f>Februari!P59</f>
        <v/>
      </c>
      <c r="Q59" s="325" t="str">
        <f>IFERROR(VLOOKUP(P59, Tarieven!$A$2:$J$150, 10, FALSE), "0")</f>
        <v>0</v>
      </c>
      <c r="R59" s="444" t="str">
        <f>Februari!R59</f>
        <v/>
      </c>
      <c r="S59" s="428" t="str">
        <f>Februari!S59</f>
        <v/>
      </c>
      <c r="T59" s="325" t="str">
        <f>IFERROR(VLOOKUP(S59, Tarieven!$A$2:$J$150, 10, FALSE), "0")</f>
        <v>0</v>
      </c>
      <c r="U59" s="77" t="str">
        <f>Februari!U59</f>
        <v/>
      </c>
      <c r="V59" s="327" t="str">
        <f>Februari!V59</f>
        <v/>
      </c>
      <c r="W59" s="325" t="str">
        <f>IFERROR(VLOOKUP(V59, Tarieven!$A$2:$J$150, 10, FALSE), "0")</f>
        <v>0</v>
      </c>
      <c r="X59" s="138">
        <f>Februari!X59</f>
        <v>0</v>
      </c>
      <c r="Y59" s="398">
        <v>0.0</v>
      </c>
      <c r="Z59" s="329">
        <f t="shared" si="3"/>
        <v>0</v>
      </c>
      <c r="AA59" s="32">
        <f t="shared" si="4"/>
        <v>0</v>
      </c>
      <c r="AB59" s="32">
        <f t="shared" si="5"/>
        <v>0</v>
      </c>
      <c r="AC59" s="32">
        <f t="shared" si="6"/>
        <v>0</v>
      </c>
    </row>
    <row r="60" ht="22.5" customHeight="1">
      <c r="A60" s="331" t="str">
        <f>Rooster!A61</f>
        <v/>
      </c>
      <c r="B60" s="396" t="str">
        <f>Rooster!B61</f>
        <v/>
      </c>
      <c r="C60" s="15" t="str">
        <f>Rooster!C61</f>
        <v/>
      </c>
      <c r="D60" s="11" t="str">
        <f>Rooster!D61</f>
        <v/>
      </c>
      <c r="E60" s="77"/>
      <c r="F60" s="327" t="str">
        <f>Rooster!E61</f>
        <v/>
      </c>
      <c r="G60" s="319" t="str">
        <f>IFERROR(VLOOKUP(F60, Docenten!$A$2:$G$30, 7, FALSE), "0")</f>
        <v>0</v>
      </c>
      <c r="H60" s="320">
        <f t="shared" si="7"/>
        <v>0</v>
      </c>
      <c r="I60" s="327" t="str">
        <f>Rooster!H61</f>
        <v/>
      </c>
      <c r="J60" s="321" t="str">
        <f>IFERROR(VLOOKUP(I60, Locaties!$A$2:$G$15, 7, FALSE), "0")</f>
        <v>0</v>
      </c>
      <c r="K60" s="42">
        <f t="shared" si="2"/>
        <v>0</v>
      </c>
      <c r="L60" s="427" t="str">
        <f>Februari!L60</f>
        <v/>
      </c>
      <c r="M60" s="428" t="str">
        <f>Februari!M60</f>
        <v/>
      </c>
      <c r="N60" s="321" t="str">
        <f>IFERROR(VLOOKUP(M60, Tarieven!$A$1:$J$150, 10, FALSE), "0")</f>
        <v>0</v>
      </c>
      <c r="O60" s="427" t="str">
        <f>Februari!O60</f>
        <v/>
      </c>
      <c r="P60" s="428" t="str">
        <f>Februari!P60</f>
        <v/>
      </c>
      <c r="Q60" s="325" t="str">
        <f>IFERROR(VLOOKUP(P60, Tarieven!$A$2:$J$150, 10, FALSE), "0")</f>
        <v>0</v>
      </c>
      <c r="R60" s="444" t="str">
        <f>Februari!R60</f>
        <v/>
      </c>
      <c r="S60" s="428" t="str">
        <f>Februari!S60</f>
        <v/>
      </c>
      <c r="T60" s="325" t="str">
        <f>IFERROR(VLOOKUP(S60, Tarieven!$A$2:$J$150, 10, FALSE), "0")</f>
        <v>0</v>
      </c>
      <c r="U60" s="77" t="str">
        <f>Februari!U60</f>
        <v/>
      </c>
      <c r="V60" s="327" t="str">
        <f>Februari!V60</f>
        <v/>
      </c>
      <c r="W60" s="325" t="str">
        <f>IFERROR(VLOOKUP(V60, Tarieven!$A$2:$J$150, 10, FALSE), "0")</f>
        <v>0</v>
      </c>
      <c r="X60" s="138">
        <f>Februari!X60</f>
        <v>0</v>
      </c>
      <c r="Y60" s="398">
        <v>0.0</v>
      </c>
      <c r="Z60" s="329">
        <f t="shared" si="3"/>
        <v>0</v>
      </c>
      <c r="AA60" s="32">
        <f t="shared" si="4"/>
        <v>0</v>
      </c>
      <c r="AB60" s="32">
        <f t="shared" si="5"/>
        <v>0</v>
      </c>
      <c r="AC60" s="32">
        <f t="shared" si="6"/>
        <v>0</v>
      </c>
    </row>
    <row r="61" ht="22.5" customHeight="1">
      <c r="A61" s="331" t="str">
        <f>Rooster!A62</f>
        <v/>
      </c>
      <c r="B61" s="396" t="str">
        <f>Rooster!B62</f>
        <v/>
      </c>
      <c r="C61" s="15" t="str">
        <f>Rooster!C62</f>
        <v/>
      </c>
      <c r="D61" s="11" t="str">
        <f>Rooster!D62</f>
        <v/>
      </c>
      <c r="E61" s="77"/>
      <c r="F61" s="327" t="str">
        <f>Rooster!E62</f>
        <v/>
      </c>
      <c r="G61" s="319" t="str">
        <f>IFERROR(VLOOKUP(F61, Docenten!$A$2:$G$30, 7, FALSE), "0")</f>
        <v>0</v>
      </c>
      <c r="H61" s="320">
        <f t="shared" si="7"/>
        <v>0</v>
      </c>
      <c r="I61" s="327" t="str">
        <f>Rooster!H62</f>
        <v/>
      </c>
      <c r="J61" s="321" t="str">
        <f>IFERROR(VLOOKUP(I61, Locaties!$A$2:$G$15, 7, FALSE), "0")</f>
        <v>0</v>
      </c>
      <c r="K61" s="42">
        <f t="shared" si="2"/>
        <v>0</v>
      </c>
      <c r="L61" s="427" t="str">
        <f>Februari!L61</f>
        <v/>
      </c>
      <c r="M61" s="428" t="str">
        <f>Februari!M61</f>
        <v/>
      </c>
      <c r="N61" s="321" t="str">
        <f>IFERROR(VLOOKUP(M61, Tarieven!$A$1:$J$150, 10, FALSE), "0")</f>
        <v>0</v>
      </c>
      <c r="O61" s="427" t="str">
        <f>Februari!O61</f>
        <v/>
      </c>
      <c r="P61" s="428" t="str">
        <f>Februari!P61</f>
        <v/>
      </c>
      <c r="Q61" s="325" t="str">
        <f>IFERROR(VLOOKUP(P61, Tarieven!$A$2:$J$150, 10, FALSE), "0")</f>
        <v>0</v>
      </c>
      <c r="R61" s="444" t="str">
        <f>Februari!R61</f>
        <v/>
      </c>
      <c r="S61" s="428" t="str">
        <f>Februari!S61</f>
        <v/>
      </c>
      <c r="T61" s="325" t="str">
        <f>IFERROR(VLOOKUP(S61, Tarieven!$A$2:$J$150, 10, FALSE), "0")</f>
        <v>0</v>
      </c>
      <c r="U61" s="77" t="str">
        <f>Februari!U61</f>
        <v/>
      </c>
      <c r="V61" s="327" t="str">
        <f>Februari!V61</f>
        <v/>
      </c>
      <c r="W61" s="325" t="str">
        <f>IFERROR(VLOOKUP(V61, Tarieven!$A$2:$J$150, 10, FALSE), "0")</f>
        <v>0</v>
      </c>
      <c r="X61" s="138">
        <f>Februari!X61</f>
        <v>0</v>
      </c>
      <c r="Y61" s="398">
        <v>0.0</v>
      </c>
      <c r="Z61" s="329">
        <f t="shared" si="3"/>
        <v>0</v>
      </c>
      <c r="AA61" s="32">
        <f t="shared" si="4"/>
        <v>0</v>
      </c>
      <c r="AB61" s="32">
        <f t="shared" si="5"/>
        <v>0</v>
      </c>
      <c r="AC61" s="32">
        <f t="shared" si="6"/>
        <v>0</v>
      </c>
    </row>
    <row r="62" ht="22.5" customHeight="1">
      <c r="A62" s="331" t="str">
        <f>Rooster!A63</f>
        <v/>
      </c>
      <c r="B62" s="396" t="str">
        <f>Rooster!B63</f>
        <v/>
      </c>
      <c r="C62" s="15" t="str">
        <f>Rooster!C63</f>
        <v/>
      </c>
      <c r="D62" s="11" t="str">
        <f>Rooster!D63</f>
        <v/>
      </c>
      <c r="E62" s="77"/>
      <c r="F62" s="327" t="str">
        <f>Rooster!E63</f>
        <v/>
      </c>
      <c r="G62" s="319" t="str">
        <f>IFERROR(VLOOKUP(F62, Docenten!$A$2:$G$30, 7, FALSE), "0")</f>
        <v>0</v>
      </c>
      <c r="H62" s="320">
        <f t="shared" si="7"/>
        <v>0</v>
      </c>
      <c r="I62" s="327" t="str">
        <f>Rooster!H63</f>
        <v/>
      </c>
      <c r="J62" s="321" t="str">
        <f>IFERROR(VLOOKUP(I62, Locaties!$A$2:$G$15, 7, FALSE), "0")</f>
        <v>0</v>
      </c>
      <c r="K62" s="42">
        <f t="shared" si="2"/>
        <v>0</v>
      </c>
      <c r="L62" s="427" t="str">
        <f>Februari!L62</f>
        <v/>
      </c>
      <c r="M62" s="428" t="str">
        <f>Februari!M62</f>
        <v/>
      </c>
      <c r="N62" s="321" t="str">
        <f>IFERROR(VLOOKUP(M62, Tarieven!$A$1:$J$150, 10, FALSE), "0")</f>
        <v>0</v>
      </c>
      <c r="O62" s="427" t="str">
        <f>Februari!O62</f>
        <v/>
      </c>
      <c r="P62" s="428" t="str">
        <f>Februari!P62</f>
        <v/>
      </c>
      <c r="Q62" s="325" t="str">
        <f>IFERROR(VLOOKUP(P62, Tarieven!$A$2:$J$150, 10, FALSE), "0")</f>
        <v>0</v>
      </c>
      <c r="R62" s="444" t="str">
        <f>Februari!R62</f>
        <v/>
      </c>
      <c r="S62" s="428" t="str">
        <f>Februari!S62</f>
        <v/>
      </c>
      <c r="T62" s="325" t="str">
        <f>IFERROR(VLOOKUP(S62, Tarieven!$A$2:$J$150, 10, FALSE), "0")</f>
        <v>0</v>
      </c>
      <c r="U62" s="77" t="str">
        <f>Februari!U62</f>
        <v/>
      </c>
      <c r="V62" s="327" t="str">
        <f>Februari!V62</f>
        <v/>
      </c>
      <c r="W62" s="325" t="str">
        <f>IFERROR(VLOOKUP(V62, Tarieven!$A$2:$J$150, 10, FALSE), "0")</f>
        <v>0</v>
      </c>
      <c r="X62" s="138">
        <f>Februari!X62</f>
        <v>0</v>
      </c>
      <c r="Y62" s="398">
        <v>0.0</v>
      </c>
      <c r="Z62" s="329">
        <f t="shared" si="3"/>
        <v>0</v>
      </c>
      <c r="AA62" s="32">
        <f t="shared" si="4"/>
        <v>0</v>
      </c>
      <c r="AB62" s="32">
        <f t="shared" si="5"/>
        <v>0</v>
      </c>
      <c r="AC62" s="32">
        <f t="shared" si="6"/>
        <v>0</v>
      </c>
    </row>
    <row r="63" ht="22.5" customHeight="1">
      <c r="A63" s="331" t="str">
        <f>Rooster!A64</f>
        <v/>
      </c>
      <c r="B63" s="396" t="str">
        <f>Rooster!B64</f>
        <v/>
      </c>
      <c r="C63" s="15" t="str">
        <f>Rooster!C64</f>
        <v/>
      </c>
      <c r="D63" s="11" t="str">
        <f>Rooster!D64</f>
        <v/>
      </c>
      <c r="E63" s="77"/>
      <c r="F63" s="327" t="str">
        <f>Rooster!E64</f>
        <v/>
      </c>
      <c r="G63" s="319" t="str">
        <f>IFERROR(VLOOKUP(F63, Docenten!$A$2:$G$30, 7, FALSE), "0")</f>
        <v>0</v>
      </c>
      <c r="H63" s="320">
        <f t="shared" si="7"/>
        <v>0</v>
      </c>
      <c r="I63" s="327" t="str">
        <f>Rooster!H64</f>
        <v/>
      </c>
      <c r="J63" s="321" t="str">
        <f>IFERROR(VLOOKUP(I63, Locaties!$A$2:$G$15, 7, FALSE), "0")</f>
        <v>0</v>
      </c>
      <c r="K63" s="42">
        <f t="shared" si="2"/>
        <v>0</v>
      </c>
      <c r="L63" s="427" t="str">
        <f>Februari!L63</f>
        <v/>
      </c>
      <c r="M63" s="428" t="str">
        <f>Februari!M63</f>
        <v/>
      </c>
      <c r="N63" s="321" t="str">
        <f>IFERROR(VLOOKUP(M63, Tarieven!$A$1:$J$150, 10, FALSE), "0")</f>
        <v>0</v>
      </c>
      <c r="O63" s="427" t="str">
        <f>Februari!O63</f>
        <v/>
      </c>
      <c r="P63" s="428" t="str">
        <f>Februari!P63</f>
        <v/>
      </c>
      <c r="Q63" s="325" t="str">
        <f>IFERROR(VLOOKUP(P63, Tarieven!$A$2:$J$150, 10, FALSE), "0")</f>
        <v>0</v>
      </c>
      <c r="R63" s="444" t="str">
        <f>Februari!R63</f>
        <v/>
      </c>
      <c r="S63" s="428" t="str">
        <f>Februari!S63</f>
        <v/>
      </c>
      <c r="T63" s="325" t="str">
        <f>IFERROR(VLOOKUP(S63, Tarieven!$A$2:$J$150, 10, FALSE), "0")</f>
        <v>0</v>
      </c>
      <c r="U63" s="77" t="str">
        <f>Februari!U63</f>
        <v/>
      </c>
      <c r="V63" s="327" t="str">
        <f>Februari!V63</f>
        <v/>
      </c>
      <c r="W63" s="325" t="str">
        <f>IFERROR(VLOOKUP(V63, Tarieven!$A$2:$J$150, 10, FALSE), "0")</f>
        <v>0</v>
      </c>
      <c r="X63" s="138">
        <f>Februari!X63</f>
        <v>0</v>
      </c>
      <c r="Y63" s="398">
        <v>0.0</v>
      </c>
      <c r="Z63" s="329">
        <f t="shared" si="3"/>
        <v>0</v>
      </c>
      <c r="AA63" s="32">
        <f t="shared" si="4"/>
        <v>0</v>
      </c>
      <c r="AB63" s="32">
        <f t="shared" si="5"/>
        <v>0</v>
      </c>
      <c r="AC63" s="32">
        <f t="shared" si="6"/>
        <v>0</v>
      </c>
    </row>
    <row r="64" ht="22.5" customHeight="1">
      <c r="A64" s="331" t="str">
        <f>Rooster!A65</f>
        <v/>
      </c>
      <c r="B64" s="396" t="str">
        <f>Rooster!B65</f>
        <v/>
      </c>
      <c r="C64" s="15" t="str">
        <f>Rooster!C65</f>
        <v/>
      </c>
      <c r="D64" s="11" t="str">
        <f>Rooster!D65</f>
        <v/>
      </c>
      <c r="E64" s="77"/>
      <c r="F64" s="327" t="str">
        <f>Rooster!E65</f>
        <v/>
      </c>
      <c r="G64" s="319" t="str">
        <f>IFERROR(VLOOKUP(F64, Docenten!$A$2:$G$30, 7, FALSE), "0")</f>
        <v>0</v>
      </c>
      <c r="H64" s="320">
        <f t="shared" si="7"/>
        <v>0</v>
      </c>
      <c r="I64" s="327" t="str">
        <f>Rooster!H65</f>
        <v/>
      </c>
      <c r="J64" s="321" t="str">
        <f>IFERROR(VLOOKUP(I64, Locaties!$A$2:$G$15, 7, FALSE), "0")</f>
        <v>0</v>
      </c>
      <c r="K64" s="42">
        <f t="shared" si="2"/>
        <v>0</v>
      </c>
      <c r="L64" s="427" t="str">
        <f>Februari!L64</f>
        <v/>
      </c>
      <c r="M64" s="428" t="str">
        <f>Februari!M64</f>
        <v/>
      </c>
      <c r="N64" s="321" t="str">
        <f>IFERROR(VLOOKUP(M64, Tarieven!$A$1:$J$150, 10, FALSE), "0")</f>
        <v>0</v>
      </c>
      <c r="O64" s="427" t="str">
        <f>Februari!O64</f>
        <v/>
      </c>
      <c r="P64" s="428" t="str">
        <f>Februari!P64</f>
        <v/>
      </c>
      <c r="Q64" s="325" t="str">
        <f>IFERROR(VLOOKUP(P64, Tarieven!$A$2:$J$150, 10, FALSE), "0")</f>
        <v>0</v>
      </c>
      <c r="R64" s="444" t="str">
        <f>Februari!R64</f>
        <v/>
      </c>
      <c r="S64" s="428" t="str">
        <f>Februari!S64</f>
        <v/>
      </c>
      <c r="T64" s="325" t="str">
        <f>IFERROR(VLOOKUP(S64, Tarieven!$A$2:$J$150, 10, FALSE), "0")</f>
        <v>0</v>
      </c>
      <c r="U64" s="77" t="str">
        <f>Februari!U64</f>
        <v/>
      </c>
      <c r="V64" s="327" t="str">
        <f>Februari!V64</f>
        <v/>
      </c>
      <c r="W64" s="325" t="str">
        <f>IFERROR(VLOOKUP(V64, Tarieven!$A$2:$J$150, 10, FALSE), "0")</f>
        <v>0</v>
      </c>
      <c r="X64" s="138">
        <f>Februari!X64</f>
        <v>0</v>
      </c>
      <c r="Y64" s="398">
        <v>0.0</v>
      </c>
      <c r="Z64" s="329">
        <f t="shared" si="3"/>
        <v>0</v>
      </c>
      <c r="AA64" s="32">
        <f t="shared" si="4"/>
        <v>0</v>
      </c>
      <c r="AB64" s="32">
        <f t="shared" si="5"/>
        <v>0</v>
      </c>
      <c r="AC64" s="32">
        <f t="shared" si="6"/>
        <v>0</v>
      </c>
    </row>
    <row r="65" ht="22.5" customHeight="1">
      <c r="A65" s="331" t="str">
        <f>Rooster!A66</f>
        <v/>
      </c>
      <c r="B65" s="396" t="str">
        <f>Rooster!B66</f>
        <v/>
      </c>
      <c r="C65" s="15" t="str">
        <f>Rooster!C66</f>
        <v/>
      </c>
      <c r="D65" s="11" t="str">
        <f>Rooster!D66</f>
        <v/>
      </c>
      <c r="E65" s="77"/>
      <c r="F65" s="327" t="str">
        <f>Rooster!E66</f>
        <v/>
      </c>
      <c r="G65" s="319" t="str">
        <f>IFERROR(VLOOKUP(F65, Docenten!$A$2:$G$30, 7, FALSE), "0")</f>
        <v>0</v>
      </c>
      <c r="H65" s="320">
        <f t="shared" si="7"/>
        <v>0</v>
      </c>
      <c r="I65" s="327" t="str">
        <f>Rooster!H66</f>
        <v/>
      </c>
      <c r="J65" s="321" t="str">
        <f>IFERROR(VLOOKUP(I65, Locaties!$A$2:$G$15, 7, FALSE), "0")</f>
        <v>0</v>
      </c>
      <c r="K65" s="42">
        <f t="shared" si="2"/>
        <v>0</v>
      </c>
      <c r="L65" s="427" t="str">
        <f>Februari!L65</f>
        <v/>
      </c>
      <c r="M65" s="428" t="str">
        <f>Februari!M65</f>
        <v/>
      </c>
      <c r="N65" s="321" t="str">
        <f>IFERROR(VLOOKUP(M65, Tarieven!$A$1:$J$150, 10, FALSE), "0")</f>
        <v>0</v>
      </c>
      <c r="O65" s="427" t="str">
        <f>Februari!O65</f>
        <v/>
      </c>
      <c r="P65" s="428" t="str">
        <f>Februari!P65</f>
        <v/>
      </c>
      <c r="Q65" s="325" t="str">
        <f>IFERROR(VLOOKUP(P65, Tarieven!$A$2:$J$150, 10, FALSE), "0")</f>
        <v>0</v>
      </c>
      <c r="R65" s="444" t="str">
        <f>Februari!R65</f>
        <v/>
      </c>
      <c r="S65" s="428" t="str">
        <f>Februari!S65</f>
        <v/>
      </c>
      <c r="T65" s="325" t="str">
        <f>IFERROR(VLOOKUP(S65, Tarieven!$A$2:$J$150, 10, FALSE), "0")</f>
        <v>0</v>
      </c>
      <c r="U65" s="77" t="str">
        <f>Februari!U65</f>
        <v/>
      </c>
      <c r="V65" s="327" t="str">
        <f>Februari!V65</f>
        <v/>
      </c>
      <c r="W65" s="325" t="str">
        <f>IFERROR(VLOOKUP(V65, Tarieven!$A$2:$J$150, 10, FALSE), "0")</f>
        <v>0</v>
      </c>
      <c r="X65" s="138">
        <f>Februari!X65</f>
        <v>0</v>
      </c>
      <c r="Y65" s="398">
        <v>0.0</v>
      </c>
      <c r="Z65" s="329">
        <f t="shared" si="3"/>
        <v>0</v>
      </c>
      <c r="AA65" s="32">
        <f t="shared" si="4"/>
        <v>0</v>
      </c>
      <c r="AB65" s="32">
        <f t="shared" si="5"/>
        <v>0</v>
      </c>
      <c r="AC65" s="32">
        <f t="shared" si="6"/>
        <v>0</v>
      </c>
    </row>
    <row r="66" ht="22.5" customHeight="1">
      <c r="A66" s="331" t="str">
        <f>Rooster!A67</f>
        <v/>
      </c>
      <c r="B66" s="396" t="str">
        <f>Rooster!B67</f>
        <v/>
      </c>
      <c r="C66" s="15" t="str">
        <f>Rooster!C67</f>
        <v/>
      </c>
      <c r="D66" s="11" t="str">
        <f>Rooster!D67</f>
        <v/>
      </c>
      <c r="E66" s="77"/>
      <c r="F66" s="327" t="str">
        <f>Rooster!E67</f>
        <v/>
      </c>
      <c r="G66" s="319" t="str">
        <f>IFERROR(VLOOKUP(F66, Docenten!$A$2:$G$30, 7, FALSE), "0")</f>
        <v>0</v>
      </c>
      <c r="H66" s="320">
        <f t="shared" si="7"/>
        <v>0</v>
      </c>
      <c r="I66" s="327" t="str">
        <f>Rooster!H67</f>
        <v/>
      </c>
      <c r="J66" s="321" t="str">
        <f>IFERROR(VLOOKUP(I66, Locaties!$A$2:$G$15, 7, FALSE), "0")</f>
        <v>0</v>
      </c>
      <c r="K66" s="42">
        <f t="shared" si="2"/>
        <v>0</v>
      </c>
      <c r="L66" s="427" t="str">
        <f>Februari!L66</f>
        <v/>
      </c>
      <c r="M66" s="428" t="str">
        <f>Februari!M66</f>
        <v/>
      </c>
      <c r="N66" s="321" t="str">
        <f>IFERROR(VLOOKUP(M66, Tarieven!$A$1:$J$150, 10, FALSE), "0")</f>
        <v>0</v>
      </c>
      <c r="O66" s="427" t="str">
        <f>Februari!O66</f>
        <v/>
      </c>
      <c r="P66" s="428" t="str">
        <f>Februari!P66</f>
        <v/>
      </c>
      <c r="Q66" s="325" t="str">
        <f>IFERROR(VLOOKUP(P66, Tarieven!$A$2:$J$150, 10, FALSE), "0")</f>
        <v>0</v>
      </c>
      <c r="R66" s="444" t="str">
        <f>Februari!R66</f>
        <v/>
      </c>
      <c r="S66" s="428" t="str">
        <f>Februari!S66</f>
        <v/>
      </c>
      <c r="T66" s="325" t="str">
        <f>IFERROR(VLOOKUP(S66, Tarieven!$A$2:$J$150, 10, FALSE), "0")</f>
        <v>0</v>
      </c>
      <c r="U66" s="77" t="str">
        <f>Februari!U66</f>
        <v/>
      </c>
      <c r="V66" s="327" t="str">
        <f>Februari!V66</f>
        <v/>
      </c>
      <c r="W66" s="325" t="str">
        <f>IFERROR(VLOOKUP(V66, Tarieven!$A$2:$J$150, 10, FALSE), "0")</f>
        <v>0</v>
      </c>
      <c r="X66" s="138">
        <f>Februari!X66</f>
        <v>0</v>
      </c>
      <c r="Y66" s="398">
        <v>0.0</v>
      </c>
      <c r="Z66" s="329">
        <f t="shared" si="3"/>
        <v>0</v>
      </c>
      <c r="AA66" s="32">
        <f t="shared" si="4"/>
        <v>0</v>
      </c>
      <c r="AB66" s="32">
        <f t="shared" si="5"/>
        <v>0</v>
      </c>
      <c r="AC66" s="32">
        <f t="shared" si="6"/>
        <v>0</v>
      </c>
    </row>
    <row r="67" ht="22.5" customHeight="1">
      <c r="A67" s="331" t="str">
        <f>Rooster!A68</f>
        <v/>
      </c>
      <c r="B67" s="396" t="str">
        <f>Rooster!B68</f>
        <v/>
      </c>
      <c r="C67" s="15" t="str">
        <f>Rooster!C68</f>
        <v/>
      </c>
      <c r="D67" s="11" t="str">
        <f>Rooster!D68</f>
        <v/>
      </c>
      <c r="E67" s="77"/>
      <c r="F67" s="327" t="str">
        <f>Rooster!E68</f>
        <v/>
      </c>
      <c r="G67" s="319" t="str">
        <f>IFERROR(VLOOKUP(F67, Docenten!$A$2:$G$30, 7, FALSE), "0")</f>
        <v>0</v>
      </c>
      <c r="H67" s="320">
        <f t="shared" si="7"/>
        <v>0</v>
      </c>
      <c r="I67" s="327" t="str">
        <f>Rooster!H68</f>
        <v/>
      </c>
      <c r="J67" s="321" t="str">
        <f>IFERROR(VLOOKUP(I67, Locaties!$A$2:$G$15, 7, FALSE), "0")</f>
        <v>0</v>
      </c>
      <c r="K67" s="42">
        <f t="shared" si="2"/>
        <v>0</v>
      </c>
      <c r="L67" s="427" t="str">
        <f>Februari!L67</f>
        <v/>
      </c>
      <c r="M67" s="428" t="str">
        <f>Februari!M67</f>
        <v/>
      </c>
      <c r="N67" s="321" t="str">
        <f>IFERROR(VLOOKUP(M67, Tarieven!$A$1:$J$150, 10, FALSE), "0")</f>
        <v>0</v>
      </c>
      <c r="O67" s="427" t="str">
        <f>Februari!O67</f>
        <v/>
      </c>
      <c r="P67" s="428" t="str">
        <f>Februari!P67</f>
        <v/>
      </c>
      <c r="Q67" s="325" t="str">
        <f>IFERROR(VLOOKUP(P67, Tarieven!$A$2:$J$150, 10, FALSE), "0")</f>
        <v>0</v>
      </c>
      <c r="R67" s="444" t="str">
        <f>Februari!R67</f>
        <v/>
      </c>
      <c r="S67" s="428" t="str">
        <f>Februari!S67</f>
        <v/>
      </c>
      <c r="T67" s="325" t="str">
        <f>IFERROR(VLOOKUP(S67, Tarieven!$A$2:$J$150, 10, FALSE), "0")</f>
        <v>0</v>
      </c>
      <c r="U67" s="77" t="str">
        <f>Februari!U67</f>
        <v/>
      </c>
      <c r="V67" s="327" t="str">
        <f>Februari!V67</f>
        <v/>
      </c>
      <c r="W67" s="325" t="str">
        <f>IFERROR(VLOOKUP(V67, Tarieven!$A$2:$J$150, 10, FALSE), "0")</f>
        <v>0</v>
      </c>
      <c r="X67" s="138">
        <f>Februari!X67</f>
        <v>0</v>
      </c>
      <c r="Y67" s="398">
        <v>0.0</v>
      </c>
      <c r="Z67" s="329">
        <f t="shared" si="3"/>
        <v>0</v>
      </c>
      <c r="AA67" s="32">
        <f t="shared" si="4"/>
        <v>0</v>
      </c>
      <c r="AB67" s="32">
        <f t="shared" si="5"/>
        <v>0</v>
      </c>
      <c r="AC67" s="32">
        <f t="shared" si="6"/>
        <v>0</v>
      </c>
    </row>
    <row r="68" ht="22.5" customHeight="1">
      <c r="A68" s="331" t="str">
        <f>Rooster!A69</f>
        <v/>
      </c>
      <c r="B68" s="396" t="str">
        <f>Rooster!B69</f>
        <v/>
      </c>
      <c r="C68" s="15" t="str">
        <f>Rooster!C69</f>
        <v/>
      </c>
      <c r="D68" s="11" t="str">
        <f>Rooster!D69</f>
        <v/>
      </c>
      <c r="E68" s="77"/>
      <c r="F68" s="327" t="str">
        <f>Rooster!E69</f>
        <v/>
      </c>
      <c r="G68" s="319" t="str">
        <f>IFERROR(VLOOKUP(F68, Docenten!$A$2:$G$30, 7, FALSE), "0")</f>
        <v>0</v>
      </c>
      <c r="H68" s="320">
        <f t="shared" si="7"/>
        <v>0</v>
      </c>
      <c r="I68" s="327" t="str">
        <f>Rooster!H69</f>
        <v/>
      </c>
      <c r="J68" s="321" t="str">
        <f>IFERROR(VLOOKUP(I68, Locaties!$A$2:$G$15, 7, FALSE), "0")</f>
        <v>0</v>
      </c>
      <c r="K68" s="42">
        <f t="shared" si="2"/>
        <v>0</v>
      </c>
      <c r="L68" s="427" t="str">
        <f>Februari!L68</f>
        <v/>
      </c>
      <c r="M68" s="428" t="str">
        <f>Februari!M68</f>
        <v/>
      </c>
      <c r="N68" s="321" t="str">
        <f>IFERROR(VLOOKUP(M68, Tarieven!$A$1:$J$150, 10, FALSE), "0")</f>
        <v>0</v>
      </c>
      <c r="O68" s="427" t="str">
        <f>Februari!O68</f>
        <v/>
      </c>
      <c r="P68" s="428" t="str">
        <f>Februari!P68</f>
        <v/>
      </c>
      <c r="Q68" s="325" t="str">
        <f>IFERROR(VLOOKUP(P68, Tarieven!$A$2:$J$150, 10, FALSE), "0")</f>
        <v>0</v>
      </c>
      <c r="R68" s="444" t="str">
        <f>Februari!R68</f>
        <v/>
      </c>
      <c r="S68" s="428" t="str">
        <f>Februari!S68</f>
        <v/>
      </c>
      <c r="T68" s="325" t="str">
        <f>IFERROR(VLOOKUP(S68, Tarieven!$A$2:$J$150, 10, FALSE), "0")</f>
        <v>0</v>
      </c>
      <c r="U68" s="77" t="str">
        <f>Februari!U68</f>
        <v/>
      </c>
      <c r="V68" s="327" t="str">
        <f>Februari!V68</f>
        <v/>
      </c>
      <c r="W68" s="325" t="str">
        <f>IFERROR(VLOOKUP(V68, Tarieven!$A$2:$J$150, 10, FALSE), "0")</f>
        <v>0</v>
      </c>
      <c r="X68" s="138">
        <f>Februari!X68</f>
        <v>0</v>
      </c>
      <c r="Y68" s="398">
        <v>0.0</v>
      </c>
      <c r="Z68" s="329">
        <f t="shared" si="3"/>
        <v>0</v>
      </c>
      <c r="AA68" s="32">
        <f t="shared" si="4"/>
        <v>0</v>
      </c>
      <c r="AB68" s="32">
        <f t="shared" si="5"/>
        <v>0</v>
      </c>
      <c r="AC68" s="32">
        <f t="shared" si="6"/>
        <v>0</v>
      </c>
    </row>
    <row r="69" ht="22.5" customHeight="1">
      <c r="A69" s="331" t="str">
        <f>Rooster!A70</f>
        <v/>
      </c>
      <c r="B69" s="396" t="str">
        <f>Rooster!B70</f>
        <v/>
      </c>
      <c r="C69" s="15" t="str">
        <f>Rooster!C70</f>
        <v/>
      </c>
      <c r="D69" s="11" t="str">
        <f>Rooster!D70</f>
        <v/>
      </c>
      <c r="E69" s="77"/>
      <c r="F69" s="327" t="str">
        <f>Rooster!E70</f>
        <v/>
      </c>
      <c r="G69" s="319" t="str">
        <f>IFERROR(VLOOKUP(F69, Docenten!$A$2:$G$30, 7, FALSE), "0")</f>
        <v>0</v>
      </c>
      <c r="H69" s="320">
        <f t="shared" si="7"/>
        <v>0</v>
      </c>
      <c r="I69" s="327" t="str">
        <f>Rooster!H70</f>
        <v/>
      </c>
      <c r="J69" s="321" t="str">
        <f>IFERROR(VLOOKUP(I69, Locaties!$A$2:$G$15, 7, FALSE), "0")</f>
        <v>0</v>
      </c>
      <c r="K69" s="42">
        <f t="shared" si="2"/>
        <v>0</v>
      </c>
      <c r="L69" s="427" t="str">
        <f>Februari!L69</f>
        <v/>
      </c>
      <c r="M69" s="428" t="str">
        <f>Februari!M69</f>
        <v/>
      </c>
      <c r="N69" s="321" t="str">
        <f>IFERROR(VLOOKUP(M69, Tarieven!$A$1:$J$150, 10, FALSE), "0")</f>
        <v>0</v>
      </c>
      <c r="O69" s="427" t="str">
        <f>Februari!O69</f>
        <v/>
      </c>
      <c r="P69" s="428" t="str">
        <f>Februari!P69</f>
        <v/>
      </c>
      <c r="Q69" s="325" t="str">
        <f>IFERROR(VLOOKUP(P69, Tarieven!$A$2:$J$150, 10, FALSE), "0")</f>
        <v>0</v>
      </c>
      <c r="R69" s="444" t="str">
        <f>Februari!R69</f>
        <v/>
      </c>
      <c r="S69" s="428" t="str">
        <f>Februari!S69</f>
        <v/>
      </c>
      <c r="T69" s="325" t="str">
        <f>IFERROR(VLOOKUP(S69, Tarieven!$A$2:$J$150, 10, FALSE), "0")</f>
        <v>0</v>
      </c>
      <c r="U69" s="77" t="str">
        <f>Februari!U69</f>
        <v/>
      </c>
      <c r="V69" s="327" t="str">
        <f>Februari!V69</f>
        <v/>
      </c>
      <c r="W69" s="325" t="str">
        <f>IFERROR(VLOOKUP(V69, Tarieven!$A$2:$J$150, 10, FALSE), "0")</f>
        <v>0</v>
      </c>
      <c r="X69" s="138">
        <f>Februari!X69</f>
        <v>0</v>
      </c>
      <c r="Y69" s="398">
        <v>0.0</v>
      </c>
      <c r="Z69" s="329">
        <f t="shared" si="3"/>
        <v>0</v>
      </c>
      <c r="AA69" s="32">
        <f t="shared" si="4"/>
        <v>0</v>
      </c>
      <c r="AB69" s="32">
        <f t="shared" si="5"/>
        <v>0</v>
      </c>
      <c r="AC69" s="32">
        <f t="shared" si="6"/>
        <v>0</v>
      </c>
    </row>
    <row r="70" ht="22.5" customHeight="1">
      <c r="A70" s="331" t="str">
        <f>Rooster!A71</f>
        <v/>
      </c>
      <c r="B70" s="396" t="str">
        <f>Rooster!B71</f>
        <v/>
      </c>
      <c r="C70" s="15" t="str">
        <f>Rooster!C71</f>
        <v/>
      </c>
      <c r="D70" s="11" t="str">
        <f>Rooster!D71</f>
        <v/>
      </c>
      <c r="E70" s="77"/>
      <c r="F70" s="327" t="str">
        <f>Rooster!E71</f>
        <v/>
      </c>
      <c r="G70" s="319" t="str">
        <f>IFERROR(VLOOKUP(F70, Docenten!$A$2:$G$30, 7, FALSE), "0")</f>
        <v>0</v>
      </c>
      <c r="H70" s="320">
        <f t="shared" si="7"/>
        <v>0</v>
      </c>
      <c r="I70" s="327" t="str">
        <f>Rooster!H71</f>
        <v/>
      </c>
      <c r="J70" s="321" t="str">
        <f>IFERROR(VLOOKUP(I70, Locaties!$A$2:$G$15, 7, FALSE), "0")</f>
        <v>0</v>
      </c>
      <c r="K70" s="42">
        <f t="shared" si="2"/>
        <v>0</v>
      </c>
      <c r="L70" s="427" t="str">
        <f>Februari!L70</f>
        <v/>
      </c>
      <c r="M70" s="428" t="str">
        <f>Februari!M70</f>
        <v/>
      </c>
      <c r="N70" s="321" t="str">
        <f>IFERROR(VLOOKUP(M70, Tarieven!$A$1:$J$150, 10, FALSE), "0")</f>
        <v>0</v>
      </c>
      <c r="O70" s="427" t="str">
        <f>Februari!O70</f>
        <v/>
      </c>
      <c r="P70" s="428" t="str">
        <f>Februari!P70</f>
        <v/>
      </c>
      <c r="Q70" s="325" t="str">
        <f>IFERROR(VLOOKUP(P70, Tarieven!$A$2:$J$150, 10, FALSE), "0")</f>
        <v>0</v>
      </c>
      <c r="R70" s="444" t="str">
        <f>Februari!R70</f>
        <v/>
      </c>
      <c r="S70" s="428" t="str">
        <f>Februari!S70</f>
        <v/>
      </c>
      <c r="T70" s="325" t="str">
        <f>IFERROR(VLOOKUP(S70, Tarieven!$A$2:$J$150, 10, FALSE), "0")</f>
        <v>0</v>
      </c>
      <c r="U70" s="77" t="str">
        <f>Februari!U70</f>
        <v/>
      </c>
      <c r="V70" s="327" t="str">
        <f>Februari!V70</f>
        <v/>
      </c>
      <c r="W70" s="325" t="str">
        <f>IFERROR(VLOOKUP(V70, Tarieven!$A$2:$J$150, 10, FALSE), "0")</f>
        <v>0</v>
      </c>
      <c r="X70" s="138">
        <f>Februari!X70</f>
        <v>0</v>
      </c>
      <c r="Y70" s="398">
        <v>0.0</v>
      </c>
      <c r="Z70" s="329">
        <f t="shared" si="3"/>
        <v>0</v>
      </c>
      <c r="AA70" s="32">
        <f t="shared" si="4"/>
        <v>0</v>
      </c>
      <c r="AB70" s="32">
        <f t="shared" si="5"/>
        <v>0</v>
      </c>
      <c r="AC70" s="32">
        <f t="shared" si="6"/>
        <v>0</v>
      </c>
    </row>
    <row r="71" ht="22.5" customHeight="1">
      <c r="A71" s="331" t="str">
        <f>Rooster!A72</f>
        <v/>
      </c>
      <c r="B71" s="396" t="str">
        <f>Rooster!B72</f>
        <v/>
      </c>
      <c r="C71" s="15" t="str">
        <f>Rooster!C72</f>
        <v/>
      </c>
      <c r="D71" s="11" t="str">
        <f>Rooster!D72</f>
        <v/>
      </c>
      <c r="E71" s="77"/>
      <c r="F71" s="327" t="str">
        <f>Rooster!E72</f>
        <v/>
      </c>
      <c r="G71" s="319" t="str">
        <f>IFERROR(VLOOKUP(F71, Docenten!$A$2:$G$30, 7, FALSE), "0")</f>
        <v>0</v>
      </c>
      <c r="H71" s="320">
        <f t="shared" si="7"/>
        <v>0</v>
      </c>
      <c r="I71" s="327" t="str">
        <f>Rooster!H72</f>
        <v/>
      </c>
      <c r="J71" s="321" t="str">
        <f>IFERROR(VLOOKUP(I71, Locaties!$A$2:$G$15, 7, FALSE), "0")</f>
        <v>0</v>
      </c>
      <c r="K71" s="42">
        <f t="shared" si="2"/>
        <v>0</v>
      </c>
      <c r="L71" s="427" t="str">
        <f>Februari!L71</f>
        <v/>
      </c>
      <c r="M71" s="428" t="str">
        <f>Februari!M71</f>
        <v/>
      </c>
      <c r="N71" s="321" t="str">
        <f>IFERROR(VLOOKUP(M71, Tarieven!$A$1:$J$150, 10, FALSE), "0")</f>
        <v>0</v>
      </c>
      <c r="O71" s="427" t="str">
        <f>Februari!O71</f>
        <v/>
      </c>
      <c r="P71" s="428" t="str">
        <f>Februari!P71</f>
        <v/>
      </c>
      <c r="Q71" s="325" t="str">
        <f>IFERROR(VLOOKUP(P71, Tarieven!$A$2:$J$150, 10, FALSE), "0")</f>
        <v>0</v>
      </c>
      <c r="R71" s="444" t="str">
        <f>Februari!R71</f>
        <v/>
      </c>
      <c r="S71" s="428" t="str">
        <f>Februari!S71</f>
        <v/>
      </c>
      <c r="T71" s="325" t="str">
        <f>IFERROR(VLOOKUP(S71, Tarieven!$A$2:$J$150, 10, FALSE), "0")</f>
        <v>0</v>
      </c>
      <c r="U71" s="77" t="str">
        <f>Februari!U71</f>
        <v/>
      </c>
      <c r="V71" s="327" t="str">
        <f>Februari!V71</f>
        <v/>
      </c>
      <c r="W71" s="325" t="str">
        <f>IFERROR(VLOOKUP(V71, Tarieven!$A$2:$J$150, 10, FALSE), "0")</f>
        <v>0</v>
      </c>
      <c r="X71" s="138">
        <f>Februari!X71</f>
        <v>0</v>
      </c>
      <c r="Y71" s="398">
        <v>0.0</v>
      </c>
      <c r="Z71" s="329">
        <f t="shared" si="3"/>
        <v>0</v>
      </c>
      <c r="AA71" s="32">
        <f t="shared" si="4"/>
        <v>0</v>
      </c>
      <c r="AB71" s="32">
        <f t="shared" si="5"/>
        <v>0</v>
      </c>
      <c r="AC71" s="32">
        <f t="shared" si="6"/>
        <v>0</v>
      </c>
    </row>
    <row r="72" ht="22.5" customHeight="1">
      <c r="A72" s="331" t="str">
        <f>Rooster!A73</f>
        <v/>
      </c>
      <c r="B72" s="396" t="str">
        <f>Rooster!B73</f>
        <v/>
      </c>
      <c r="C72" s="15" t="str">
        <f>Rooster!C73</f>
        <v/>
      </c>
      <c r="D72" s="11" t="str">
        <f>Rooster!D73</f>
        <v/>
      </c>
      <c r="E72" s="77"/>
      <c r="F72" s="327" t="str">
        <f>Rooster!E73</f>
        <v/>
      </c>
      <c r="G72" s="319" t="str">
        <f>IFERROR(VLOOKUP(F72, Docenten!$A$2:$G$30, 7, FALSE), "0")</f>
        <v>0</v>
      </c>
      <c r="H72" s="320">
        <f t="shared" si="7"/>
        <v>0</v>
      </c>
      <c r="I72" s="327" t="str">
        <f>Rooster!H73</f>
        <v/>
      </c>
      <c r="J72" s="321" t="str">
        <f>IFERROR(VLOOKUP(I72, Locaties!$A$2:$G$15, 7, FALSE), "0")</f>
        <v>0</v>
      </c>
      <c r="K72" s="42">
        <f t="shared" si="2"/>
        <v>0</v>
      </c>
      <c r="L72" s="427" t="str">
        <f>Februari!L72</f>
        <v/>
      </c>
      <c r="M72" s="428" t="str">
        <f>Februari!M72</f>
        <v/>
      </c>
      <c r="N72" s="321" t="str">
        <f>IFERROR(VLOOKUP(M72, Tarieven!$A$1:$J$150, 10, FALSE), "0")</f>
        <v>0</v>
      </c>
      <c r="O72" s="427" t="str">
        <f>Februari!O72</f>
        <v/>
      </c>
      <c r="P72" s="428" t="str">
        <f>Februari!P72</f>
        <v/>
      </c>
      <c r="Q72" s="325" t="str">
        <f>IFERROR(VLOOKUP(P72, Tarieven!$A$2:$J$150, 10, FALSE), "0")</f>
        <v>0</v>
      </c>
      <c r="R72" s="444" t="str">
        <f>Februari!R72</f>
        <v/>
      </c>
      <c r="S72" s="428" t="str">
        <f>Februari!S72</f>
        <v/>
      </c>
      <c r="T72" s="325" t="str">
        <f>IFERROR(VLOOKUP(S72, Tarieven!$A$2:$J$150, 10, FALSE), "0")</f>
        <v>0</v>
      </c>
      <c r="U72" s="77" t="str">
        <f>Februari!U72</f>
        <v/>
      </c>
      <c r="V72" s="327" t="str">
        <f>Februari!V72</f>
        <v/>
      </c>
      <c r="W72" s="325" t="str">
        <f>IFERROR(VLOOKUP(V72, Tarieven!$A$2:$J$150, 10, FALSE), "0")</f>
        <v>0</v>
      </c>
      <c r="X72" s="138">
        <f>Februari!X72</f>
        <v>0</v>
      </c>
      <c r="Y72" s="398">
        <v>0.0</v>
      </c>
      <c r="Z72" s="329">
        <f t="shared" si="3"/>
        <v>0</v>
      </c>
      <c r="AA72" s="32">
        <f t="shared" si="4"/>
        <v>0</v>
      </c>
      <c r="AB72" s="32">
        <f t="shared" si="5"/>
        <v>0</v>
      </c>
      <c r="AC72" s="32">
        <f t="shared" si="6"/>
        <v>0</v>
      </c>
    </row>
    <row r="73" ht="22.5" customHeight="1">
      <c r="A73" s="331" t="str">
        <f>Rooster!A74</f>
        <v/>
      </c>
      <c r="B73" s="396" t="str">
        <f>Rooster!B74</f>
        <v/>
      </c>
      <c r="C73" s="15" t="str">
        <f>Rooster!C74</f>
        <v/>
      </c>
      <c r="D73" s="11" t="str">
        <f>Rooster!D74</f>
        <v/>
      </c>
      <c r="E73" s="77"/>
      <c r="F73" s="327" t="str">
        <f>Rooster!E74</f>
        <v/>
      </c>
      <c r="G73" s="319" t="str">
        <f>IFERROR(VLOOKUP(F73, Docenten!$A$2:$G$30, 7, FALSE), "0")</f>
        <v>0</v>
      </c>
      <c r="H73" s="320">
        <f t="shared" si="7"/>
        <v>0</v>
      </c>
      <c r="I73" s="327" t="str">
        <f>Rooster!H74</f>
        <v/>
      </c>
      <c r="J73" s="321" t="str">
        <f>IFERROR(VLOOKUP(I73, Locaties!$A$2:$G$15, 7, FALSE), "0")</f>
        <v>0</v>
      </c>
      <c r="K73" s="42">
        <f t="shared" si="2"/>
        <v>0</v>
      </c>
      <c r="L73" s="427" t="str">
        <f>Februari!L73</f>
        <v/>
      </c>
      <c r="M73" s="428" t="str">
        <f>Februari!M73</f>
        <v/>
      </c>
      <c r="N73" s="321" t="str">
        <f>IFERROR(VLOOKUP(M73, Tarieven!$A$1:$J$150, 10, FALSE), "0")</f>
        <v>0</v>
      </c>
      <c r="O73" s="427" t="str">
        <f>Februari!O73</f>
        <v/>
      </c>
      <c r="P73" s="428" t="str">
        <f>Februari!P73</f>
        <v/>
      </c>
      <c r="Q73" s="325" t="str">
        <f>IFERROR(VLOOKUP(P73, Tarieven!$A$2:$J$150, 10, FALSE), "0")</f>
        <v>0</v>
      </c>
      <c r="R73" s="444" t="str">
        <f>Februari!R73</f>
        <v/>
      </c>
      <c r="S73" s="428" t="str">
        <f>Februari!S73</f>
        <v/>
      </c>
      <c r="T73" s="325" t="str">
        <f>IFERROR(VLOOKUP(S73, Tarieven!$A$2:$J$150, 10, FALSE), "0")</f>
        <v>0</v>
      </c>
      <c r="U73" s="77" t="str">
        <f>Februari!U73</f>
        <v/>
      </c>
      <c r="V73" s="327" t="str">
        <f>Februari!V73</f>
        <v/>
      </c>
      <c r="W73" s="325" t="str">
        <f>IFERROR(VLOOKUP(V73, Tarieven!$A$2:$J$150, 10, FALSE), "0")</f>
        <v>0</v>
      </c>
      <c r="X73" s="138">
        <f>Februari!X73</f>
        <v>0</v>
      </c>
      <c r="Y73" s="398">
        <v>0.0</v>
      </c>
      <c r="Z73" s="329">
        <f t="shared" si="3"/>
        <v>0</v>
      </c>
      <c r="AA73" s="32">
        <f t="shared" si="4"/>
        <v>0</v>
      </c>
      <c r="AB73" s="32">
        <f t="shared" si="5"/>
        <v>0</v>
      </c>
      <c r="AC73" s="32">
        <f t="shared" si="6"/>
        <v>0</v>
      </c>
    </row>
    <row r="74" ht="22.5" customHeight="1">
      <c r="A74" s="331" t="str">
        <f>Rooster!A75</f>
        <v/>
      </c>
      <c r="B74" s="396" t="str">
        <f>Rooster!B75</f>
        <v/>
      </c>
      <c r="C74" s="15" t="str">
        <f>Rooster!C75</f>
        <v/>
      </c>
      <c r="D74" s="11" t="str">
        <f>Rooster!D75</f>
        <v/>
      </c>
      <c r="E74" s="77"/>
      <c r="F74" s="327" t="str">
        <f>Rooster!E75</f>
        <v/>
      </c>
      <c r="G74" s="319" t="str">
        <f>IFERROR(VLOOKUP(F74, Docenten!$A$2:$G$30, 7, FALSE), "0")</f>
        <v>0</v>
      </c>
      <c r="H74" s="320">
        <f t="shared" si="7"/>
        <v>0</v>
      </c>
      <c r="I74" s="327" t="str">
        <f>Rooster!H75</f>
        <v/>
      </c>
      <c r="J74" s="321" t="str">
        <f>IFERROR(VLOOKUP(I74, Locaties!$A$2:$G$15, 7, FALSE), "0")</f>
        <v>0</v>
      </c>
      <c r="K74" s="42">
        <f t="shared" si="2"/>
        <v>0</v>
      </c>
      <c r="L74" s="427" t="str">
        <f>Februari!L74</f>
        <v/>
      </c>
      <c r="M74" s="428" t="str">
        <f>Februari!M74</f>
        <v/>
      </c>
      <c r="N74" s="321" t="str">
        <f>IFERROR(VLOOKUP(M74, Tarieven!$A$1:$J$150, 10, FALSE), "0")</f>
        <v>0</v>
      </c>
      <c r="O74" s="427" t="str">
        <f>Februari!O74</f>
        <v/>
      </c>
      <c r="P74" s="428" t="str">
        <f>Februari!P74</f>
        <v/>
      </c>
      <c r="Q74" s="325" t="str">
        <f>IFERROR(VLOOKUP(P74, Tarieven!$A$2:$J$150, 10, FALSE), "0")</f>
        <v>0</v>
      </c>
      <c r="R74" s="444" t="str">
        <f>Februari!R74</f>
        <v/>
      </c>
      <c r="S74" s="428" t="str">
        <f>Februari!S74</f>
        <v/>
      </c>
      <c r="T74" s="325" t="str">
        <f>IFERROR(VLOOKUP(S74, Tarieven!$A$2:$J$150, 10, FALSE), "0")</f>
        <v>0</v>
      </c>
      <c r="U74" s="77" t="str">
        <f>Februari!U74</f>
        <v/>
      </c>
      <c r="V74" s="327" t="str">
        <f>Februari!V74</f>
        <v/>
      </c>
      <c r="W74" s="325" t="str">
        <f>IFERROR(VLOOKUP(V74, Tarieven!$A$2:$J$150, 10, FALSE), "0")</f>
        <v>0</v>
      </c>
      <c r="X74" s="138">
        <f>Februari!X74</f>
        <v>0</v>
      </c>
      <c r="Y74" s="398">
        <v>0.0</v>
      </c>
      <c r="Z74" s="329">
        <f t="shared" si="3"/>
        <v>0</v>
      </c>
      <c r="AA74" s="32">
        <f t="shared" si="4"/>
        <v>0</v>
      </c>
      <c r="AB74" s="32">
        <f t="shared" si="5"/>
        <v>0</v>
      </c>
      <c r="AC74" s="32">
        <f t="shared" si="6"/>
        <v>0</v>
      </c>
    </row>
    <row r="75" ht="22.5" customHeight="1">
      <c r="A75" s="331" t="str">
        <f>Rooster!A76</f>
        <v/>
      </c>
      <c r="B75" s="396" t="str">
        <f>Rooster!B76</f>
        <v/>
      </c>
      <c r="C75" s="15" t="str">
        <f>Rooster!C76</f>
        <v/>
      </c>
      <c r="D75" s="11" t="str">
        <f>Rooster!D76</f>
        <v/>
      </c>
      <c r="E75" s="77"/>
      <c r="F75" s="327" t="str">
        <f>Rooster!E76</f>
        <v/>
      </c>
      <c r="G75" s="319" t="str">
        <f>IFERROR(VLOOKUP(F75, Docenten!$A$2:$G$30, 7, FALSE), "0")</f>
        <v>0</v>
      </c>
      <c r="H75" s="320">
        <f t="shared" si="7"/>
        <v>0</v>
      </c>
      <c r="I75" s="327" t="str">
        <f>Rooster!H76</f>
        <v/>
      </c>
      <c r="J75" s="321" t="str">
        <f>IFERROR(VLOOKUP(I75, Locaties!$A$2:$G$15, 7, FALSE), "0")</f>
        <v>0</v>
      </c>
      <c r="K75" s="42">
        <f t="shared" si="2"/>
        <v>0</v>
      </c>
      <c r="L75" s="427" t="str">
        <f>Februari!L75</f>
        <v/>
      </c>
      <c r="M75" s="428" t="str">
        <f>Februari!M75</f>
        <v/>
      </c>
      <c r="N75" s="321" t="str">
        <f>IFERROR(VLOOKUP(M75, Tarieven!$A$1:$J$150, 10, FALSE), "0")</f>
        <v>0</v>
      </c>
      <c r="O75" s="427" t="str">
        <f>Februari!O75</f>
        <v/>
      </c>
      <c r="P75" s="428" t="str">
        <f>Februari!P75</f>
        <v/>
      </c>
      <c r="Q75" s="325" t="str">
        <f>IFERROR(VLOOKUP(P75, Tarieven!$A$2:$J$150, 10, FALSE), "0")</f>
        <v>0</v>
      </c>
      <c r="R75" s="444" t="str">
        <f>Februari!R75</f>
        <v/>
      </c>
      <c r="S75" s="428" t="str">
        <f>Februari!S75</f>
        <v/>
      </c>
      <c r="T75" s="325" t="str">
        <f>IFERROR(VLOOKUP(S75, Tarieven!$A$2:$J$150, 10, FALSE), "0")</f>
        <v>0</v>
      </c>
      <c r="U75" s="77" t="str">
        <f>Februari!U75</f>
        <v/>
      </c>
      <c r="V75" s="327" t="str">
        <f>Februari!V75</f>
        <v/>
      </c>
      <c r="W75" s="325" t="str">
        <f>IFERROR(VLOOKUP(V75, Tarieven!$A$2:$J$150, 10, FALSE), "0")</f>
        <v>0</v>
      </c>
      <c r="X75" s="138">
        <f>Februari!X75</f>
        <v>0</v>
      </c>
      <c r="Y75" s="398">
        <v>0.0</v>
      </c>
      <c r="Z75" s="329">
        <f t="shared" si="3"/>
        <v>0</v>
      </c>
      <c r="AA75" s="32">
        <f t="shared" si="4"/>
        <v>0</v>
      </c>
      <c r="AB75" s="32">
        <f t="shared" si="5"/>
        <v>0</v>
      </c>
      <c r="AC75" s="32">
        <f t="shared" si="6"/>
        <v>0</v>
      </c>
    </row>
    <row r="76" ht="22.5" customHeight="1">
      <c r="A76" s="331" t="str">
        <f>Rooster!A77</f>
        <v/>
      </c>
      <c r="B76" s="396" t="str">
        <f>Rooster!B77</f>
        <v/>
      </c>
      <c r="C76" s="15" t="str">
        <f>Rooster!C77</f>
        <v/>
      </c>
      <c r="D76" s="11" t="str">
        <f>Rooster!D77</f>
        <v/>
      </c>
      <c r="E76" s="77"/>
      <c r="F76" s="327" t="str">
        <f>Rooster!E77</f>
        <v/>
      </c>
      <c r="G76" s="319" t="str">
        <f>IFERROR(VLOOKUP(F76, Docenten!$A$2:$G$30, 7, FALSE), "0")</f>
        <v>0</v>
      </c>
      <c r="H76" s="320">
        <f t="shared" si="7"/>
        <v>0</v>
      </c>
      <c r="I76" s="327" t="str">
        <f>Rooster!H77</f>
        <v/>
      </c>
      <c r="J76" s="321" t="str">
        <f>IFERROR(VLOOKUP(I76, Locaties!$A$2:$G$15, 7, FALSE), "0")</f>
        <v>0</v>
      </c>
      <c r="K76" s="42">
        <f t="shared" si="2"/>
        <v>0</v>
      </c>
      <c r="L76" s="427" t="str">
        <f>Februari!L76</f>
        <v/>
      </c>
      <c r="M76" s="428" t="str">
        <f>Februari!M76</f>
        <v/>
      </c>
      <c r="N76" s="321" t="str">
        <f>IFERROR(VLOOKUP(M76, Tarieven!$A$1:$J$150, 10, FALSE), "0")</f>
        <v>0</v>
      </c>
      <c r="O76" s="427" t="str">
        <f>Februari!O76</f>
        <v/>
      </c>
      <c r="P76" s="428" t="str">
        <f>Februari!P76</f>
        <v/>
      </c>
      <c r="Q76" s="325" t="str">
        <f>IFERROR(VLOOKUP(P76, Tarieven!$A$2:$J$150, 10, FALSE), "0")</f>
        <v>0</v>
      </c>
      <c r="R76" s="444" t="str">
        <f>Februari!R76</f>
        <v/>
      </c>
      <c r="S76" s="428" t="str">
        <f>Februari!S76</f>
        <v/>
      </c>
      <c r="T76" s="325" t="str">
        <f>IFERROR(VLOOKUP(S76, Tarieven!$A$2:$J$150, 10, FALSE), "0")</f>
        <v>0</v>
      </c>
      <c r="U76" s="77" t="str">
        <f>Februari!U76</f>
        <v/>
      </c>
      <c r="V76" s="327" t="str">
        <f>Februari!V76</f>
        <v/>
      </c>
      <c r="W76" s="325" t="str">
        <f>IFERROR(VLOOKUP(V76, Tarieven!$A$2:$J$150, 10, FALSE), "0")</f>
        <v>0</v>
      </c>
      <c r="X76" s="138">
        <f>Februari!X76</f>
        <v>0</v>
      </c>
      <c r="Y76" s="398">
        <v>0.0</v>
      </c>
      <c r="Z76" s="329">
        <f t="shared" si="3"/>
        <v>0</v>
      </c>
      <c r="AA76" s="32">
        <f t="shared" si="4"/>
        <v>0</v>
      </c>
      <c r="AB76" s="32">
        <f t="shared" si="5"/>
        <v>0</v>
      </c>
      <c r="AC76" s="32">
        <f t="shared" si="6"/>
        <v>0</v>
      </c>
    </row>
    <row r="77" ht="22.5" customHeight="1">
      <c r="A77" s="331" t="str">
        <f>Rooster!A78</f>
        <v/>
      </c>
      <c r="B77" s="396" t="str">
        <f>Rooster!B78</f>
        <v/>
      </c>
      <c r="C77" s="15" t="str">
        <f>Rooster!C78</f>
        <v/>
      </c>
      <c r="D77" s="11" t="str">
        <f>Rooster!D78</f>
        <v/>
      </c>
      <c r="E77" s="77"/>
      <c r="F77" s="327" t="str">
        <f>Rooster!E78</f>
        <v/>
      </c>
      <c r="G77" s="319" t="str">
        <f>IFERROR(VLOOKUP(F77, Docenten!$A$2:$G$30, 7, FALSE), "0")</f>
        <v>0</v>
      </c>
      <c r="H77" s="320">
        <f t="shared" si="7"/>
        <v>0</v>
      </c>
      <c r="I77" s="327" t="str">
        <f>Rooster!H78</f>
        <v/>
      </c>
      <c r="J77" s="321" t="str">
        <f>IFERROR(VLOOKUP(I77, Locaties!$A$2:$G$15, 7, FALSE), "0")</f>
        <v>0</v>
      </c>
      <c r="K77" s="42">
        <f t="shared" si="2"/>
        <v>0</v>
      </c>
      <c r="L77" s="427" t="str">
        <f>Februari!L77</f>
        <v/>
      </c>
      <c r="M77" s="428" t="str">
        <f>Februari!M77</f>
        <v/>
      </c>
      <c r="N77" s="321" t="str">
        <f>IFERROR(VLOOKUP(M77, Tarieven!$A$1:$J$150, 10, FALSE), "0")</f>
        <v>0</v>
      </c>
      <c r="O77" s="427" t="str">
        <f>Februari!O77</f>
        <v/>
      </c>
      <c r="P77" s="428" t="str">
        <f>Februari!P77</f>
        <v/>
      </c>
      <c r="Q77" s="325" t="str">
        <f>IFERROR(VLOOKUP(P77, Tarieven!$A$2:$J$150, 10, FALSE), "0")</f>
        <v>0</v>
      </c>
      <c r="R77" s="444" t="str">
        <f>Februari!R77</f>
        <v/>
      </c>
      <c r="S77" s="428" t="str">
        <f>Februari!S77</f>
        <v/>
      </c>
      <c r="T77" s="325" t="str">
        <f>IFERROR(VLOOKUP(S77, Tarieven!$A$2:$J$150, 10, FALSE), "0")</f>
        <v>0</v>
      </c>
      <c r="U77" s="77" t="str">
        <f>Februari!U77</f>
        <v/>
      </c>
      <c r="V77" s="327" t="str">
        <f>Februari!V77</f>
        <v/>
      </c>
      <c r="W77" s="325" t="str">
        <f>IFERROR(VLOOKUP(V77, Tarieven!$A$2:$J$150, 10, FALSE), "0")</f>
        <v>0</v>
      </c>
      <c r="X77" s="138">
        <f>Februari!X77</f>
        <v>0</v>
      </c>
      <c r="Y77" s="398">
        <v>0.0</v>
      </c>
      <c r="Z77" s="329">
        <f t="shared" si="3"/>
        <v>0</v>
      </c>
      <c r="AA77" s="32">
        <f t="shared" si="4"/>
        <v>0</v>
      </c>
      <c r="AB77" s="32">
        <f t="shared" si="5"/>
        <v>0</v>
      </c>
      <c r="AC77" s="32">
        <f t="shared" si="6"/>
        <v>0</v>
      </c>
    </row>
    <row r="78" ht="22.5" customHeight="1">
      <c r="A78" s="331" t="str">
        <f>Rooster!A79</f>
        <v/>
      </c>
      <c r="B78" s="396" t="str">
        <f>Rooster!B79</f>
        <v/>
      </c>
      <c r="C78" s="15" t="str">
        <f>Rooster!C79</f>
        <v/>
      </c>
      <c r="D78" s="11" t="str">
        <f>Rooster!D79</f>
        <v/>
      </c>
      <c r="E78" s="77"/>
      <c r="F78" s="327" t="str">
        <f>Rooster!E79</f>
        <v/>
      </c>
      <c r="G78" s="319" t="str">
        <f>IFERROR(VLOOKUP(F78, Docenten!$A$2:$G$30, 7, FALSE), "0")</f>
        <v>0</v>
      </c>
      <c r="H78" s="320">
        <f t="shared" si="7"/>
        <v>0</v>
      </c>
      <c r="I78" s="327" t="str">
        <f>Rooster!H79</f>
        <v/>
      </c>
      <c r="J78" s="321" t="str">
        <f>IFERROR(VLOOKUP(I78, Locaties!$A$2:$G$15, 7, FALSE), "0")</f>
        <v>0</v>
      </c>
      <c r="K78" s="42">
        <f t="shared" si="2"/>
        <v>0</v>
      </c>
      <c r="L78" s="427" t="str">
        <f>Februari!L78</f>
        <v/>
      </c>
      <c r="M78" s="428" t="str">
        <f>Februari!M78</f>
        <v/>
      </c>
      <c r="N78" s="321" t="str">
        <f>IFERROR(VLOOKUP(M78, Tarieven!$A$1:$J$150, 10, FALSE), "0")</f>
        <v>0</v>
      </c>
      <c r="O78" s="427" t="str">
        <f>Februari!O78</f>
        <v/>
      </c>
      <c r="P78" s="428" t="str">
        <f>Februari!P78</f>
        <v/>
      </c>
      <c r="Q78" s="325" t="str">
        <f>IFERROR(VLOOKUP(P78, Tarieven!$A$2:$J$150, 10, FALSE), "0")</f>
        <v>0</v>
      </c>
      <c r="R78" s="444" t="str">
        <f>Februari!R78</f>
        <v/>
      </c>
      <c r="S78" s="428" t="str">
        <f>Februari!S78</f>
        <v/>
      </c>
      <c r="T78" s="325" t="str">
        <f>IFERROR(VLOOKUP(S78, Tarieven!$A$2:$J$150, 10, FALSE), "0")</f>
        <v>0</v>
      </c>
      <c r="U78" s="77" t="str">
        <f>Februari!U78</f>
        <v/>
      </c>
      <c r="V78" s="327" t="str">
        <f>Februari!V78</f>
        <v/>
      </c>
      <c r="W78" s="325" t="str">
        <f>IFERROR(VLOOKUP(V78, Tarieven!$A$2:$J$150, 10, FALSE), "0")</f>
        <v>0</v>
      </c>
      <c r="X78" s="138">
        <f>Februari!X78</f>
        <v>0</v>
      </c>
      <c r="Y78" s="398">
        <v>0.0</v>
      </c>
      <c r="Z78" s="329">
        <f t="shared" si="3"/>
        <v>0</v>
      </c>
      <c r="AA78" s="32">
        <f t="shared" si="4"/>
        <v>0</v>
      </c>
      <c r="AB78" s="32">
        <f t="shared" si="5"/>
        <v>0</v>
      </c>
      <c r="AC78" s="32">
        <f t="shared" si="6"/>
        <v>0</v>
      </c>
    </row>
    <row r="79" ht="22.5" customHeight="1">
      <c r="A79" s="331" t="str">
        <f>Rooster!A80</f>
        <v/>
      </c>
      <c r="B79" s="396" t="str">
        <f>Rooster!B80</f>
        <v/>
      </c>
      <c r="C79" s="15" t="str">
        <f>Rooster!C80</f>
        <v/>
      </c>
      <c r="D79" s="11" t="str">
        <f>Rooster!D80</f>
        <v/>
      </c>
      <c r="E79" s="77"/>
      <c r="F79" s="327" t="str">
        <f>Rooster!E80</f>
        <v/>
      </c>
      <c r="G79" s="319" t="str">
        <f>IFERROR(VLOOKUP(F79, Docenten!$A$2:$G$30, 7, FALSE), "0")</f>
        <v>0</v>
      </c>
      <c r="H79" s="320">
        <f t="shared" si="7"/>
        <v>0</v>
      </c>
      <c r="I79" s="327" t="str">
        <f>Rooster!H80</f>
        <v/>
      </c>
      <c r="J79" s="321" t="str">
        <f>IFERROR(VLOOKUP(I79, Locaties!$A$2:$G$15, 7, FALSE), "0")</f>
        <v>0</v>
      </c>
      <c r="K79" s="42">
        <f t="shared" si="2"/>
        <v>0</v>
      </c>
      <c r="L79" s="427" t="str">
        <f>Februari!L79</f>
        <v/>
      </c>
      <c r="M79" s="428" t="str">
        <f>Februari!M79</f>
        <v/>
      </c>
      <c r="N79" s="321" t="str">
        <f>IFERROR(VLOOKUP(M79, Tarieven!$A$1:$J$150, 10, FALSE), "0")</f>
        <v>0</v>
      </c>
      <c r="O79" s="427" t="str">
        <f>Februari!O79</f>
        <v/>
      </c>
      <c r="P79" s="428" t="str">
        <f>Februari!P79</f>
        <v/>
      </c>
      <c r="Q79" s="325" t="str">
        <f>IFERROR(VLOOKUP(P79, Tarieven!$A$2:$J$150, 10, FALSE), "0")</f>
        <v>0</v>
      </c>
      <c r="R79" s="444" t="str">
        <f>Februari!R79</f>
        <v/>
      </c>
      <c r="S79" s="428" t="str">
        <f>Februari!S79</f>
        <v/>
      </c>
      <c r="T79" s="325" t="str">
        <f>IFERROR(VLOOKUP(S79, Tarieven!$A$2:$J$150, 10, FALSE), "0")</f>
        <v>0</v>
      </c>
      <c r="U79" s="77" t="str">
        <f>Februari!U79</f>
        <v/>
      </c>
      <c r="V79" s="327" t="str">
        <f>Februari!V79</f>
        <v/>
      </c>
      <c r="W79" s="325" t="str">
        <f>IFERROR(VLOOKUP(V79, Tarieven!$A$2:$J$150, 10, FALSE), "0")</f>
        <v>0</v>
      </c>
      <c r="X79" s="138">
        <f>Februari!X79</f>
        <v>0</v>
      </c>
      <c r="Y79" s="398">
        <v>0.0</v>
      </c>
      <c r="Z79" s="329">
        <f t="shared" si="3"/>
        <v>0</v>
      </c>
      <c r="AA79" s="32">
        <f t="shared" si="4"/>
        <v>0</v>
      </c>
      <c r="AB79" s="32">
        <f t="shared" si="5"/>
        <v>0</v>
      </c>
      <c r="AC79" s="32">
        <f t="shared" si="6"/>
        <v>0</v>
      </c>
    </row>
    <row r="80" ht="22.5" customHeight="1">
      <c r="A80" s="331" t="str">
        <f>Rooster!A81</f>
        <v/>
      </c>
      <c r="B80" s="396" t="str">
        <f>Rooster!B81</f>
        <v/>
      </c>
      <c r="C80" s="15" t="str">
        <f>Rooster!C81</f>
        <v/>
      </c>
      <c r="D80" s="11" t="str">
        <f>Rooster!D81</f>
        <v/>
      </c>
      <c r="E80" s="77"/>
      <c r="F80" s="327" t="str">
        <f>Rooster!E81</f>
        <v/>
      </c>
      <c r="G80" s="319" t="str">
        <f>IFERROR(VLOOKUP(F80, Docenten!$A$2:$G$30, 7, FALSE), "0")</f>
        <v>0</v>
      </c>
      <c r="H80" s="320">
        <f t="shared" si="7"/>
        <v>0</v>
      </c>
      <c r="I80" s="327" t="str">
        <f>Rooster!H81</f>
        <v/>
      </c>
      <c r="J80" s="321" t="str">
        <f>IFERROR(VLOOKUP(I80, Locaties!$A$2:$G$15, 7, FALSE), "0")</f>
        <v>0</v>
      </c>
      <c r="K80" s="42">
        <f t="shared" si="2"/>
        <v>0</v>
      </c>
      <c r="L80" s="427" t="str">
        <f>Februari!L80</f>
        <v/>
      </c>
      <c r="M80" s="428" t="str">
        <f>Februari!M80</f>
        <v/>
      </c>
      <c r="N80" s="321" t="str">
        <f>IFERROR(VLOOKUP(M80, Tarieven!$A$1:$J$150, 10, FALSE), "0")</f>
        <v>0</v>
      </c>
      <c r="O80" s="427" t="str">
        <f>Februari!O80</f>
        <v/>
      </c>
      <c r="P80" s="428" t="str">
        <f>Februari!P80</f>
        <v/>
      </c>
      <c r="Q80" s="325" t="str">
        <f>IFERROR(VLOOKUP(P80, Tarieven!$A$2:$J$150, 10, FALSE), "0")</f>
        <v>0</v>
      </c>
      <c r="R80" s="444" t="str">
        <f>Februari!R80</f>
        <v/>
      </c>
      <c r="S80" s="428" t="str">
        <f>Februari!S80</f>
        <v/>
      </c>
      <c r="T80" s="325" t="str">
        <f>IFERROR(VLOOKUP(S80, Tarieven!$A$2:$J$150, 10, FALSE), "0")</f>
        <v>0</v>
      </c>
      <c r="U80" s="77" t="str">
        <f>Februari!U80</f>
        <v/>
      </c>
      <c r="V80" s="327" t="str">
        <f>Februari!V80</f>
        <v/>
      </c>
      <c r="W80" s="325" t="str">
        <f>IFERROR(VLOOKUP(V80, Tarieven!$A$2:$J$150, 10, FALSE), "0")</f>
        <v>0</v>
      </c>
      <c r="X80" s="138">
        <f>Februari!X80</f>
        <v>0</v>
      </c>
      <c r="Y80" s="398">
        <v>0.0</v>
      </c>
      <c r="Z80" s="329">
        <f t="shared" si="3"/>
        <v>0</v>
      </c>
      <c r="AA80" s="32">
        <f t="shared" si="4"/>
        <v>0</v>
      </c>
      <c r="AB80" s="32">
        <f t="shared" si="5"/>
        <v>0</v>
      </c>
      <c r="AC80" s="32">
        <f t="shared" si="6"/>
        <v>0</v>
      </c>
    </row>
    <row r="81" ht="22.5" customHeight="1">
      <c r="A81" s="331" t="str">
        <f>Rooster!A82</f>
        <v/>
      </c>
      <c r="B81" s="396" t="str">
        <f>Rooster!B82</f>
        <v/>
      </c>
      <c r="C81" s="15" t="str">
        <f>Rooster!C82</f>
        <v/>
      </c>
      <c r="D81" s="11" t="str">
        <f>Rooster!D82</f>
        <v/>
      </c>
      <c r="E81" s="77"/>
      <c r="F81" s="327" t="str">
        <f>Rooster!E82</f>
        <v/>
      </c>
      <c r="G81" s="319" t="str">
        <f>IFERROR(VLOOKUP(F81, Docenten!$A$2:$G$30, 7, FALSE), "0")</f>
        <v>0</v>
      </c>
      <c r="H81" s="320">
        <f t="shared" si="7"/>
        <v>0</v>
      </c>
      <c r="I81" s="327" t="str">
        <f>Rooster!H82</f>
        <v/>
      </c>
      <c r="J81" s="321" t="str">
        <f>IFERROR(VLOOKUP(I81, Locaties!$A$2:$G$15, 7, FALSE), "0")</f>
        <v>0</v>
      </c>
      <c r="K81" s="42">
        <f t="shared" si="2"/>
        <v>0</v>
      </c>
      <c r="L81" s="427" t="str">
        <f>Februari!L81</f>
        <v/>
      </c>
      <c r="M81" s="428" t="str">
        <f>Februari!M81</f>
        <v/>
      </c>
      <c r="N81" s="321" t="str">
        <f>IFERROR(VLOOKUP(M81, Tarieven!$A$1:$J$150, 10, FALSE), "0")</f>
        <v>0</v>
      </c>
      <c r="O81" s="427" t="str">
        <f>Februari!O81</f>
        <v/>
      </c>
      <c r="P81" s="428" t="str">
        <f>Februari!P81</f>
        <v/>
      </c>
      <c r="Q81" s="325" t="str">
        <f>IFERROR(VLOOKUP(P81, Tarieven!$A$2:$J$150, 10, FALSE), "0")</f>
        <v>0</v>
      </c>
      <c r="R81" s="444" t="str">
        <f>Februari!R81</f>
        <v/>
      </c>
      <c r="S81" s="428" t="str">
        <f>Februari!S81</f>
        <v/>
      </c>
      <c r="T81" s="325" t="str">
        <f>IFERROR(VLOOKUP(S81, Tarieven!$A$2:$J$150, 10, FALSE), "0")</f>
        <v>0</v>
      </c>
      <c r="U81" s="77" t="str">
        <f>Februari!U81</f>
        <v/>
      </c>
      <c r="V81" s="327" t="str">
        <f>Februari!V81</f>
        <v/>
      </c>
      <c r="W81" s="325" t="str">
        <f>IFERROR(VLOOKUP(V81, Tarieven!$A$2:$J$150, 10, FALSE), "0")</f>
        <v>0</v>
      </c>
      <c r="X81" s="138">
        <f>Februari!X81</f>
        <v>0</v>
      </c>
      <c r="Y81" s="398">
        <v>0.0</v>
      </c>
      <c r="Z81" s="329">
        <f t="shared" si="3"/>
        <v>0</v>
      </c>
      <c r="AA81" s="32">
        <f t="shared" si="4"/>
        <v>0</v>
      </c>
      <c r="AB81" s="32">
        <f t="shared" si="5"/>
        <v>0</v>
      </c>
      <c r="AC81" s="32">
        <f t="shared" si="6"/>
        <v>0</v>
      </c>
    </row>
    <row r="82" ht="22.5" customHeight="1">
      <c r="A82" s="331" t="str">
        <f>Rooster!A83</f>
        <v/>
      </c>
      <c r="B82" s="396" t="str">
        <f>Rooster!B83</f>
        <v/>
      </c>
      <c r="C82" s="15" t="str">
        <f>Rooster!C83</f>
        <v/>
      </c>
      <c r="D82" s="11" t="str">
        <f>Rooster!D83</f>
        <v/>
      </c>
      <c r="E82" s="77"/>
      <c r="F82" s="327" t="str">
        <f>Rooster!E83</f>
        <v/>
      </c>
      <c r="G82" s="319" t="str">
        <f>IFERROR(VLOOKUP(F82, Docenten!$A$2:$G$30, 7, FALSE), "0")</f>
        <v>0</v>
      </c>
      <c r="H82" s="320">
        <f t="shared" si="7"/>
        <v>0</v>
      </c>
      <c r="I82" s="327" t="str">
        <f>Rooster!H83</f>
        <v/>
      </c>
      <c r="J82" s="321" t="str">
        <f>IFERROR(VLOOKUP(I82, Locaties!$A$2:$G$15, 7, FALSE), "0")</f>
        <v>0</v>
      </c>
      <c r="K82" s="42">
        <f t="shared" si="2"/>
        <v>0</v>
      </c>
      <c r="L82" s="427" t="str">
        <f>Februari!L82</f>
        <v/>
      </c>
      <c r="M82" s="428" t="str">
        <f>Februari!M82</f>
        <v/>
      </c>
      <c r="N82" s="321" t="str">
        <f>IFERROR(VLOOKUP(M82, Tarieven!$A$1:$J$150, 10, FALSE), "0")</f>
        <v>0</v>
      </c>
      <c r="O82" s="427" t="str">
        <f>Februari!O82</f>
        <v/>
      </c>
      <c r="P82" s="428" t="str">
        <f>Februari!P82</f>
        <v/>
      </c>
      <c r="Q82" s="325" t="str">
        <f>IFERROR(VLOOKUP(P82, Tarieven!$A$2:$J$150, 10, FALSE), "0")</f>
        <v>0</v>
      </c>
      <c r="R82" s="444" t="str">
        <f>Februari!R82</f>
        <v/>
      </c>
      <c r="S82" s="428" t="str">
        <f>Februari!S82</f>
        <v/>
      </c>
      <c r="T82" s="325" t="str">
        <f>IFERROR(VLOOKUP(S82, Tarieven!$A$2:$J$150, 10, FALSE), "0")</f>
        <v>0</v>
      </c>
      <c r="U82" s="77" t="str">
        <f>Februari!U82</f>
        <v/>
      </c>
      <c r="V82" s="327" t="str">
        <f>Februari!V82</f>
        <v/>
      </c>
      <c r="W82" s="325" t="str">
        <f>IFERROR(VLOOKUP(V82, Tarieven!$A$2:$J$150, 10, FALSE), "0")</f>
        <v>0</v>
      </c>
      <c r="X82" s="138">
        <f>Februari!X82</f>
        <v>0</v>
      </c>
      <c r="Y82" s="398">
        <v>0.0</v>
      </c>
      <c r="Z82" s="329">
        <f t="shared" si="3"/>
        <v>0</v>
      </c>
      <c r="AA82" s="32">
        <f t="shared" si="4"/>
        <v>0</v>
      </c>
      <c r="AB82" s="32">
        <f t="shared" si="5"/>
        <v>0</v>
      </c>
      <c r="AC82" s="32">
        <f t="shared" si="6"/>
        <v>0</v>
      </c>
    </row>
    <row r="83" ht="22.5" customHeight="1">
      <c r="A83" s="331" t="str">
        <f>Rooster!A84</f>
        <v/>
      </c>
      <c r="B83" s="396" t="str">
        <f>Rooster!B84</f>
        <v/>
      </c>
      <c r="C83" s="15" t="str">
        <f>Rooster!C84</f>
        <v/>
      </c>
      <c r="D83" s="11" t="str">
        <f>Rooster!D84</f>
        <v/>
      </c>
      <c r="E83" s="77"/>
      <c r="F83" s="327" t="str">
        <f>Rooster!E84</f>
        <v/>
      </c>
      <c r="G83" s="319" t="str">
        <f>IFERROR(VLOOKUP(F83, Docenten!$A$2:$G$30, 7, FALSE), "0")</f>
        <v>0</v>
      </c>
      <c r="H83" s="320">
        <f t="shared" si="7"/>
        <v>0</v>
      </c>
      <c r="I83" s="327" t="str">
        <f>Rooster!H84</f>
        <v/>
      </c>
      <c r="J83" s="321" t="str">
        <f>IFERROR(VLOOKUP(I83, Locaties!$A$2:$G$15, 7, FALSE), "0")</f>
        <v>0</v>
      </c>
      <c r="K83" s="42">
        <f t="shared" si="2"/>
        <v>0</v>
      </c>
      <c r="L83" s="427" t="str">
        <f>Februari!L83</f>
        <v/>
      </c>
      <c r="M83" s="428" t="str">
        <f>Februari!M83</f>
        <v/>
      </c>
      <c r="N83" s="321" t="str">
        <f>IFERROR(VLOOKUP(M83, Tarieven!$A$1:$J$150, 10, FALSE), "0")</f>
        <v>0</v>
      </c>
      <c r="O83" s="427" t="str">
        <f>Februari!O83</f>
        <v/>
      </c>
      <c r="P83" s="428" t="str">
        <f>Februari!P83</f>
        <v/>
      </c>
      <c r="Q83" s="325" t="str">
        <f>IFERROR(VLOOKUP(P83, Tarieven!$A$2:$J$150, 10, FALSE), "0")</f>
        <v>0</v>
      </c>
      <c r="R83" s="444" t="str">
        <f>Februari!R83</f>
        <v/>
      </c>
      <c r="S83" s="428" t="str">
        <f>Februari!S83</f>
        <v/>
      </c>
      <c r="T83" s="325" t="str">
        <f>IFERROR(VLOOKUP(S83, Tarieven!$A$2:$J$150, 10, FALSE), "0")</f>
        <v>0</v>
      </c>
      <c r="U83" s="77" t="str">
        <f>Februari!U83</f>
        <v/>
      </c>
      <c r="V83" s="327" t="str">
        <f>Februari!V83</f>
        <v/>
      </c>
      <c r="W83" s="325" t="str">
        <f>IFERROR(VLOOKUP(V83, Tarieven!$A$2:$J$150, 10, FALSE), "0")</f>
        <v>0</v>
      </c>
      <c r="X83" s="138">
        <f>Februari!X83</f>
        <v>0</v>
      </c>
      <c r="Y83" s="398">
        <v>0.0</v>
      </c>
      <c r="Z83" s="329">
        <f t="shared" si="3"/>
        <v>0</v>
      </c>
      <c r="AA83" s="32">
        <f t="shared" si="4"/>
        <v>0</v>
      </c>
      <c r="AB83" s="32">
        <f t="shared" si="5"/>
        <v>0</v>
      </c>
      <c r="AC83" s="32">
        <f t="shared" si="6"/>
        <v>0</v>
      </c>
    </row>
    <row r="84" ht="22.5" customHeight="1">
      <c r="A84" s="331" t="str">
        <f>Rooster!A85</f>
        <v/>
      </c>
      <c r="B84" s="396" t="str">
        <f>Rooster!B85</f>
        <v/>
      </c>
      <c r="C84" s="15" t="str">
        <f>Rooster!C85</f>
        <v/>
      </c>
      <c r="D84" s="11" t="str">
        <f>Rooster!D85</f>
        <v/>
      </c>
      <c r="E84" s="77"/>
      <c r="F84" s="327" t="str">
        <f>Rooster!E85</f>
        <v/>
      </c>
      <c r="G84" s="319" t="str">
        <f>IFERROR(VLOOKUP(F84, Docenten!$A$2:$G$30, 7, FALSE), "0")</f>
        <v>0</v>
      </c>
      <c r="H84" s="320">
        <f t="shared" si="7"/>
        <v>0</v>
      </c>
      <c r="I84" s="327" t="str">
        <f>Rooster!H85</f>
        <v/>
      </c>
      <c r="J84" s="321" t="str">
        <f>IFERROR(VLOOKUP(I84, Locaties!$A$2:$G$15, 7, FALSE), "0")</f>
        <v>0</v>
      </c>
      <c r="K84" s="42">
        <f t="shared" si="2"/>
        <v>0</v>
      </c>
      <c r="L84" s="427" t="str">
        <f>Februari!L84</f>
        <v/>
      </c>
      <c r="M84" s="428" t="str">
        <f>Februari!M84</f>
        <v/>
      </c>
      <c r="N84" s="321" t="str">
        <f>IFERROR(VLOOKUP(M84, Tarieven!$A$1:$J$150, 10, FALSE), "0")</f>
        <v>0</v>
      </c>
      <c r="O84" s="427" t="str">
        <f>Februari!O84</f>
        <v/>
      </c>
      <c r="P84" s="428" t="str">
        <f>Februari!P84</f>
        <v/>
      </c>
      <c r="Q84" s="325" t="str">
        <f>IFERROR(VLOOKUP(P84, Tarieven!$A$2:$J$150, 10, FALSE), "0")</f>
        <v>0</v>
      </c>
      <c r="R84" s="444" t="str">
        <f>Februari!R84</f>
        <v/>
      </c>
      <c r="S84" s="428" t="str">
        <f>Februari!S84</f>
        <v/>
      </c>
      <c r="T84" s="325" t="str">
        <f>IFERROR(VLOOKUP(S84, Tarieven!$A$2:$J$150, 10, FALSE), "0")</f>
        <v>0</v>
      </c>
      <c r="U84" s="77" t="str">
        <f>Februari!U84</f>
        <v/>
      </c>
      <c r="V84" s="327" t="str">
        <f>Februari!V84</f>
        <v/>
      </c>
      <c r="W84" s="325" t="str">
        <f>IFERROR(VLOOKUP(V84, Tarieven!$A$2:$J$150, 10, FALSE), "0")</f>
        <v>0</v>
      </c>
      <c r="X84" s="138">
        <f>Februari!X84</f>
        <v>0</v>
      </c>
      <c r="Y84" s="398">
        <v>0.0</v>
      </c>
      <c r="Z84" s="329">
        <f t="shared" si="3"/>
        <v>0</v>
      </c>
      <c r="AA84" s="32">
        <f t="shared" si="4"/>
        <v>0</v>
      </c>
      <c r="AB84" s="32">
        <f t="shared" si="5"/>
        <v>0</v>
      </c>
      <c r="AC84" s="32">
        <f t="shared" si="6"/>
        <v>0</v>
      </c>
    </row>
    <row r="85" ht="22.5" customHeight="1">
      <c r="A85" s="331" t="str">
        <f>Rooster!A86</f>
        <v/>
      </c>
      <c r="B85" s="396" t="str">
        <f>Rooster!B86</f>
        <v/>
      </c>
      <c r="C85" s="15" t="str">
        <f>Rooster!C86</f>
        <v/>
      </c>
      <c r="D85" s="11" t="str">
        <f>Rooster!D86</f>
        <v/>
      </c>
      <c r="E85" s="77"/>
      <c r="F85" s="327" t="str">
        <f>Rooster!E86</f>
        <v/>
      </c>
      <c r="G85" s="319" t="str">
        <f>IFERROR(VLOOKUP(F85, Docenten!$A$2:$G$30, 7, FALSE), "0")</f>
        <v>0</v>
      </c>
      <c r="H85" s="320">
        <f t="shared" si="7"/>
        <v>0</v>
      </c>
      <c r="I85" s="327" t="str">
        <f>Rooster!H86</f>
        <v/>
      </c>
      <c r="J85" s="321" t="str">
        <f>IFERROR(VLOOKUP(I85, Locaties!$A$2:$G$15, 7, FALSE), "0")</f>
        <v>0</v>
      </c>
      <c r="K85" s="42">
        <f t="shared" si="2"/>
        <v>0</v>
      </c>
      <c r="L85" s="427" t="str">
        <f>Februari!L85</f>
        <v/>
      </c>
      <c r="M85" s="428" t="str">
        <f>Februari!M85</f>
        <v/>
      </c>
      <c r="N85" s="321" t="str">
        <f>IFERROR(VLOOKUP(M85, Tarieven!$A$1:$J$150, 10, FALSE), "0")</f>
        <v>0</v>
      </c>
      <c r="O85" s="427" t="str">
        <f>Februari!O85</f>
        <v/>
      </c>
      <c r="P85" s="428" t="str">
        <f>Februari!P85</f>
        <v/>
      </c>
      <c r="Q85" s="325" t="str">
        <f>IFERROR(VLOOKUP(P85, Tarieven!$A$2:$J$150, 10, FALSE), "0")</f>
        <v>0</v>
      </c>
      <c r="R85" s="444" t="str">
        <f>Februari!R85</f>
        <v/>
      </c>
      <c r="S85" s="428" t="str">
        <f>Februari!S85</f>
        <v/>
      </c>
      <c r="T85" s="325" t="str">
        <f>IFERROR(VLOOKUP(S85, Tarieven!$A$2:$J$150, 10, FALSE), "0")</f>
        <v>0</v>
      </c>
      <c r="U85" s="77" t="str">
        <f>Februari!U85</f>
        <v/>
      </c>
      <c r="V85" s="327" t="str">
        <f>Februari!V85</f>
        <v/>
      </c>
      <c r="W85" s="325" t="str">
        <f>IFERROR(VLOOKUP(V85, Tarieven!$A$2:$J$150, 10, FALSE), "0")</f>
        <v>0</v>
      </c>
      <c r="X85" s="138">
        <f>Februari!X85</f>
        <v>0</v>
      </c>
      <c r="Y85" s="398">
        <v>0.0</v>
      </c>
      <c r="Z85" s="329">
        <f t="shared" si="3"/>
        <v>0</v>
      </c>
      <c r="AA85" s="32">
        <f t="shared" si="4"/>
        <v>0</v>
      </c>
      <c r="AB85" s="32">
        <f t="shared" si="5"/>
        <v>0</v>
      </c>
      <c r="AC85" s="32">
        <f t="shared" si="6"/>
        <v>0</v>
      </c>
    </row>
    <row r="86" ht="22.5" customHeight="1">
      <c r="A86" s="331" t="str">
        <f>Rooster!A87</f>
        <v/>
      </c>
      <c r="B86" s="396" t="str">
        <f>Rooster!B87</f>
        <v/>
      </c>
      <c r="C86" s="15" t="str">
        <f>Rooster!C87</f>
        <v/>
      </c>
      <c r="D86" s="11" t="str">
        <f>Rooster!D87</f>
        <v/>
      </c>
      <c r="E86" s="77"/>
      <c r="F86" s="327" t="str">
        <f>Rooster!E87</f>
        <v/>
      </c>
      <c r="G86" s="319" t="str">
        <f>IFERROR(VLOOKUP(F86, Docenten!$A$2:$G$30, 7, FALSE), "0")</f>
        <v>0</v>
      </c>
      <c r="H86" s="320">
        <f t="shared" si="7"/>
        <v>0</v>
      </c>
      <c r="I86" s="327" t="str">
        <f>Rooster!H87</f>
        <v/>
      </c>
      <c r="J86" s="321" t="str">
        <f>IFERROR(VLOOKUP(I86, Locaties!$A$2:$G$15, 7, FALSE), "0")</f>
        <v>0</v>
      </c>
      <c r="K86" s="42">
        <f t="shared" si="2"/>
        <v>0</v>
      </c>
      <c r="L86" s="427" t="str">
        <f>Februari!L86</f>
        <v/>
      </c>
      <c r="M86" s="428" t="str">
        <f>Februari!M86</f>
        <v/>
      </c>
      <c r="N86" s="321" t="str">
        <f>IFERROR(VLOOKUP(M86, Tarieven!$A$1:$J$150, 10, FALSE), "0")</f>
        <v>0</v>
      </c>
      <c r="O86" s="427" t="str">
        <f>Februari!O86</f>
        <v/>
      </c>
      <c r="P86" s="428" t="str">
        <f>Februari!P86</f>
        <v/>
      </c>
      <c r="Q86" s="325" t="str">
        <f>IFERROR(VLOOKUP(P86, Tarieven!$A$2:$J$150, 10, FALSE), "0")</f>
        <v>0</v>
      </c>
      <c r="R86" s="444" t="str">
        <f>Februari!R86</f>
        <v/>
      </c>
      <c r="S86" s="428" t="str">
        <f>Februari!S86</f>
        <v/>
      </c>
      <c r="T86" s="325" t="str">
        <f>IFERROR(VLOOKUP(S86, Tarieven!$A$2:$J$150, 10, FALSE), "0")</f>
        <v>0</v>
      </c>
      <c r="U86" s="77" t="str">
        <f>Februari!U86</f>
        <v/>
      </c>
      <c r="V86" s="327" t="str">
        <f>Februari!V86</f>
        <v/>
      </c>
      <c r="W86" s="325" t="str">
        <f>IFERROR(VLOOKUP(V86, Tarieven!$A$2:$J$150, 10, FALSE), "0")</f>
        <v>0</v>
      </c>
      <c r="X86" s="138">
        <f>Februari!X86</f>
        <v>0</v>
      </c>
      <c r="Y86" s="398">
        <v>0.0</v>
      </c>
      <c r="Z86" s="329">
        <f t="shared" si="3"/>
        <v>0</v>
      </c>
      <c r="AA86" s="32">
        <f t="shared" si="4"/>
        <v>0</v>
      </c>
      <c r="AB86" s="32">
        <f t="shared" si="5"/>
        <v>0</v>
      </c>
      <c r="AC86" s="32">
        <f t="shared" si="6"/>
        <v>0</v>
      </c>
    </row>
    <row r="87" ht="22.5" customHeight="1">
      <c r="A87" s="331" t="str">
        <f>Rooster!A88</f>
        <v/>
      </c>
      <c r="B87" s="396" t="str">
        <f>Rooster!B88</f>
        <v/>
      </c>
      <c r="C87" s="15" t="str">
        <f>Rooster!C88</f>
        <v/>
      </c>
      <c r="D87" s="11" t="str">
        <f>Rooster!D88</f>
        <v/>
      </c>
      <c r="E87" s="77"/>
      <c r="F87" s="327" t="str">
        <f>Rooster!E88</f>
        <v/>
      </c>
      <c r="G87" s="319" t="str">
        <f>IFERROR(VLOOKUP(F87, Docenten!$A$2:$G$30, 7, FALSE), "0")</f>
        <v>0</v>
      </c>
      <c r="H87" s="320">
        <f t="shared" si="7"/>
        <v>0</v>
      </c>
      <c r="I87" s="327" t="str">
        <f>Rooster!H88</f>
        <v/>
      </c>
      <c r="J87" s="321" t="str">
        <f>IFERROR(VLOOKUP(I87, Locaties!$A$2:$G$15, 7, FALSE), "0")</f>
        <v>0</v>
      </c>
      <c r="K87" s="42">
        <f t="shared" si="2"/>
        <v>0</v>
      </c>
      <c r="L87" s="427" t="str">
        <f>Februari!L87</f>
        <v/>
      </c>
      <c r="M87" s="428" t="str">
        <f>Februari!M87</f>
        <v/>
      </c>
      <c r="N87" s="321" t="str">
        <f>IFERROR(VLOOKUP(M87, Tarieven!$A$1:$J$150, 10, FALSE), "0")</f>
        <v>0</v>
      </c>
      <c r="O87" s="427" t="str">
        <f>Februari!O87</f>
        <v/>
      </c>
      <c r="P87" s="428" t="str">
        <f>Februari!P87</f>
        <v/>
      </c>
      <c r="Q87" s="325" t="str">
        <f>IFERROR(VLOOKUP(P87, Tarieven!$A$2:$J$150, 10, FALSE), "0")</f>
        <v>0</v>
      </c>
      <c r="R87" s="444" t="str">
        <f>Februari!R87</f>
        <v/>
      </c>
      <c r="S87" s="428" t="str">
        <f>Februari!S87</f>
        <v/>
      </c>
      <c r="T87" s="325" t="str">
        <f>IFERROR(VLOOKUP(S87, Tarieven!$A$2:$J$150, 10, FALSE), "0")</f>
        <v>0</v>
      </c>
      <c r="U87" s="77" t="str">
        <f>Februari!U87</f>
        <v/>
      </c>
      <c r="V87" s="327" t="str">
        <f>Februari!V87</f>
        <v/>
      </c>
      <c r="W87" s="325" t="str">
        <f>IFERROR(VLOOKUP(V87, Tarieven!$A$2:$J$150, 10, FALSE), "0")</f>
        <v>0</v>
      </c>
      <c r="X87" s="138">
        <f>Februari!X87</f>
        <v>0</v>
      </c>
      <c r="Y87" s="398">
        <v>0.0</v>
      </c>
      <c r="Z87" s="329">
        <f t="shared" si="3"/>
        <v>0</v>
      </c>
      <c r="AA87" s="32">
        <f t="shared" si="4"/>
        <v>0</v>
      </c>
      <c r="AB87" s="32">
        <f t="shared" si="5"/>
        <v>0</v>
      </c>
      <c r="AC87" s="32">
        <f t="shared" si="6"/>
        <v>0</v>
      </c>
    </row>
    <row r="88" ht="22.5" customHeight="1">
      <c r="A88" s="331" t="str">
        <f>Rooster!A89</f>
        <v/>
      </c>
      <c r="B88" s="396" t="str">
        <f>Rooster!B89</f>
        <v/>
      </c>
      <c r="C88" s="15" t="str">
        <f>Rooster!C89</f>
        <v/>
      </c>
      <c r="D88" s="11" t="str">
        <f>Rooster!D89</f>
        <v/>
      </c>
      <c r="E88" s="77"/>
      <c r="F88" s="327" t="str">
        <f>Rooster!E89</f>
        <v/>
      </c>
      <c r="G88" s="319" t="str">
        <f>IFERROR(VLOOKUP(F88, Docenten!$A$2:$G$30, 7, FALSE), "0")</f>
        <v>0</v>
      </c>
      <c r="H88" s="320">
        <f t="shared" si="7"/>
        <v>0</v>
      </c>
      <c r="I88" s="327" t="str">
        <f>Rooster!H89</f>
        <v/>
      </c>
      <c r="J88" s="321" t="str">
        <f>IFERROR(VLOOKUP(I88, Locaties!$A$2:$G$15, 7, FALSE), "0")</f>
        <v>0</v>
      </c>
      <c r="K88" s="42">
        <f t="shared" si="2"/>
        <v>0</v>
      </c>
      <c r="L88" s="427" t="str">
        <f>Februari!L88</f>
        <v/>
      </c>
      <c r="M88" s="428" t="str">
        <f>Februari!M88</f>
        <v/>
      </c>
      <c r="N88" s="321" t="str">
        <f>IFERROR(VLOOKUP(M88, Tarieven!$A$1:$J$150, 10, FALSE), "0")</f>
        <v>0</v>
      </c>
      <c r="O88" s="427" t="str">
        <f>Februari!O88</f>
        <v/>
      </c>
      <c r="P88" s="428" t="str">
        <f>Februari!P88</f>
        <v/>
      </c>
      <c r="Q88" s="325" t="str">
        <f>IFERROR(VLOOKUP(P88, Tarieven!$A$2:$J$150, 10, FALSE), "0")</f>
        <v>0</v>
      </c>
      <c r="R88" s="444" t="str">
        <f>Februari!R88</f>
        <v/>
      </c>
      <c r="S88" s="428" t="str">
        <f>Februari!S88</f>
        <v/>
      </c>
      <c r="T88" s="325" t="str">
        <f>IFERROR(VLOOKUP(S88, Tarieven!$A$2:$J$150, 10, FALSE), "0")</f>
        <v>0</v>
      </c>
      <c r="U88" s="77" t="str">
        <f>Februari!U88</f>
        <v/>
      </c>
      <c r="V88" s="327" t="str">
        <f>Februari!V88</f>
        <v/>
      </c>
      <c r="W88" s="325" t="str">
        <f>IFERROR(VLOOKUP(V88, Tarieven!$A$2:$J$150, 10, FALSE), "0")</f>
        <v>0</v>
      </c>
      <c r="X88" s="138">
        <f>Februari!X88</f>
        <v>0</v>
      </c>
      <c r="Y88" s="398">
        <v>0.0</v>
      </c>
      <c r="Z88" s="329">
        <f t="shared" si="3"/>
        <v>0</v>
      </c>
      <c r="AA88" s="32">
        <f t="shared" si="4"/>
        <v>0</v>
      </c>
      <c r="AB88" s="32">
        <f t="shared" si="5"/>
        <v>0</v>
      </c>
      <c r="AC88" s="32">
        <f t="shared" si="6"/>
        <v>0</v>
      </c>
    </row>
    <row r="89" ht="22.5" customHeight="1">
      <c r="A89" s="331" t="str">
        <f>Rooster!A90</f>
        <v/>
      </c>
      <c r="B89" s="396" t="str">
        <f>Rooster!B90</f>
        <v/>
      </c>
      <c r="C89" s="15" t="str">
        <f>Rooster!C90</f>
        <v/>
      </c>
      <c r="D89" s="11" t="str">
        <f>Rooster!D90</f>
        <v/>
      </c>
      <c r="E89" s="77"/>
      <c r="F89" s="327" t="str">
        <f>Rooster!E90</f>
        <v/>
      </c>
      <c r="G89" s="319" t="str">
        <f>IFERROR(VLOOKUP(F89, Docenten!$A$2:$G$30, 7, FALSE), "0")</f>
        <v>0</v>
      </c>
      <c r="H89" s="320">
        <f t="shared" si="7"/>
        <v>0</v>
      </c>
      <c r="I89" s="327" t="str">
        <f>Rooster!H90</f>
        <v/>
      </c>
      <c r="J89" s="321" t="str">
        <f>IFERROR(VLOOKUP(I89, Locaties!$A$2:$G$15, 7, FALSE), "0")</f>
        <v>0</v>
      </c>
      <c r="K89" s="42">
        <f t="shared" si="2"/>
        <v>0</v>
      </c>
      <c r="L89" s="427" t="str">
        <f>Februari!L89</f>
        <v/>
      </c>
      <c r="M89" s="428" t="str">
        <f>Februari!M89</f>
        <v/>
      </c>
      <c r="N89" s="321" t="str">
        <f>IFERROR(VLOOKUP(M89, Tarieven!$A$1:$J$150, 10, FALSE), "0")</f>
        <v>0</v>
      </c>
      <c r="O89" s="427" t="str">
        <f>Februari!O89</f>
        <v/>
      </c>
      <c r="P89" s="428" t="str">
        <f>Februari!P89</f>
        <v/>
      </c>
      <c r="Q89" s="325" t="str">
        <f>IFERROR(VLOOKUP(P89, Tarieven!$A$2:$J$150, 10, FALSE), "0")</f>
        <v>0</v>
      </c>
      <c r="R89" s="444" t="str">
        <f>Februari!R89</f>
        <v/>
      </c>
      <c r="S89" s="428" t="str">
        <f>Februari!S89</f>
        <v/>
      </c>
      <c r="T89" s="325" t="str">
        <f>IFERROR(VLOOKUP(S89, Tarieven!$A$2:$J$150, 10, FALSE), "0")</f>
        <v>0</v>
      </c>
      <c r="U89" s="77" t="str">
        <f>Februari!U89</f>
        <v/>
      </c>
      <c r="V89" s="327" t="str">
        <f>Februari!V89</f>
        <v/>
      </c>
      <c r="W89" s="325" t="str">
        <f>IFERROR(VLOOKUP(V89, Tarieven!$A$2:$J$150, 10, FALSE), "0")</f>
        <v>0</v>
      </c>
      <c r="X89" s="138">
        <f>Februari!X89</f>
        <v>0</v>
      </c>
      <c r="Y89" s="398">
        <v>0.0</v>
      </c>
      <c r="Z89" s="329">
        <f t="shared" si="3"/>
        <v>0</v>
      </c>
      <c r="AA89" s="32">
        <f t="shared" si="4"/>
        <v>0</v>
      </c>
      <c r="AB89" s="32">
        <f t="shared" si="5"/>
        <v>0</v>
      </c>
      <c r="AC89" s="32">
        <f t="shared" si="6"/>
        <v>0</v>
      </c>
    </row>
    <row r="90" ht="22.5" customHeight="1">
      <c r="A90" s="331" t="str">
        <f>Rooster!A91</f>
        <v/>
      </c>
      <c r="B90" s="396" t="str">
        <f>Rooster!B91</f>
        <v/>
      </c>
      <c r="C90" s="15" t="str">
        <f>Rooster!C91</f>
        <v/>
      </c>
      <c r="D90" s="11" t="str">
        <f>Rooster!D91</f>
        <v/>
      </c>
      <c r="E90" s="77"/>
      <c r="F90" s="327" t="str">
        <f>Rooster!E91</f>
        <v/>
      </c>
      <c r="G90" s="319" t="str">
        <f>IFERROR(VLOOKUP(F90, Docenten!$A$2:$G$30, 7, FALSE), "0")</f>
        <v>0</v>
      </c>
      <c r="H90" s="320">
        <f t="shared" si="7"/>
        <v>0</v>
      </c>
      <c r="I90" s="327" t="str">
        <f>Rooster!H91</f>
        <v/>
      </c>
      <c r="J90" s="321" t="str">
        <f>IFERROR(VLOOKUP(I90, Locaties!$A$2:$G$15, 7, FALSE), "0")</f>
        <v>0</v>
      </c>
      <c r="K90" s="42">
        <f t="shared" si="2"/>
        <v>0</v>
      </c>
      <c r="L90" s="427" t="str">
        <f>Februari!L90</f>
        <v/>
      </c>
      <c r="M90" s="428" t="str">
        <f>Februari!M90</f>
        <v/>
      </c>
      <c r="N90" s="321" t="str">
        <f>IFERROR(VLOOKUP(M90, Tarieven!$A$1:$J$150, 10, FALSE), "0")</f>
        <v>0</v>
      </c>
      <c r="O90" s="427" t="str">
        <f>Februari!O90</f>
        <v/>
      </c>
      <c r="P90" s="428" t="str">
        <f>Februari!P90</f>
        <v/>
      </c>
      <c r="Q90" s="325" t="str">
        <f>IFERROR(VLOOKUP(P90, Tarieven!$A$2:$J$150, 10, FALSE), "0")</f>
        <v>0</v>
      </c>
      <c r="R90" s="444" t="str">
        <f>Februari!R90</f>
        <v/>
      </c>
      <c r="S90" s="428" t="str">
        <f>Februari!S90</f>
        <v/>
      </c>
      <c r="T90" s="325" t="str">
        <f>IFERROR(VLOOKUP(S90, Tarieven!$A$2:$J$150, 10, FALSE), "0")</f>
        <v>0</v>
      </c>
      <c r="U90" s="77" t="str">
        <f>Februari!U90</f>
        <v/>
      </c>
      <c r="V90" s="327" t="str">
        <f>Februari!V90</f>
        <v/>
      </c>
      <c r="W90" s="325" t="str">
        <f>IFERROR(VLOOKUP(V90, Tarieven!$A$2:$J$150, 10, FALSE), "0")</f>
        <v>0</v>
      </c>
      <c r="X90" s="138">
        <f>Februari!X90</f>
        <v>0</v>
      </c>
      <c r="Y90" s="398">
        <v>0.0</v>
      </c>
      <c r="Z90" s="329">
        <f t="shared" si="3"/>
        <v>0</v>
      </c>
      <c r="AA90" s="32">
        <f t="shared" si="4"/>
        <v>0</v>
      </c>
      <c r="AB90" s="32">
        <f t="shared" si="5"/>
        <v>0</v>
      </c>
      <c r="AC90" s="32">
        <f t="shared" si="6"/>
        <v>0</v>
      </c>
    </row>
    <row r="91" ht="22.5" customHeight="1">
      <c r="A91" s="331" t="str">
        <f>Rooster!A92</f>
        <v/>
      </c>
      <c r="B91" s="396" t="str">
        <f>Rooster!B92</f>
        <v/>
      </c>
      <c r="C91" s="15" t="str">
        <f>Rooster!C92</f>
        <v/>
      </c>
      <c r="D91" s="11" t="str">
        <f>Rooster!D92</f>
        <v/>
      </c>
      <c r="E91" s="77"/>
      <c r="F91" s="327" t="str">
        <f>Rooster!E92</f>
        <v/>
      </c>
      <c r="G91" s="319" t="str">
        <f>IFERROR(VLOOKUP(F91, Docenten!$A$2:$G$30, 7, FALSE), "0")</f>
        <v>0</v>
      </c>
      <c r="H91" s="320">
        <f t="shared" si="7"/>
        <v>0</v>
      </c>
      <c r="I91" s="327" t="str">
        <f>Rooster!H92</f>
        <v/>
      </c>
      <c r="J91" s="321" t="str">
        <f>IFERROR(VLOOKUP(I91, Locaties!$A$2:$G$15, 7, FALSE), "0")</f>
        <v>0</v>
      </c>
      <c r="K91" s="42">
        <f t="shared" si="2"/>
        <v>0</v>
      </c>
      <c r="L91" s="427" t="str">
        <f>Februari!L91</f>
        <v/>
      </c>
      <c r="M91" s="428" t="str">
        <f>Februari!M91</f>
        <v/>
      </c>
      <c r="N91" s="321" t="str">
        <f>IFERROR(VLOOKUP(M91, Tarieven!$A$1:$J$150, 10, FALSE), "0")</f>
        <v>0</v>
      </c>
      <c r="O91" s="427" t="str">
        <f>Februari!O91</f>
        <v/>
      </c>
      <c r="P91" s="428" t="str">
        <f>Februari!P91</f>
        <v/>
      </c>
      <c r="Q91" s="325" t="str">
        <f>IFERROR(VLOOKUP(P91, Tarieven!$A$2:$J$150, 10, FALSE), "0")</f>
        <v>0</v>
      </c>
      <c r="R91" s="444" t="str">
        <f>Februari!R91</f>
        <v/>
      </c>
      <c r="S91" s="428" t="str">
        <f>Februari!S91</f>
        <v/>
      </c>
      <c r="T91" s="325" t="str">
        <f>IFERROR(VLOOKUP(S91, Tarieven!$A$2:$J$150, 10, FALSE), "0")</f>
        <v>0</v>
      </c>
      <c r="U91" s="77" t="str">
        <f>Februari!U91</f>
        <v/>
      </c>
      <c r="V91" s="327" t="str">
        <f>Februari!V91</f>
        <v/>
      </c>
      <c r="W91" s="325" t="str">
        <f>IFERROR(VLOOKUP(V91, Tarieven!$A$2:$J$150, 10, FALSE), "0")</f>
        <v>0</v>
      </c>
      <c r="X91" s="138">
        <f>Februari!X91</f>
        <v>0</v>
      </c>
      <c r="Y91" s="398">
        <v>0.0</v>
      </c>
      <c r="Z91" s="329">
        <f t="shared" si="3"/>
        <v>0</v>
      </c>
      <c r="AA91" s="32">
        <f t="shared" si="4"/>
        <v>0</v>
      </c>
      <c r="AB91" s="32">
        <f t="shared" si="5"/>
        <v>0</v>
      </c>
      <c r="AC91" s="32">
        <f t="shared" si="6"/>
        <v>0</v>
      </c>
    </row>
    <row r="92" ht="22.5" customHeight="1">
      <c r="A92" s="331" t="str">
        <f>Rooster!A93</f>
        <v/>
      </c>
      <c r="B92" s="396" t="str">
        <f>Rooster!B93</f>
        <v/>
      </c>
      <c r="C92" s="15" t="str">
        <f>Rooster!C93</f>
        <v/>
      </c>
      <c r="D92" s="11" t="str">
        <f>Rooster!D93</f>
        <v/>
      </c>
      <c r="E92" s="77"/>
      <c r="F92" s="327" t="str">
        <f>Rooster!E93</f>
        <v/>
      </c>
      <c r="G92" s="319" t="str">
        <f>IFERROR(VLOOKUP(F92, Docenten!$A$2:$G$30, 7, FALSE), "0")</f>
        <v>0</v>
      </c>
      <c r="H92" s="320">
        <f t="shared" si="7"/>
        <v>0</v>
      </c>
      <c r="I92" s="327" t="str">
        <f>Rooster!H93</f>
        <v/>
      </c>
      <c r="J92" s="321" t="str">
        <f>IFERROR(VLOOKUP(I92, Locaties!$A$2:$G$15, 7, FALSE), "0")</f>
        <v>0</v>
      </c>
      <c r="K92" s="42">
        <f t="shared" si="2"/>
        <v>0</v>
      </c>
      <c r="L92" s="427" t="str">
        <f>Februari!L92</f>
        <v/>
      </c>
      <c r="M92" s="428" t="str">
        <f>Februari!M92</f>
        <v/>
      </c>
      <c r="N92" s="321" t="str">
        <f>IFERROR(VLOOKUP(M92, Tarieven!$A$1:$J$150, 10, FALSE), "0")</f>
        <v>0</v>
      </c>
      <c r="O92" s="427" t="str">
        <f>Februari!O92</f>
        <v/>
      </c>
      <c r="P92" s="428" t="str">
        <f>Februari!P92</f>
        <v/>
      </c>
      <c r="Q92" s="325" t="str">
        <f>IFERROR(VLOOKUP(P92, Tarieven!$A$2:$J$150, 10, FALSE), "0")</f>
        <v>0</v>
      </c>
      <c r="R92" s="444" t="str">
        <f>Februari!R92</f>
        <v/>
      </c>
      <c r="S92" s="428" t="str">
        <f>Februari!S92</f>
        <v/>
      </c>
      <c r="T92" s="325" t="str">
        <f>IFERROR(VLOOKUP(S92, Tarieven!$A$2:$J$150, 10, FALSE), "0")</f>
        <v>0</v>
      </c>
      <c r="U92" s="77" t="str">
        <f>Februari!U92</f>
        <v/>
      </c>
      <c r="V92" s="327" t="str">
        <f>Februari!V92</f>
        <v/>
      </c>
      <c r="W92" s="325" t="str">
        <f>IFERROR(VLOOKUP(V92, Tarieven!$A$2:$J$150, 10, FALSE), "0")</f>
        <v>0</v>
      </c>
      <c r="X92" s="138">
        <f>Februari!X92</f>
        <v>0</v>
      </c>
      <c r="Y92" s="398">
        <v>0.0</v>
      </c>
      <c r="Z92" s="329">
        <f t="shared" si="3"/>
        <v>0</v>
      </c>
      <c r="AA92" s="32">
        <f t="shared" si="4"/>
        <v>0</v>
      </c>
      <c r="AB92" s="32">
        <f t="shared" si="5"/>
        <v>0</v>
      </c>
      <c r="AC92" s="32">
        <f t="shared" si="6"/>
        <v>0</v>
      </c>
    </row>
    <row r="93" ht="22.5" customHeight="1">
      <c r="A93" s="331" t="str">
        <f>Rooster!A94</f>
        <v/>
      </c>
      <c r="B93" s="396" t="str">
        <f>Rooster!B94</f>
        <v/>
      </c>
      <c r="C93" s="15" t="str">
        <f>Rooster!C94</f>
        <v/>
      </c>
      <c r="D93" s="11" t="str">
        <f>Rooster!D94</f>
        <v/>
      </c>
      <c r="E93" s="77"/>
      <c r="F93" s="327" t="str">
        <f>Rooster!E94</f>
        <v/>
      </c>
      <c r="G93" s="319" t="str">
        <f>IFERROR(VLOOKUP(F93, Docenten!$A$2:$G$30, 7, FALSE), "0")</f>
        <v>0</v>
      </c>
      <c r="H93" s="320">
        <f t="shared" si="7"/>
        <v>0</v>
      </c>
      <c r="I93" s="327" t="str">
        <f>Rooster!H94</f>
        <v/>
      </c>
      <c r="J93" s="321" t="str">
        <f>IFERROR(VLOOKUP(I93, Locaties!$A$2:$G$15, 7, FALSE), "0")</f>
        <v>0</v>
      </c>
      <c r="K93" s="42">
        <f t="shared" si="2"/>
        <v>0</v>
      </c>
      <c r="L93" s="427" t="str">
        <f>Februari!L93</f>
        <v/>
      </c>
      <c r="M93" s="428" t="str">
        <f>Februari!M93</f>
        <v/>
      </c>
      <c r="N93" s="321" t="str">
        <f>IFERROR(VLOOKUP(M93, Tarieven!$A$1:$J$150, 10, FALSE), "0")</f>
        <v>0</v>
      </c>
      <c r="O93" s="427" t="str">
        <f>Februari!O93</f>
        <v/>
      </c>
      <c r="P93" s="428" t="str">
        <f>Februari!P93</f>
        <v/>
      </c>
      <c r="Q93" s="325" t="str">
        <f>IFERROR(VLOOKUP(P93, Tarieven!$A$2:$J$150, 10, FALSE), "0")</f>
        <v>0</v>
      </c>
      <c r="R93" s="444" t="str">
        <f>Februari!R93</f>
        <v/>
      </c>
      <c r="S93" s="428" t="str">
        <f>Februari!S93</f>
        <v/>
      </c>
      <c r="T93" s="325" t="str">
        <f>IFERROR(VLOOKUP(S93, Tarieven!$A$2:$J$150, 10, FALSE), "0")</f>
        <v>0</v>
      </c>
      <c r="U93" s="77" t="str">
        <f>Februari!U93</f>
        <v/>
      </c>
      <c r="V93" s="327" t="str">
        <f>Februari!V93</f>
        <v/>
      </c>
      <c r="W93" s="325" t="str">
        <f>IFERROR(VLOOKUP(V93, Tarieven!$A$2:$J$150, 10, FALSE), "0")</f>
        <v>0</v>
      </c>
      <c r="X93" s="138">
        <f>Februari!X93</f>
        <v>0</v>
      </c>
      <c r="Y93" s="398">
        <v>0.0</v>
      </c>
      <c r="Z93" s="329">
        <f t="shared" si="3"/>
        <v>0</v>
      </c>
      <c r="AA93" s="32">
        <f t="shared" si="4"/>
        <v>0</v>
      </c>
      <c r="AB93" s="32">
        <f t="shared" si="5"/>
        <v>0</v>
      </c>
      <c r="AC93" s="32">
        <f t="shared" si="6"/>
        <v>0</v>
      </c>
    </row>
    <row r="94" ht="22.5" customHeight="1">
      <c r="A94" s="331" t="str">
        <f>Rooster!A95</f>
        <v/>
      </c>
      <c r="B94" s="396" t="str">
        <f>Rooster!B95</f>
        <v/>
      </c>
      <c r="C94" s="15" t="str">
        <f>Rooster!C95</f>
        <v/>
      </c>
      <c r="D94" s="11" t="str">
        <f>Rooster!D95</f>
        <v/>
      </c>
      <c r="E94" s="77"/>
      <c r="F94" s="327" t="str">
        <f>Rooster!E95</f>
        <v/>
      </c>
      <c r="G94" s="319" t="str">
        <f>IFERROR(VLOOKUP(F94, Docenten!$A$2:$G$30, 7, FALSE), "0")</f>
        <v>0</v>
      </c>
      <c r="H94" s="320">
        <f t="shared" si="7"/>
        <v>0</v>
      </c>
      <c r="I94" s="327" t="str">
        <f>Rooster!H95</f>
        <v/>
      </c>
      <c r="J94" s="321" t="str">
        <f>IFERROR(VLOOKUP(I94, Locaties!$A$2:$G$15, 7, FALSE), "0")</f>
        <v>0</v>
      </c>
      <c r="K94" s="42">
        <f t="shared" si="2"/>
        <v>0</v>
      </c>
      <c r="L94" s="427" t="str">
        <f>Februari!L94</f>
        <v/>
      </c>
      <c r="M94" s="428" t="str">
        <f>Februari!M94</f>
        <v/>
      </c>
      <c r="N94" s="321" t="str">
        <f>IFERROR(VLOOKUP(M94, Tarieven!$A$1:$J$150, 10, FALSE), "0")</f>
        <v>0</v>
      </c>
      <c r="O94" s="427" t="str">
        <f>Februari!O94</f>
        <v/>
      </c>
      <c r="P94" s="428" t="str">
        <f>Februari!P94</f>
        <v/>
      </c>
      <c r="Q94" s="325" t="str">
        <f>IFERROR(VLOOKUP(P94, Tarieven!$A$2:$J$150, 10, FALSE), "0")</f>
        <v>0</v>
      </c>
      <c r="R94" s="444" t="str">
        <f>Februari!R94</f>
        <v/>
      </c>
      <c r="S94" s="428" t="str">
        <f>Februari!S94</f>
        <v/>
      </c>
      <c r="T94" s="325" t="str">
        <f>IFERROR(VLOOKUP(S94, Tarieven!$A$2:$J$150, 10, FALSE), "0")</f>
        <v>0</v>
      </c>
      <c r="U94" s="77" t="str">
        <f>Februari!U94</f>
        <v/>
      </c>
      <c r="V94" s="327" t="str">
        <f>Februari!V94</f>
        <v/>
      </c>
      <c r="W94" s="325" t="str">
        <f>IFERROR(VLOOKUP(V94, Tarieven!$A$2:$J$150, 10, FALSE), "0")</f>
        <v>0</v>
      </c>
      <c r="X94" s="138">
        <f>Februari!X94</f>
        <v>0</v>
      </c>
      <c r="Y94" s="398">
        <v>0.0</v>
      </c>
      <c r="Z94" s="329">
        <f t="shared" si="3"/>
        <v>0</v>
      </c>
      <c r="AA94" s="32">
        <f t="shared" si="4"/>
        <v>0</v>
      </c>
      <c r="AB94" s="32">
        <f t="shared" si="5"/>
        <v>0</v>
      </c>
      <c r="AC94" s="32">
        <f t="shared" si="6"/>
        <v>0</v>
      </c>
    </row>
    <row r="95" ht="22.5" customHeight="1">
      <c r="A95" s="331" t="str">
        <f>Rooster!A96</f>
        <v/>
      </c>
      <c r="B95" s="396" t="str">
        <f>Rooster!B96</f>
        <v/>
      </c>
      <c r="C95" s="15" t="str">
        <f>Rooster!C96</f>
        <v/>
      </c>
      <c r="D95" s="11" t="str">
        <f>Rooster!D96</f>
        <v/>
      </c>
      <c r="E95" s="77"/>
      <c r="F95" s="327" t="str">
        <f>Rooster!E96</f>
        <v/>
      </c>
      <c r="G95" s="319" t="str">
        <f>IFERROR(VLOOKUP(F95, Docenten!$A$2:$G$30, 7, FALSE), "0")</f>
        <v>0</v>
      </c>
      <c r="H95" s="320">
        <f t="shared" si="7"/>
        <v>0</v>
      </c>
      <c r="I95" s="327" t="str">
        <f>Rooster!H96</f>
        <v/>
      </c>
      <c r="J95" s="321" t="str">
        <f>IFERROR(VLOOKUP(I95, Locaties!$A$2:$G$15, 7, FALSE), "0")</f>
        <v>0</v>
      </c>
      <c r="K95" s="42">
        <f t="shared" si="2"/>
        <v>0</v>
      </c>
      <c r="L95" s="427" t="str">
        <f>Februari!L95</f>
        <v/>
      </c>
      <c r="M95" s="428" t="str">
        <f>Februari!M95</f>
        <v/>
      </c>
      <c r="N95" s="321" t="str">
        <f>IFERROR(VLOOKUP(M95, Tarieven!$A$1:$J$150, 10, FALSE), "0")</f>
        <v>0</v>
      </c>
      <c r="O95" s="427" t="str">
        <f>Februari!O95</f>
        <v/>
      </c>
      <c r="P95" s="428" t="str">
        <f>Februari!P95</f>
        <v/>
      </c>
      <c r="Q95" s="325" t="str">
        <f>IFERROR(VLOOKUP(P95, Tarieven!$A$2:$J$150, 10, FALSE), "0")</f>
        <v>0</v>
      </c>
      <c r="R95" s="444" t="str">
        <f>Februari!R95</f>
        <v/>
      </c>
      <c r="S95" s="428" t="str">
        <f>Februari!S95</f>
        <v/>
      </c>
      <c r="T95" s="325" t="str">
        <f>IFERROR(VLOOKUP(S95, Tarieven!$A$2:$J$150, 10, FALSE), "0")</f>
        <v>0</v>
      </c>
      <c r="U95" s="77" t="str">
        <f>Februari!U95</f>
        <v/>
      </c>
      <c r="V95" s="327" t="str">
        <f>Februari!V95</f>
        <v/>
      </c>
      <c r="W95" s="325" t="str">
        <f>IFERROR(VLOOKUP(V95, Tarieven!$A$2:$J$150, 10, FALSE), "0")</f>
        <v>0</v>
      </c>
      <c r="X95" s="138">
        <f>Februari!X95</f>
        <v>0</v>
      </c>
      <c r="Y95" s="398">
        <v>0.0</v>
      </c>
      <c r="Z95" s="329">
        <f t="shared" si="3"/>
        <v>0</v>
      </c>
      <c r="AA95" s="32">
        <f t="shared" si="4"/>
        <v>0</v>
      </c>
      <c r="AB95" s="32">
        <f t="shared" si="5"/>
        <v>0</v>
      </c>
      <c r="AC95" s="32">
        <f t="shared" si="6"/>
        <v>0</v>
      </c>
    </row>
    <row r="96" ht="22.5" customHeight="1">
      <c r="A96" s="331" t="str">
        <f>Rooster!A97</f>
        <v/>
      </c>
      <c r="B96" s="396" t="str">
        <f>Rooster!B97</f>
        <v/>
      </c>
      <c r="C96" s="15" t="str">
        <f>Rooster!C97</f>
        <v/>
      </c>
      <c r="D96" s="11" t="str">
        <f>Rooster!D97</f>
        <v/>
      </c>
      <c r="E96" s="77"/>
      <c r="F96" s="327" t="str">
        <f>Rooster!E97</f>
        <v/>
      </c>
      <c r="G96" s="319" t="str">
        <f>IFERROR(VLOOKUP(F96, Docenten!$A$2:$G$30, 7, FALSE), "0")</f>
        <v>0</v>
      </c>
      <c r="H96" s="320">
        <f t="shared" si="7"/>
        <v>0</v>
      </c>
      <c r="I96" s="327" t="str">
        <f>Rooster!H97</f>
        <v/>
      </c>
      <c r="J96" s="321" t="str">
        <f>IFERROR(VLOOKUP(I96, Locaties!$A$2:$G$15, 7, FALSE), "0")</f>
        <v>0</v>
      </c>
      <c r="K96" s="42">
        <f t="shared" si="2"/>
        <v>0</v>
      </c>
      <c r="L96" s="427" t="str">
        <f>Februari!L96</f>
        <v/>
      </c>
      <c r="M96" s="428" t="str">
        <f>Februari!M96</f>
        <v/>
      </c>
      <c r="N96" s="321" t="str">
        <f>IFERROR(VLOOKUP(M96, Tarieven!$A$1:$J$150, 10, FALSE), "0")</f>
        <v>0</v>
      </c>
      <c r="O96" s="427" t="str">
        <f>Februari!O96</f>
        <v/>
      </c>
      <c r="P96" s="428" t="str">
        <f>Februari!P96</f>
        <v/>
      </c>
      <c r="Q96" s="325" t="str">
        <f>IFERROR(VLOOKUP(P96, Tarieven!$A$2:$J$150, 10, FALSE), "0")</f>
        <v>0</v>
      </c>
      <c r="R96" s="444" t="str">
        <f>Februari!R96</f>
        <v/>
      </c>
      <c r="S96" s="428" t="str">
        <f>Februari!S96</f>
        <v/>
      </c>
      <c r="T96" s="325" t="str">
        <f>IFERROR(VLOOKUP(S96, Tarieven!$A$2:$J$150, 10, FALSE), "0")</f>
        <v>0</v>
      </c>
      <c r="U96" s="77" t="str">
        <f>Februari!U96</f>
        <v/>
      </c>
      <c r="V96" s="327" t="str">
        <f>Februari!V96</f>
        <v/>
      </c>
      <c r="W96" s="325" t="str">
        <f>IFERROR(VLOOKUP(V96, Tarieven!$A$2:$J$150, 10, FALSE), "0")</f>
        <v>0</v>
      </c>
      <c r="X96" s="138">
        <f>Februari!X96</f>
        <v>0</v>
      </c>
      <c r="Y96" s="398">
        <v>0.0</v>
      </c>
      <c r="Z96" s="329">
        <f t="shared" si="3"/>
        <v>0</v>
      </c>
      <c r="AA96" s="32">
        <f t="shared" si="4"/>
        <v>0</v>
      </c>
      <c r="AB96" s="32">
        <f t="shared" si="5"/>
        <v>0</v>
      </c>
      <c r="AC96" s="32">
        <f t="shared" si="6"/>
        <v>0</v>
      </c>
    </row>
    <row r="97" ht="22.5" customHeight="1">
      <c r="A97" s="331" t="str">
        <f>Rooster!A98</f>
        <v/>
      </c>
      <c r="B97" s="396" t="str">
        <f>Rooster!B98</f>
        <v/>
      </c>
      <c r="C97" s="15" t="str">
        <f>Rooster!C98</f>
        <v/>
      </c>
      <c r="D97" s="11" t="str">
        <f>Rooster!D98</f>
        <v/>
      </c>
      <c r="E97" s="77"/>
      <c r="F97" s="327" t="str">
        <f>Rooster!E98</f>
        <v/>
      </c>
      <c r="G97" s="319" t="str">
        <f>IFERROR(VLOOKUP(F97, Docenten!$A$2:$G$30, 7, FALSE), "0")</f>
        <v>0</v>
      </c>
      <c r="H97" s="320">
        <f t="shared" si="7"/>
        <v>0</v>
      </c>
      <c r="I97" s="327" t="str">
        <f>Rooster!H98</f>
        <v/>
      </c>
      <c r="J97" s="321" t="str">
        <f>IFERROR(VLOOKUP(I97, Locaties!$A$2:$G$15, 7, FALSE), "0")</f>
        <v>0</v>
      </c>
      <c r="K97" s="42">
        <f t="shared" si="2"/>
        <v>0</v>
      </c>
      <c r="L97" s="427" t="str">
        <f>Februari!L97</f>
        <v/>
      </c>
      <c r="M97" s="428" t="str">
        <f>Februari!M97</f>
        <v/>
      </c>
      <c r="N97" s="321" t="str">
        <f>IFERROR(VLOOKUP(M97, Tarieven!$A$1:$J$150, 10, FALSE), "0")</f>
        <v>0</v>
      </c>
      <c r="O97" s="427" t="str">
        <f>Februari!O97</f>
        <v/>
      </c>
      <c r="P97" s="428" t="str">
        <f>Februari!P97</f>
        <v/>
      </c>
      <c r="Q97" s="325" t="str">
        <f>IFERROR(VLOOKUP(P97, Tarieven!$A$2:$J$150, 10, FALSE), "0")</f>
        <v>0</v>
      </c>
      <c r="R97" s="444" t="str">
        <f>Februari!R97</f>
        <v/>
      </c>
      <c r="S97" s="428" t="str">
        <f>Februari!S97</f>
        <v/>
      </c>
      <c r="T97" s="325" t="str">
        <f>IFERROR(VLOOKUP(S97, Tarieven!$A$2:$J$150, 10, FALSE), "0")</f>
        <v>0</v>
      </c>
      <c r="U97" s="77" t="str">
        <f>Februari!U97</f>
        <v/>
      </c>
      <c r="V97" s="327" t="str">
        <f>Februari!V97</f>
        <v/>
      </c>
      <c r="W97" s="325" t="str">
        <f>IFERROR(VLOOKUP(V97, Tarieven!$A$2:$J$150, 10, FALSE), "0")</f>
        <v>0</v>
      </c>
      <c r="X97" s="138">
        <f>Februari!X97</f>
        <v>0</v>
      </c>
      <c r="Y97" s="398">
        <v>0.0</v>
      </c>
      <c r="Z97" s="329">
        <f t="shared" si="3"/>
        <v>0</v>
      </c>
      <c r="AA97" s="32">
        <f t="shared" si="4"/>
        <v>0</v>
      </c>
      <c r="AB97" s="32">
        <f t="shared" si="5"/>
        <v>0</v>
      </c>
      <c r="AC97" s="32">
        <f t="shared" si="6"/>
        <v>0</v>
      </c>
    </row>
    <row r="98" ht="22.5" customHeight="1">
      <c r="A98" s="331" t="str">
        <f>Rooster!A99</f>
        <v/>
      </c>
      <c r="B98" s="396" t="str">
        <f>Rooster!B99</f>
        <v/>
      </c>
      <c r="C98" s="15" t="str">
        <f>Rooster!C99</f>
        <v/>
      </c>
      <c r="D98" s="11" t="str">
        <f>Rooster!D99</f>
        <v/>
      </c>
      <c r="E98" s="77"/>
      <c r="F98" s="327" t="str">
        <f>Rooster!E99</f>
        <v/>
      </c>
      <c r="G98" s="319" t="str">
        <f>IFERROR(VLOOKUP(F98, Docenten!$A$2:$G$30, 7, FALSE), "0")</f>
        <v>0</v>
      </c>
      <c r="H98" s="320">
        <f t="shared" si="7"/>
        <v>0</v>
      </c>
      <c r="I98" s="327" t="str">
        <f>Rooster!H99</f>
        <v/>
      </c>
      <c r="J98" s="321" t="str">
        <f>IFERROR(VLOOKUP(I98, Locaties!$A$2:$G$15, 7, FALSE), "0")</f>
        <v>0</v>
      </c>
      <c r="K98" s="42">
        <f t="shared" si="2"/>
        <v>0</v>
      </c>
      <c r="L98" s="427" t="str">
        <f>Februari!L98</f>
        <v/>
      </c>
      <c r="M98" s="428" t="str">
        <f>Februari!M98</f>
        <v/>
      </c>
      <c r="N98" s="321" t="str">
        <f>IFERROR(VLOOKUP(M98, Tarieven!$A$1:$J$150, 10, FALSE), "0")</f>
        <v>0</v>
      </c>
      <c r="O98" s="427" t="str">
        <f>Februari!O98</f>
        <v/>
      </c>
      <c r="P98" s="428" t="str">
        <f>Februari!P98</f>
        <v/>
      </c>
      <c r="Q98" s="325" t="str">
        <f>IFERROR(VLOOKUP(P98, Tarieven!$A$2:$J$150, 10, FALSE), "0")</f>
        <v>0</v>
      </c>
      <c r="R98" s="444" t="str">
        <f>Februari!R98</f>
        <v/>
      </c>
      <c r="S98" s="428" t="str">
        <f>Februari!S98</f>
        <v/>
      </c>
      <c r="T98" s="325" t="str">
        <f>IFERROR(VLOOKUP(S98, Tarieven!$A$2:$J$150, 10, FALSE), "0")</f>
        <v>0</v>
      </c>
      <c r="U98" s="77" t="str">
        <f>Februari!U98</f>
        <v/>
      </c>
      <c r="V98" s="327" t="str">
        <f>Februari!V98</f>
        <v/>
      </c>
      <c r="W98" s="325" t="str">
        <f>IFERROR(VLOOKUP(V98, Tarieven!$A$2:$J$150, 10, FALSE), "0")</f>
        <v>0</v>
      </c>
      <c r="X98" s="138">
        <f>Februari!X98</f>
        <v>0</v>
      </c>
      <c r="Y98" s="398">
        <v>0.0</v>
      </c>
      <c r="Z98" s="329">
        <f t="shared" si="3"/>
        <v>0</v>
      </c>
      <c r="AA98" s="32">
        <f t="shared" si="4"/>
        <v>0</v>
      </c>
      <c r="AB98" s="32">
        <f t="shared" si="5"/>
        <v>0</v>
      </c>
      <c r="AC98" s="32">
        <f t="shared" si="6"/>
        <v>0</v>
      </c>
    </row>
    <row r="99" ht="22.5" customHeight="1">
      <c r="A99" s="331" t="str">
        <f>Rooster!A100</f>
        <v/>
      </c>
      <c r="B99" s="396" t="str">
        <f>Rooster!B100</f>
        <v/>
      </c>
      <c r="C99" s="15" t="str">
        <f>Rooster!C100</f>
        <v/>
      </c>
      <c r="D99" s="11" t="str">
        <f>Rooster!D100</f>
        <v/>
      </c>
      <c r="E99" s="77"/>
      <c r="F99" s="327" t="str">
        <f>Rooster!E100</f>
        <v/>
      </c>
      <c r="G99" s="319" t="str">
        <f>IFERROR(VLOOKUP(F99, Docenten!$A$2:$G$30, 7, FALSE), "0")</f>
        <v>0</v>
      </c>
      <c r="H99" s="320">
        <f t="shared" si="7"/>
        <v>0</v>
      </c>
      <c r="I99" s="327" t="str">
        <f>Rooster!H100</f>
        <v/>
      </c>
      <c r="J99" s="321" t="str">
        <f>IFERROR(VLOOKUP(I99, Locaties!$A$2:$G$15, 7, FALSE), "0")</f>
        <v>0</v>
      </c>
      <c r="K99" s="42">
        <f t="shared" si="2"/>
        <v>0</v>
      </c>
      <c r="L99" s="427" t="str">
        <f>Februari!L99</f>
        <v/>
      </c>
      <c r="M99" s="428" t="str">
        <f>Februari!M99</f>
        <v/>
      </c>
      <c r="N99" s="321" t="str">
        <f>IFERROR(VLOOKUP(M99, Tarieven!$A$1:$J$150, 10, FALSE), "0")</f>
        <v>0</v>
      </c>
      <c r="O99" s="427" t="str">
        <f>Februari!O99</f>
        <v/>
      </c>
      <c r="P99" s="428" t="str">
        <f>Februari!P99</f>
        <v/>
      </c>
      <c r="Q99" s="325" t="str">
        <f>IFERROR(VLOOKUP(P99, Tarieven!$A$2:$J$150, 10, FALSE), "0")</f>
        <v>0</v>
      </c>
      <c r="R99" s="444" t="str">
        <f>Februari!R99</f>
        <v/>
      </c>
      <c r="S99" s="428" t="str">
        <f>Februari!S99</f>
        <v/>
      </c>
      <c r="T99" s="325" t="str">
        <f>IFERROR(VLOOKUP(S99, Tarieven!$A$2:$J$150, 10, FALSE), "0")</f>
        <v>0</v>
      </c>
      <c r="U99" s="77" t="str">
        <f>Februari!U99</f>
        <v/>
      </c>
      <c r="V99" s="327" t="str">
        <f>Februari!V99</f>
        <v/>
      </c>
      <c r="W99" s="325" t="str">
        <f>IFERROR(VLOOKUP(V99, Tarieven!$A$2:$J$150, 10, FALSE), "0")</f>
        <v>0</v>
      </c>
      <c r="X99" s="138">
        <f>Februari!X99</f>
        <v>0</v>
      </c>
      <c r="Y99" s="398">
        <v>0.0</v>
      </c>
      <c r="Z99" s="329">
        <f t="shared" si="3"/>
        <v>0</v>
      </c>
      <c r="AA99" s="32">
        <f t="shared" si="4"/>
        <v>0</v>
      </c>
      <c r="AB99" s="32">
        <f t="shared" si="5"/>
        <v>0</v>
      </c>
      <c r="AC99" s="32">
        <f t="shared" si="6"/>
        <v>0</v>
      </c>
    </row>
    <row r="100" ht="22.5" customHeight="1">
      <c r="A100" s="331" t="str">
        <f>Rooster!A101</f>
        <v/>
      </c>
      <c r="B100" s="396" t="str">
        <f>Rooster!B101</f>
        <v/>
      </c>
      <c r="C100" s="15" t="str">
        <f>Rooster!C101</f>
        <v/>
      </c>
      <c r="D100" s="11" t="str">
        <f>Rooster!D101</f>
        <v/>
      </c>
      <c r="E100" s="77"/>
      <c r="F100" s="327" t="str">
        <f>Rooster!E101</f>
        <v/>
      </c>
      <c r="G100" s="319" t="str">
        <f>IFERROR(VLOOKUP(F100, Docenten!$A$2:$G$30, 7, FALSE), "0")</f>
        <v>0</v>
      </c>
      <c r="H100" s="320">
        <f t="shared" si="7"/>
        <v>0</v>
      </c>
      <c r="I100" s="327" t="str">
        <f>Rooster!H101</f>
        <v/>
      </c>
      <c r="J100" s="321" t="str">
        <f>IFERROR(VLOOKUP(I100, Locaties!$A$2:$G$15, 7, FALSE), "0")</f>
        <v>0</v>
      </c>
      <c r="K100" s="42">
        <f t="shared" si="2"/>
        <v>0</v>
      </c>
      <c r="L100" s="427" t="str">
        <f>Februari!L100</f>
        <v/>
      </c>
      <c r="M100" s="428" t="str">
        <f>Februari!M100</f>
        <v/>
      </c>
      <c r="N100" s="321" t="str">
        <f>IFERROR(VLOOKUP(M100, Tarieven!$A$1:$J$150, 10, FALSE), "0")</f>
        <v>0</v>
      </c>
      <c r="O100" s="427" t="str">
        <f>Februari!O100</f>
        <v/>
      </c>
      <c r="P100" s="428" t="str">
        <f>Februari!P100</f>
        <v/>
      </c>
      <c r="Q100" s="325" t="str">
        <f>IFERROR(VLOOKUP(P100, Tarieven!$A$2:$J$150, 10, FALSE), "0")</f>
        <v>0</v>
      </c>
      <c r="R100" s="444" t="str">
        <f>Februari!R100</f>
        <v/>
      </c>
      <c r="S100" s="428" t="str">
        <f>Februari!S100</f>
        <v/>
      </c>
      <c r="T100" s="325" t="str">
        <f>IFERROR(VLOOKUP(S100, Tarieven!$A$2:$J$150, 10, FALSE), "0")</f>
        <v>0</v>
      </c>
      <c r="U100" s="77" t="str">
        <f>Februari!U100</f>
        <v/>
      </c>
      <c r="V100" s="327" t="str">
        <f>Februari!V100</f>
        <v/>
      </c>
      <c r="W100" s="325" t="str">
        <f>IFERROR(VLOOKUP(V100, Tarieven!$A$2:$J$150, 10, FALSE), "0")</f>
        <v>0</v>
      </c>
      <c r="X100" s="138">
        <f>Februari!X100</f>
        <v>0</v>
      </c>
      <c r="Y100" s="398">
        <v>0.0</v>
      </c>
      <c r="Z100" s="329">
        <f t="shared" si="3"/>
        <v>0</v>
      </c>
      <c r="AA100" s="32">
        <f t="shared" si="4"/>
        <v>0</v>
      </c>
      <c r="AB100" s="32">
        <f t="shared" si="5"/>
        <v>0</v>
      </c>
      <c r="AC100" s="32">
        <f t="shared" si="6"/>
        <v>0</v>
      </c>
    </row>
    <row r="101" ht="22.5" customHeight="1">
      <c r="A101" s="331" t="str">
        <f>Rooster!A102</f>
        <v/>
      </c>
      <c r="B101" s="396" t="str">
        <f>Rooster!B102</f>
        <v/>
      </c>
      <c r="C101" s="15" t="str">
        <f>Rooster!C102</f>
        <v/>
      </c>
      <c r="D101" s="11" t="str">
        <f>Rooster!D102</f>
        <v/>
      </c>
      <c r="E101" s="426"/>
      <c r="F101" s="331" t="str">
        <f>Rooster!E102</f>
        <v/>
      </c>
      <c r="G101" s="319" t="str">
        <f>IFERROR(VLOOKUP(F101, Docenten!$A$2:$G$30, 7, FALSE), "0")</f>
        <v>0</v>
      </c>
      <c r="H101" s="320">
        <f t="shared" si="7"/>
        <v>0</v>
      </c>
      <c r="I101" s="331" t="str">
        <f>Rooster!H102</f>
        <v/>
      </c>
      <c r="J101" s="321" t="str">
        <f>IFERROR(VLOOKUP(I101, Locaties!$A$2:$G$15, 7, FALSE), "0")</f>
        <v>0</v>
      </c>
      <c r="K101" s="42">
        <f t="shared" si="2"/>
        <v>0</v>
      </c>
      <c r="L101" s="450">
        <f>SUM(L2:L100)</f>
        <v>140</v>
      </c>
      <c r="M101" s="451"/>
      <c r="N101" s="321" t="str">
        <f>IFERROR(VLOOKUP(M101, Tarieven!$A$1:$J$150, 10, FALSE), "0")</f>
        <v>0</v>
      </c>
      <c r="O101" s="450">
        <f>SUM(O2:O100)</f>
        <v>70</v>
      </c>
      <c r="P101" s="451"/>
      <c r="Q101" s="325" t="str">
        <f>IFERROR(VLOOKUP(P101, Tarieven!$A$2:$J$150, 10, FALSE), "0")</f>
        <v>0</v>
      </c>
      <c r="R101" s="452">
        <f>SUM(R2:R100)</f>
        <v>24</v>
      </c>
      <c r="S101" s="451"/>
      <c r="T101" s="325" t="str">
        <f>IFERROR(VLOOKUP(S101, Tarieven!$A$2:$J$150, 10, FALSE), "0")</f>
        <v>0</v>
      </c>
      <c r="U101" s="413">
        <f>SUM(U2:U100)</f>
        <v>14</v>
      </c>
      <c r="V101" s="85"/>
      <c r="W101" s="325" t="str">
        <f>IFERROR(VLOOKUP(V101, Tarieven!$A$2:$J$150, 10, FALSE), "0")</f>
        <v>0</v>
      </c>
      <c r="X101" s="413">
        <f>SUM(X2:X100)</f>
        <v>220</v>
      </c>
      <c r="Y101" s="398">
        <v>0.0</v>
      </c>
      <c r="Z101" s="329">
        <f>SUM(Z2:Z100)</f>
        <v>468</v>
      </c>
      <c r="AA101" s="32">
        <f t="shared" si="4"/>
        <v>0</v>
      </c>
      <c r="AB101" s="32">
        <f t="shared" si="5"/>
        <v>0</v>
      </c>
      <c r="AC101" s="32">
        <f t="shared" si="6"/>
        <v>0</v>
      </c>
    </row>
  </sheetData>
  <conditionalFormatting sqref="AG7">
    <cfRule type="cellIs" dxfId="7" priority="1" operator="lessThan">
      <formula>0</formula>
    </cfRule>
  </conditionalFormatting>
  <conditionalFormatting sqref="AC2:AC101">
    <cfRule type="cellIs" dxfId="7" priority="2" operator="lessThan">
      <formula>0</formula>
    </cfRule>
  </conditionalFormatting>
  <dataValidations>
    <dataValidation type="list" allowBlank="1" sqref="A2:A101">
      <formula1>"Maandag,Dinsdag,Woensdag,Donderdag,Vrijdag,Zaterdag,Zondag"</formula1>
    </dataValidation>
    <dataValidation type="custom" allowBlank="1" showDropDown="1" sqref="B2:B101">
      <formula1>OR(TIMEVALUE(TEXT(B2, "hh:mm:ss"))=B2, AND(ISNUMBER(B2), LEFT(CELL("format", B2))="D"))</formula1>
    </dataValidation>
    <dataValidation type="custom" allowBlank="1" showDropDown="1" sqref="L2:L101 N2:N101 AA2:AB101">
      <formula1>AND(ISNUMBER(L2),(NOT(OR(NOT(ISERROR(DATEVALUE(L2))), AND(ISNUMBER(L2), LEFT(CELL("format", L2))="D")))))</formula1>
    </dataValidation>
    <dataValidation type="list" allowBlank="1" sqref="F2:F101 I2:I101 M2:M101 P2:P101 S2:S101 V2:V101">
      <formula1>#REF!</formula1>
    </dataValidation>
    <dataValidation allowBlank="1" showDropDown="1" sqref="D2:D101"/>
    <dataValidation type="custom" allowBlank="1" showDropDown="1" sqref="C2:C101 E2:E101 G2:H101 J2:K101 O2:O101 Q2:R101 T2:U101 W2:Z101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5.33"/>
    <col customWidth="1" min="2" max="2" width="13.67"/>
    <col customWidth="1" min="3" max="3" width="14.22"/>
    <col customWidth="1" min="4" max="4" width="22.0"/>
    <col customWidth="1" min="5" max="5" width="17.11"/>
    <col customWidth="1" min="6" max="6" width="15.11"/>
    <col customWidth="1" hidden="1" min="7" max="7" width="15.11"/>
    <col customWidth="1" min="8" max="9" width="15.11"/>
    <col customWidth="1" hidden="1" min="10" max="10" width="15.44"/>
    <col customWidth="1" min="11" max="11" width="15.44"/>
    <col customWidth="1" min="12" max="12" width="17.56"/>
    <col customWidth="1" min="13" max="13" width="20.0"/>
    <col customWidth="1" min="14" max="14" width="16.78"/>
    <col customWidth="1" min="15" max="15" width="17.56"/>
    <col customWidth="1" min="16" max="16" width="20.0"/>
    <col customWidth="1" min="17" max="17" width="14.78"/>
    <col customWidth="1" min="18" max="18" width="17.56"/>
    <col customWidth="1" min="19" max="19" width="20.0"/>
    <col customWidth="1" min="20" max="20" width="13.78"/>
    <col customWidth="1" min="21" max="21" width="16.67"/>
    <col customWidth="1" min="22" max="22" width="18.56"/>
    <col customWidth="1" min="23" max="23" width="13.78"/>
    <col customWidth="1" min="24" max="24" width="23.11"/>
    <col customWidth="1" min="25" max="25" width="20.56"/>
    <col customWidth="1" min="26" max="26" width="18.0"/>
    <col customWidth="1" min="27" max="27" width="16.33"/>
    <col customWidth="1" min="28" max="28" width="19.22"/>
    <col customWidth="1" min="29" max="30" width="16.89"/>
    <col customWidth="1" min="31" max="31" width="16.78"/>
    <col customWidth="1" min="32" max="32" width="16.89"/>
    <col customWidth="1" min="33" max="34" width="17.0"/>
  </cols>
  <sheetData>
    <row r="1" ht="22.5" customHeight="1">
      <c r="A1" s="1" t="s">
        <v>94</v>
      </c>
      <c r="B1" s="1" t="s">
        <v>95</v>
      </c>
      <c r="C1" s="1" t="s">
        <v>273</v>
      </c>
      <c r="D1" s="1" t="s">
        <v>98</v>
      </c>
      <c r="E1" s="302" t="s">
        <v>274</v>
      </c>
      <c r="F1" s="302" t="s">
        <v>99</v>
      </c>
      <c r="G1" s="303" t="s">
        <v>100</v>
      </c>
      <c r="H1" s="303" t="s">
        <v>275</v>
      </c>
      <c r="I1" s="304" t="s">
        <v>102</v>
      </c>
      <c r="J1" s="304" t="s">
        <v>103</v>
      </c>
      <c r="K1" s="304" t="s">
        <v>104</v>
      </c>
      <c r="L1" s="422" t="s">
        <v>276</v>
      </c>
      <c r="M1" s="422" t="s">
        <v>298</v>
      </c>
      <c r="N1" s="422" t="s">
        <v>321</v>
      </c>
      <c r="O1" s="423" t="s">
        <v>279</v>
      </c>
      <c r="P1" s="392" t="s">
        <v>300</v>
      </c>
      <c r="Q1" s="308" t="s">
        <v>281</v>
      </c>
      <c r="R1" s="424" t="s">
        <v>282</v>
      </c>
      <c r="S1" s="424" t="s">
        <v>302</v>
      </c>
      <c r="T1" s="310" t="s">
        <v>284</v>
      </c>
      <c r="U1" s="393" t="s">
        <v>285</v>
      </c>
      <c r="V1" s="393" t="s">
        <v>304</v>
      </c>
      <c r="W1" s="311" t="s">
        <v>305</v>
      </c>
      <c r="X1" s="394" t="s">
        <v>306</v>
      </c>
      <c r="Y1" s="395" t="s">
        <v>307</v>
      </c>
      <c r="Z1" s="314" t="s">
        <v>294</v>
      </c>
      <c r="AA1" s="314" t="s">
        <v>295</v>
      </c>
      <c r="AB1" s="1" t="s">
        <v>308</v>
      </c>
      <c r="AC1" s="1" t="s">
        <v>297</v>
      </c>
    </row>
    <row r="2" ht="22.5" customHeight="1">
      <c r="A2" s="331" t="str">
        <f>Rooster!A3</f>
        <v/>
      </c>
      <c r="B2" s="396" t="str">
        <f>Rooster!B3</f>
        <v/>
      </c>
      <c r="C2" s="15" t="str">
        <f>Rooster!C3</f>
        <v/>
      </c>
      <c r="D2" s="11" t="str">
        <f>Rooster!D3</f>
        <v/>
      </c>
      <c r="E2" s="77"/>
      <c r="F2" s="327" t="str">
        <f>Rooster!E3</f>
        <v/>
      </c>
      <c r="G2" s="319" t="str">
        <f>IFERROR(VLOOKUP(F2, Docenten!$A$2:$G$30, 7, FALSE), "0")</f>
        <v>0</v>
      </c>
      <c r="H2" s="320">
        <f t="shared" ref="H2:H42" si="1">SUM(G2/60)*C2</f>
        <v>0</v>
      </c>
      <c r="I2" s="327" t="str">
        <f>Rooster!H3</f>
        <v/>
      </c>
      <c r="J2" s="321" t="str">
        <f>IFERROR(VLOOKUP(I2, Locaties!$A$2:$G$15, 7, FALSE), "0")</f>
        <v>0</v>
      </c>
      <c r="K2" s="42">
        <f t="shared" ref="K2:K101" si="2">SUM(J2/60)*C2</f>
        <v>0</v>
      </c>
      <c r="L2" s="427" t="str">
        <f>Maart!L2</f>
        <v/>
      </c>
      <c r="M2" s="428" t="str">
        <f>Maart!M2</f>
        <v/>
      </c>
      <c r="N2" s="325" t="str">
        <f>IFERROR(VLOOKUP(M2, Tarieven[], 10, FALSE), "0")</f>
        <v>0</v>
      </c>
      <c r="O2" s="427" t="str">
        <f>Maart!O2</f>
        <v/>
      </c>
      <c r="P2" s="428" t="str">
        <f>Maart!P2</f>
        <v/>
      </c>
      <c r="Q2" s="325" t="str">
        <f>IFERROR(VLOOKUP(P2, Tarieven!$A$2:$J$150, 10, FALSE), "0")</f>
        <v>0</v>
      </c>
      <c r="R2" s="444" t="str">
        <f>Maart!R2</f>
        <v/>
      </c>
      <c r="S2" s="428" t="str">
        <f>Maart!S2</f>
        <v/>
      </c>
      <c r="T2" s="325" t="str">
        <f>IFERROR(VLOOKUP(S2, Tarieven!$A$2:$J$150, 10, FALSE), "0")</f>
        <v>0</v>
      </c>
      <c r="U2" s="77" t="str">
        <f>Maart!U2</f>
        <v/>
      </c>
      <c r="V2" s="327" t="str">
        <f>Maart!V2</f>
        <v/>
      </c>
      <c r="W2" s="325" t="str">
        <f>IFERROR(VLOOKUP(V2, Tarieven!$A$2:$J$150, 10, FALSE), "0")</f>
        <v>0</v>
      </c>
      <c r="X2" s="138">
        <f>Maart!X2</f>
        <v>0</v>
      </c>
      <c r="Y2" s="398">
        <v>0.0</v>
      </c>
      <c r="Z2" s="329">
        <f t="shared" ref="Z2:Z100" si="3">SUM(L2+O2+R2+U2+X2)</f>
        <v>0</v>
      </c>
      <c r="AA2" s="32">
        <f t="shared" ref="AA2:AA101" si="4">SUM(H2+K2)*E2</f>
        <v>0</v>
      </c>
      <c r="AB2" s="32">
        <f t="shared" ref="AB2:AB101" si="5">SUM((L2*N2)+(O2*Q2)+(R2*T2)+(U2*W2)+Y2)</f>
        <v>0</v>
      </c>
      <c r="AC2" s="32">
        <f t="shared" ref="AC2:AC101" si="6">SUM(AB2-AA2)</f>
        <v>0</v>
      </c>
      <c r="AE2" s="154" t="s">
        <v>309</v>
      </c>
      <c r="AF2" s="154" t="s">
        <v>310</v>
      </c>
      <c r="AG2" s="109" t="s">
        <v>311</v>
      </c>
    </row>
    <row r="3" ht="22.5" customHeight="1">
      <c r="A3" s="331" t="str">
        <f>Rooster!A4</f>
        <v/>
      </c>
      <c r="B3" s="396" t="str">
        <f>Rooster!B4</f>
        <v/>
      </c>
      <c r="C3" s="15" t="str">
        <f>Rooster!C4</f>
        <v/>
      </c>
      <c r="D3" s="11" t="str">
        <f>Rooster!D4</f>
        <v/>
      </c>
      <c r="E3" s="77"/>
      <c r="F3" s="327" t="str">
        <f>Rooster!E4</f>
        <v/>
      </c>
      <c r="G3" s="319" t="str">
        <f>IFERROR(VLOOKUP(F3, Docenten!$A$2:$G$30, 7, FALSE), "0")</f>
        <v>0</v>
      </c>
      <c r="H3" s="320">
        <f t="shared" si="1"/>
        <v>0</v>
      </c>
      <c r="I3" s="327" t="str">
        <f>Rooster!H4</f>
        <v/>
      </c>
      <c r="J3" s="321" t="str">
        <f>IFERROR(VLOOKUP(I3, Locaties!$A$2:$G$15, 7, FALSE), "0")</f>
        <v>0</v>
      </c>
      <c r="K3" s="42">
        <f t="shared" si="2"/>
        <v>0</v>
      </c>
      <c r="L3" s="427" t="str">
        <f>Maart!L3</f>
        <v/>
      </c>
      <c r="M3" s="428" t="str">
        <f>Maart!M3</f>
        <v/>
      </c>
      <c r="N3" s="325" t="str">
        <f>IFERROR(VLOOKUP(M3, Tarieven[], 10, FALSE), "0")</f>
        <v>0</v>
      </c>
      <c r="O3" s="427" t="str">
        <f>Maart!O3</f>
        <v/>
      </c>
      <c r="P3" s="428" t="str">
        <f>Maart!P3</f>
        <v/>
      </c>
      <c r="Q3" s="325" t="str">
        <f>IFERROR(VLOOKUP(P3, Tarieven!$A$2:$J$150, 10, FALSE), "0")</f>
        <v>0</v>
      </c>
      <c r="R3" s="444" t="str">
        <f>Maart!R3</f>
        <v/>
      </c>
      <c r="S3" s="428" t="str">
        <f>Maart!S3</f>
        <v/>
      </c>
      <c r="T3" s="325" t="str">
        <f>IFERROR(VLOOKUP(S3, Tarieven!$A$2:$J$150, 10, FALSE), "0")</f>
        <v>0</v>
      </c>
      <c r="U3" s="77" t="str">
        <f>Maart!U3</f>
        <v/>
      </c>
      <c r="V3" s="327" t="str">
        <f>Maart!V3</f>
        <v/>
      </c>
      <c r="W3" s="325" t="str">
        <f>IFERROR(VLOOKUP(V3, Tarieven!$A$2:$J$150, 10, FALSE), "0")</f>
        <v>0</v>
      </c>
      <c r="X3" s="138">
        <f>Maart!X3</f>
        <v>0</v>
      </c>
      <c r="Y3" s="398">
        <v>0.0</v>
      </c>
      <c r="Z3" s="329">
        <f t="shared" si="3"/>
        <v>0</v>
      </c>
      <c r="AA3" s="32">
        <f t="shared" si="4"/>
        <v>0</v>
      </c>
      <c r="AB3" s="32">
        <f t="shared" si="5"/>
        <v>0</v>
      </c>
      <c r="AC3" s="32">
        <f t="shared" si="6"/>
        <v>0</v>
      </c>
      <c r="AD3" s="130"/>
      <c r="AE3" s="159" t="s">
        <v>312</v>
      </c>
      <c r="AF3" s="32">
        <f>SUM(AB2:AB101)</f>
        <v>8428.350333</v>
      </c>
      <c r="AG3" s="160"/>
    </row>
    <row r="4" ht="22.5" customHeight="1">
      <c r="A4" s="331" t="str">
        <f>Rooster!A5</f>
        <v>Maandag</v>
      </c>
      <c r="B4" s="396">
        <f>Rooster!B5</f>
        <v>0.625</v>
      </c>
      <c r="C4" s="15">
        <f>Rooster!C5</f>
        <v>60</v>
      </c>
      <c r="D4" s="11" t="str">
        <f>Rooster!D5</f>
        <v>Kleuterdans</v>
      </c>
      <c r="E4" s="77"/>
      <c r="F4" s="327"/>
      <c r="G4" s="319" t="str">
        <f>IFERROR(VLOOKUP(F4, Docenten!$A$2:$G$30, 7, FALSE), "0")</f>
        <v>0</v>
      </c>
      <c r="H4" s="320">
        <f t="shared" si="1"/>
        <v>0</v>
      </c>
      <c r="I4" s="327"/>
      <c r="J4" s="321" t="str">
        <f>IFERROR(VLOOKUP(I4, Locaties!$A$2:$G$15, 7, FALSE), "0")</f>
        <v>0</v>
      </c>
      <c r="K4" s="42">
        <f t="shared" si="2"/>
        <v>0</v>
      </c>
      <c r="L4" s="427" t="str">
        <f>Maart!L4</f>
        <v/>
      </c>
      <c r="M4" s="428" t="str">
        <f>Maart!M4</f>
        <v/>
      </c>
      <c r="N4" s="325" t="str">
        <f>IFERROR(VLOOKUP(M4, Tarieven[], 10, FALSE), "0")</f>
        <v>0</v>
      </c>
      <c r="O4" s="427" t="str">
        <f>Maart!O4</f>
        <v/>
      </c>
      <c r="P4" s="428" t="str">
        <f>Maart!P4</f>
        <v/>
      </c>
      <c r="Q4" s="325" t="str">
        <f>IFERROR(VLOOKUP(P4, Tarieven!$A$2:$J$150, 10, FALSE), "0")</f>
        <v>0</v>
      </c>
      <c r="R4" s="444" t="str">
        <f>Maart!R4</f>
        <v/>
      </c>
      <c r="S4" s="428" t="str">
        <f>Maart!S4</f>
        <v/>
      </c>
      <c r="T4" s="325" t="str">
        <f>IFERROR(VLOOKUP(S4, Tarieven!$A$2:$J$150, 10, FALSE), "0")</f>
        <v>0</v>
      </c>
      <c r="U4" s="77" t="str">
        <f>Maart!U4</f>
        <v/>
      </c>
      <c r="V4" s="327" t="str">
        <f>Maart!V4</f>
        <v/>
      </c>
      <c r="W4" s="325" t="str">
        <f>IFERROR(VLOOKUP(V4, Tarieven!$A$2:$J$150, 10, FALSE), "0")</f>
        <v>0</v>
      </c>
      <c r="X4" s="138">
        <f>Maart!X4</f>
        <v>0</v>
      </c>
      <c r="Y4" s="398">
        <v>0.0</v>
      </c>
      <c r="Z4" s="329">
        <f t="shared" si="3"/>
        <v>0</v>
      </c>
      <c r="AA4" s="32">
        <f t="shared" si="4"/>
        <v>0</v>
      </c>
      <c r="AB4" s="32">
        <f t="shared" si="5"/>
        <v>0</v>
      </c>
      <c r="AC4" s="32">
        <f t="shared" si="6"/>
        <v>0</v>
      </c>
      <c r="AD4" s="130"/>
      <c r="AE4" s="159" t="s">
        <v>313</v>
      </c>
      <c r="AF4" s="32">
        <f>'Extra activiteiten'!K10</f>
        <v>220</v>
      </c>
      <c r="AG4" s="159"/>
    </row>
    <row r="5" ht="22.5" customHeight="1">
      <c r="A5" s="17" t="s">
        <v>112</v>
      </c>
      <c r="B5" s="396">
        <v>0.625</v>
      </c>
      <c r="C5" s="15">
        <v>60.0</v>
      </c>
      <c r="D5" s="11" t="s">
        <v>130</v>
      </c>
      <c r="E5" s="77">
        <v>0.0</v>
      </c>
      <c r="F5" s="327" t="str">
        <f>Rooster!E6</f>
        <v>Lotte</v>
      </c>
      <c r="G5" s="319">
        <f>IFERROR(VLOOKUP(F5, Docenten!$A$2:$G$30, 7, FALSE), "0")</f>
        <v>22.5</v>
      </c>
      <c r="H5" s="320">
        <f t="shared" si="1"/>
        <v>22.5</v>
      </c>
      <c r="I5" s="327" t="str">
        <f>Rooster!H6</f>
        <v>Santpoort Zuid</v>
      </c>
      <c r="J5" s="321"/>
      <c r="K5" s="42">
        <f t="shared" si="2"/>
        <v>0</v>
      </c>
      <c r="L5" s="427" t="str">
        <f>Maart!L5</f>
        <v/>
      </c>
      <c r="M5" s="428" t="str">
        <f>Maart!M5</f>
        <v/>
      </c>
      <c r="N5" s="325" t="str">
        <f>IFERROR(VLOOKUP(M5, Tarieven[], 10, FALSE), "0")</f>
        <v>0</v>
      </c>
      <c r="O5" s="427" t="str">
        <f>Maart!O5</f>
        <v/>
      </c>
      <c r="P5" s="428" t="str">
        <f>Maart!P5</f>
        <v/>
      </c>
      <c r="Q5" s="325" t="str">
        <f>IFERROR(VLOOKUP(P5, Tarieven!$A$2:$J$150, 10, FALSE), "0")</f>
        <v>0</v>
      </c>
      <c r="R5" s="444" t="str">
        <f>Maart!R5</f>
        <v/>
      </c>
      <c r="S5" s="428" t="str">
        <f>Maart!S5</f>
        <v/>
      </c>
      <c r="T5" s="325" t="str">
        <f>IFERROR(VLOOKUP(S5, Tarieven!$A$2:$J$150, 10, FALSE), "0")</f>
        <v>0</v>
      </c>
      <c r="U5" s="77" t="str">
        <f>Maart!U5</f>
        <v/>
      </c>
      <c r="V5" s="327" t="str">
        <f>Maart!V5</f>
        <v/>
      </c>
      <c r="W5" s="325" t="str">
        <f>IFERROR(VLOOKUP(V5, Tarieven!$A$2:$J$150, 10, FALSE), "0")</f>
        <v>0</v>
      </c>
      <c r="X5" s="138">
        <f>Maart!X5</f>
        <v>0</v>
      </c>
      <c r="Y5" s="398">
        <v>0.0</v>
      </c>
      <c r="Z5" s="329">
        <f t="shared" si="3"/>
        <v>0</v>
      </c>
      <c r="AA5" s="32">
        <f t="shared" si="4"/>
        <v>0</v>
      </c>
      <c r="AB5" s="32">
        <f t="shared" si="5"/>
        <v>0</v>
      </c>
      <c r="AC5" s="32">
        <f t="shared" si="6"/>
        <v>0</v>
      </c>
      <c r="AE5" s="159" t="s">
        <v>314</v>
      </c>
      <c r="AF5" s="32">
        <f>SUM(April[Kosten per maand])</f>
        <v>3639.35</v>
      </c>
      <c r="AG5" s="159"/>
    </row>
    <row r="6" ht="22.5" customHeight="1">
      <c r="A6" s="331" t="str">
        <f>Rooster!A7</f>
        <v>Maandag</v>
      </c>
      <c r="B6" s="396">
        <f>Rooster!B7</f>
        <v>0.6666666667</v>
      </c>
      <c r="C6" s="15">
        <f>Rooster!C7</f>
        <v>60</v>
      </c>
      <c r="D6" s="11" t="str">
        <f>Rooster!D7</f>
        <v>Urban-Pop-Show 10+</v>
      </c>
      <c r="E6" s="77">
        <v>2.0</v>
      </c>
      <c r="F6" s="70" t="s">
        <v>318</v>
      </c>
      <c r="G6" s="319" t="str">
        <f>IFERROR(VLOOKUP(F6, Docenten!$A$2:$G$30, 7, FALSE), "0")</f>
        <v>0</v>
      </c>
      <c r="H6" s="320">
        <f t="shared" si="1"/>
        <v>0</v>
      </c>
      <c r="I6" s="327" t="str">
        <f>Rooster!H7</f>
        <v>Santpoort Zuid</v>
      </c>
      <c r="J6" s="321">
        <f>IFERROR(VLOOKUP(I6, Locaties!$A$2:$G$15, 7, FALSE), "0")</f>
        <v>18.9</v>
      </c>
      <c r="K6" s="42">
        <f t="shared" si="2"/>
        <v>18.9</v>
      </c>
      <c r="L6" s="427">
        <f>Maart!L6</f>
        <v>7</v>
      </c>
      <c r="M6" s="428" t="str">
        <f>Maart!M6</f>
        <v>1x per week abbo</v>
      </c>
      <c r="N6" s="325">
        <f>IFERROR(VLOOKUP(M6, Tarieven[], 10, FALSE), "0")</f>
        <v>31</v>
      </c>
      <c r="O6" s="427">
        <f>Maart!O6</f>
        <v>1</v>
      </c>
      <c r="P6" s="428" t="str">
        <f>Maart!P6</f>
        <v>Cheer regulier +1 abbo</v>
      </c>
      <c r="Q6" s="325">
        <f>IFERROR(VLOOKUP(P6, Tarieven!$A$2:$J$150, 10, FALSE), "0")</f>
        <v>32.25</v>
      </c>
      <c r="R6" s="444">
        <f>Maart!R6</f>
        <v>1</v>
      </c>
      <c r="S6" s="428" t="str">
        <f>Maart!S6</f>
        <v>2x per week abbo</v>
      </c>
      <c r="T6" s="325">
        <f>IFERROR(VLOOKUP(S6, Tarieven!$A$2:$J$150, 10, FALSE), "0")</f>
        <v>28.55</v>
      </c>
      <c r="U6" s="77">
        <f>Maart!U6</f>
        <v>1</v>
      </c>
      <c r="V6" s="327" t="str">
        <f>Maart!V6</f>
        <v>Cheer regulier + onbeperkt abbo</v>
      </c>
      <c r="W6" s="325">
        <f>IFERROR(VLOOKUP(V6, Tarieven!$A$2:$J$150, 10, FALSE), "0")</f>
        <v>44.45</v>
      </c>
      <c r="X6" s="138">
        <f>Maart!X6</f>
        <v>4</v>
      </c>
      <c r="Y6" s="398">
        <v>0.0</v>
      </c>
      <c r="Z6" s="329">
        <f t="shared" si="3"/>
        <v>14</v>
      </c>
      <c r="AA6" s="32">
        <f t="shared" si="4"/>
        <v>37.8</v>
      </c>
      <c r="AB6" s="32">
        <f t="shared" si="5"/>
        <v>322.25</v>
      </c>
      <c r="AC6" s="32">
        <f t="shared" si="6"/>
        <v>284.45</v>
      </c>
      <c r="AD6" s="130"/>
      <c r="AE6" s="159" t="s">
        <v>315</v>
      </c>
      <c r="AF6" s="408">
        <f>Kosten!J69</f>
        <v>2702.99</v>
      </c>
      <c r="AG6" s="159" t="s">
        <v>316</v>
      </c>
    </row>
    <row r="7" ht="22.5" customHeight="1">
      <c r="A7" s="331" t="str">
        <f>Rooster!A8</f>
        <v>Maandag</v>
      </c>
      <c r="B7" s="396">
        <f>Rooster!B8</f>
        <v>0.7083333333</v>
      </c>
      <c r="C7" s="15">
        <f>Rooster!C8</f>
        <v>60</v>
      </c>
      <c r="D7" s="11" t="str">
        <f>Rooster!D8</f>
        <v>Urban-Pop-Show 12+</v>
      </c>
      <c r="E7" s="77">
        <v>2.0</v>
      </c>
      <c r="F7" s="327" t="str">
        <f>Rooster!E8</f>
        <v>Nova</v>
      </c>
      <c r="G7" s="319">
        <f>IFERROR(VLOOKUP(F7, Docenten!$A$2:$G$30, 7, FALSE), "0")</f>
        <v>22.5</v>
      </c>
      <c r="H7" s="320">
        <f t="shared" si="1"/>
        <v>22.5</v>
      </c>
      <c r="I7" s="327" t="str">
        <f>Rooster!H8</f>
        <v>Santpoort Zuid</v>
      </c>
      <c r="J7" s="321">
        <f>IFERROR(VLOOKUP(I7, Locaties!$A$2:$G$15, 7, FALSE), "0")</f>
        <v>18.9</v>
      </c>
      <c r="K7" s="42">
        <f t="shared" si="2"/>
        <v>18.9</v>
      </c>
      <c r="L7" s="427">
        <f>Maart!L7</f>
        <v>3</v>
      </c>
      <c r="M7" s="428" t="str">
        <f>Maart!M7</f>
        <v>2x per week abbo</v>
      </c>
      <c r="N7" s="325">
        <f>IFERROR(VLOOKUP(M7, Tarieven[], 10, FALSE), "0")</f>
        <v>28.55</v>
      </c>
      <c r="O7" s="427">
        <f>Maart!O7</f>
        <v>1</v>
      </c>
      <c r="P7" s="428" t="str">
        <f>Maart!P7</f>
        <v>1x per week </v>
      </c>
      <c r="Q7" s="325">
        <f>IFERROR(VLOOKUP(P7, Tarieven!$A$2:$J$150, 10, FALSE), "0")</f>
        <v>279</v>
      </c>
      <c r="R7" s="444">
        <f>Maart!R7</f>
        <v>1</v>
      </c>
      <c r="S7" s="428" t="str">
        <f>Maart!S7</f>
        <v>Cheer regulier +1 abbo</v>
      </c>
      <c r="T7" s="325">
        <f>IFERROR(VLOOKUP(S7, Tarieven!$A$2:$J$150, 10, FALSE), "0")</f>
        <v>32.25</v>
      </c>
      <c r="U7" s="77" t="str">
        <f>Maart!U7</f>
        <v/>
      </c>
      <c r="V7" s="327" t="str">
        <f>Maart!V7</f>
        <v/>
      </c>
      <c r="W7" s="325" t="str">
        <f>IFERROR(VLOOKUP(V7, Tarieven!$A$2:$J$150, 10, FALSE), "0")</f>
        <v>0</v>
      </c>
      <c r="X7" s="138">
        <f>Maart!X7</f>
        <v>11</v>
      </c>
      <c r="Y7" s="398">
        <v>0.0</v>
      </c>
      <c r="Z7" s="329">
        <f t="shared" si="3"/>
        <v>16</v>
      </c>
      <c r="AA7" s="32">
        <f t="shared" si="4"/>
        <v>82.8</v>
      </c>
      <c r="AB7" s="32">
        <f t="shared" si="5"/>
        <v>396.9</v>
      </c>
      <c r="AC7" s="32">
        <f t="shared" si="6"/>
        <v>314.1</v>
      </c>
      <c r="AD7" s="409"/>
      <c r="AE7" s="410" t="s">
        <v>317</v>
      </c>
      <c r="AF7" s="411">
        <f>SUM(AF3+AF4)-AF5-AF6</f>
        <v>2306.010333</v>
      </c>
      <c r="AG7" s="412">
        <f>'Doel vs Werkelijkheid'!B2</f>
        <v>3000</v>
      </c>
    </row>
    <row r="8" ht="22.5" customHeight="1">
      <c r="A8" s="331" t="str">
        <f>Rooster!A9</f>
        <v>Maandag</v>
      </c>
      <c r="B8" s="396">
        <f>Rooster!B9</f>
        <v>0.75</v>
      </c>
      <c r="C8" s="15">
        <f>Rooster!C9</f>
        <v>60</v>
      </c>
      <c r="D8" s="11" t="str">
        <f>Rooster!D9</f>
        <v>Selectie Show</v>
      </c>
      <c r="E8" s="77">
        <v>2.0</v>
      </c>
      <c r="F8" s="327" t="str">
        <f>Rooster!E9</f>
        <v>Nova</v>
      </c>
      <c r="G8" s="319">
        <f>IFERROR(VLOOKUP(F8, Docenten!$A$2:$G$30, 7, FALSE), "0")</f>
        <v>22.5</v>
      </c>
      <c r="H8" s="320">
        <f t="shared" si="1"/>
        <v>22.5</v>
      </c>
      <c r="I8" s="327" t="str">
        <f>Rooster!H9</f>
        <v>Santpoort Zuid</v>
      </c>
      <c r="J8" s="321">
        <f>IFERROR(VLOOKUP(I8, Locaties!$A$2:$G$15, 7, FALSE), "0")</f>
        <v>18.9</v>
      </c>
      <c r="K8" s="42">
        <f t="shared" si="2"/>
        <v>18.9</v>
      </c>
      <c r="L8" s="427" t="str">
        <f>Maart!L8</f>
        <v/>
      </c>
      <c r="M8" s="428" t="str">
        <f>Maart!M8</f>
        <v/>
      </c>
      <c r="N8" s="325" t="str">
        <f>IFERROR(VLOOKUP(M8, Tarieven[], 10, FALSE), "0")</f>
        <v>0</v>
      </c>
      <c r="O8" s="427">
        <f>Maart!O8</f>
        <v>3</v>
      </c>
      <c r="P8" s="428" t="str">
        <f>Maart!P8</f>
        <v>2x per week abbo</v>
      </c>
      <c r="Q8" s="325">
        <f>IFERROR(VLOOKUP(P8, Tarieven!$A$2:$J$150, 10, FALSE), "0")</f>
        <v>28.55</v>
      </c>
      <c r="R8" s="444">
        <f>Maart!R8</f>
        <v>2</v>
      </c>
      <c r="S8" s="428" t="str">
        <f>Maart!S8</f>
        <v>3x per week abbo</v>
      </c>
      <c r="T8" s="325">
        <f>IFERROR(VLOOKUP(S8, Tarieven!$A$2:$J$150, 10, FALSE), "0")</f>
        <v>28.93333333</v>
      </c>
      <c r="U8" s="77">
        <f>Maart!U8</f>
        <v>3</v>
      </c>
      <c r="V8" s="327" t="str">
        <f>Maart!V8</f>
        <v>Onbeperkt abbo</v>
      </c>
      <c r="W8" s="325">
        <f>IFERROR(VLOOKUP(V8, Tarieven!$A$2:$J$150, 10, FALSE), "0")</f>
        <v>27</v>
      </c>
      <c r="X8" s="138">
        <f>Maart!X8</f>
        <v>4</v>
      </c>
      <c r="Y8" s="398">
        <v>0.0</v>
      </c>
      <c r="Z8" s="329">
        <f t="shared" si="3"/>
        <v>12</v>
      </c>
      <c r="AA8" s="32">
        <f t="shared" si="4"/>
        <v>82.8</v>
      </c>
      <c r="AB8" s="32">
        <f t="shared" si="5"/>
        <v>224.5166667</v>
      </c>
      <c r="AC8" s="32">
        <f t="shared" si="6"/>
        <v>141.7166667</v>
      </c>
      <c r="AE8" s="160"/>
      <c r="AF8" s="160"/>
      <c r="AG8" s="160"/>
    </row>
    <row r="9" ht="22.5" customHeight="1">
      <c r="A9" s="331" t="str">
        <f>Rooster!A10</f>
        <v>Maandag</v>
      </c>
      <c r="B9" s="396">
        <f>Rooster!B10</f>
        <v>0.7916666667</v>
      </c>
      <c r="C9" s="15">
        <f>Rooster!C10</f>
        <v>60</v>
      </c>
      <c r="D9" s="11" t="str">
        <f>Rooster!D10</f>
        <v>Commercial 16+</v>
      </c>
      <c r="E9" s="77">
        <v>2.0</v>
      </c>
      <c r="F9" s="327" t="str">
        <f>Rooster!E10</f>
        <v>Nova</v>
      </c>
      <c r="G9" s="319">
        <f>IFERROR(VLOOKUP(F9, Docenten!$A$2:$G$30, 7, FALSE), "0")</f>
        <v>22.5</v>
      </c>
      <c r="H9" s="320">
        <f t="shared" si="1"/>
        <v>22.5</v>
      </c>
      <c r="I9" s="327" t="str">
        <f>Rooster!H10</f>
        <v>Santpoort Zuid</v>
      </c>
      <c r="J9" s="321">
        <f>IFERROR(VLOOKUP(I9, Locaties!$A$2:$G$15, 7, FALSE), "0")</f>
        <v>18.9</v>
      </c>
      <c r="K9" s="42">
        <f t="shared" si="2"/>
        <v>18.9</v>
      </c>
      <c r="L9" s="427">
        <f>Maart!L9</f>
        <v>2</v>
      </c>
      <c r="M9" s="428" t="str">
        <f>Maart!M9</f>
        <v>3x per week abbo</v>
      </c>
      <c r="N9" s="325">
        <f>IFERROR(VLOOKUP(M9, Tarieven[], 10, FALSE), "0")</f>
        <v>28.93333333</v>
      </c>
      <c r="O9" s="427">
        <f>Maart!O9</f>
        <v>3</v>
      </c>
      <c r="P9" s="428" t="str">
        <f>Maart!P9</f>
        <v>2x per week abbo</v>
      </c>
      <c r="Q9" s="325">
        <f>IFERROR(VLOOKUP(P9, Tarieven!$A$2:$J$150, 10, FALSE), "0")</f>
        <v>28.55</v>
      </c>
      <c r="R9" s="444">
        <f>Maart!R9</f>
        <v>2</v>
      </c>
      <c r="S9" s="428" t="str">
        <f>Maart!S9</f>
        <v>Onbeperkt abbo</v>
      </c>
      <c r="T9" s="325">
        <f>IFERROR(VLOOKUP(S9, Tarieven!$A$2:$J$150, 10, FALSE), "0")</f>
        <v>27</v>
      </c>
      <c r="U9" s="77">
        <f>Maart!U9</f>
        <v>2</v>
      </c>
      <c r="V9" s="327" t="str">
        <f>Maart!V9</f>
        <v>1x per week abbo</v>
      </c>
      <c r="W9" s="325">
        <f>IFERROR(VLOOKUP(V9, Tarieven!$A$2:$J$150, 10, FALSE), "0")</f>
        <v>31</v>
      </c>
      <c r="X9" s="138">
        <f>Maart!X9</f>
        <v>5</v>
      </c>
      <c r="Y9" s="398">
        <v>0.0</v>
      </c>
      <c r="Z9" s="329">
        <f t="shared" si="3"/>
        <v>14</v>
      </c>
      <c r="AA9" s="32">
        <f t="shared" si="4"/>
        <v>82.8</v>
      </c>
      <c r="AB9" s="32">
        <f t="shared" si="5"/>
        <v>259.5166667</v>
      </c>
      <c r="AC9" s="32">
        <f t="shared" si="6"/>
        <v>176.7166667</v>
      </c>
      <c r="AE9" s="159" t="s">
        <v>19</v>
      </c>
      <c r="AF9" s="413">
        <f>Z101</f>
        <v>468</v>
      </c>
      <c r="AG9" s="160"/>
    </row>
    <row r="10" ht="22.5" customHeight="1">
      <c r="A10" s="331" t="str">
        <f>Rooster!A11</f>
        <v>Maandag</v>
      </c>
      <c r="B10" s="396">
        <f>Rooster!B11</f>
        <v>0.8333333333</v>
      </c>
      <c r="C10" s="15">
        <f>Rooster!C11</f>
        <v>60</v>
      </c>
      <c r="D10" s="11" t="str">
        <f>Rooster!D11</f>
        <v>Commercial 20+</v>
      </c>
      <c r="E10" s="77">
        <v>2.0</v>
      </c>
      <c r="F10" s="327" t="str">
        <f>Rooster!E11</f>
        <v>Nova</v>
      </c>
      <c r="G10" s="319">
        <f>IFERROR(VLOOKUP(F10, Docenten!$A$2:$G$30, 7, FALSE), "0")</f>
        <v>22.5</v>
      </c>
      <c r="H10" s="320">
        <f t="shared" si="1"/>
        <v>22.5</v>
      </c>
      <c r="I10" s="327" t="str">
        <f>Rooster!H11</f>
        <v>Santpoort Zuid</v>
      </c>
      <c r="J10" s="321">
        <f>IFERROR(VLOOKUP(I10, Locaties!$A$2:$G$15, 7, FALSE), "0")</f>
        <v>18.9</v>
      </c>
      <c r="K10" s="42">
        <f t="shared" si="2"/>
        <v>18.9</v>
      </c>
      <c r="L10" s="427">
        <f>Maart!L10</f>
        <v>5</v>
      </c>
      <c r="M10" s="428" t="str">
        <f>Maart!M10</f>
        <v>Volwassenen 2x abbo</v>
      </c>
      <c r="N10" s="325">
        <f>IFERROR(VLOOKUP(M10, Tarieven[], 10, FALSE), "0")</f>
        <v>27.255</v>
      </c>
      <c r="O10" s="427">
        <f>Maart!O10</f>
        <v>2</v>
      </c>
      <c r="P10" s="428" t="str">
        <f>Maart!P10</f>
        <v>Volwassenen 1x abbo</v>
      </c>
      <c r="Q10" s="325">
        <f>IFERROR(VLOOKUP(P10, Tarieven!$A$2:$J$150, 10, FALSE), "0")</f>
        <v>25.596</v>
      </c>
      <c r="R10" s="444" t="str">
        <f>Maart!R10</f>
        <v/>
      </c>
      <c r="S10" s="428" t="str">
        <f>Maart!S10</f>
        <v/>
      </c>
      <c r="T10" s="325" t="str">
        <f>IFERROR(VLOOKUP(S10, Tarieven!$A$2:$J$150, 10, FALSE), "0")</f>
        <v>0</v>
      </c>
      <c r="U10" s="77" t="str">
        <f>Maart!U10</f>
        <v/>
      </c>
      <c r="V10" s="327" t="str">
        <f>Maart!V10</f>
        <v/>
      </c>
      <c r="W10" s="325" t="str">
        <f>IFERROR(VLOOKUP(V10, Tarieven!$A$2:$J$150, 10, FALSE), "0")</f>
        <v>0</v>
      </c>
      <c r="X10" s="138">
        <f>Maart!X10</f>
        <v>8</v>
      </c>
      <c r="Y10" s="398">
        <v>0.0</v>
      </c>
      <c r="Z10" s="329">
        <f t="shared" si="3"/>
        <v>15</v>
      </c>
      <c r="AA10" s="32">
        <f t="shared" si="4"/>
        <v>82.8</v>
      </c>
      <c r="AB10" s="32">
        <f t="shared" si="5"/>
        <v>187.467</v>
      </c>
      <c r="AC10" s="32">
        <f t="shared" si="6"/>
        <v>104.667</v>
      </c>
      <c r="AE10" s="330"/>
      <c r="AF10" s="330"/>
    </row>
    <row r="11" ht="22.5" customHeight="1">
      <c r="A11" s="331" t="str">
        <f>Rooster!A12</f>
        <v>Maandag</v>
      </c>
      <c r="B11" s="396">
        <f>Rooster!B12</f>
        <v>0.875</v>
      </c>
      <c r="C11" s="15">
        <f>Rooster!C12</f>
        <v>60</v>
      </c>
      <c r="D11" s="11" t="str">
        <f>Rooster!D12</f>
        <v>Jazz 20+</v>
      </c>
      <c r="E11" s="77">
        <v>2.0</v>
      </c>
      <c r="F11" s="327" t="str">
        <f>Rooster!E12</f>
        <v>Nova</v>
      </c>
      <c r="G11" s="319">
        <f>IFERROR(VLOOKUP(F11, Docenten!$A$2:$G$30, 7, FALSE), "0")</f>
        <v>22.5</v>
      </c>
      <c r="H11" s="320">
        <f t="shared" si="1"/>
        <v>22.5</v>
      </c>
      <c r="I11" s="327" t="str">
        <f>Rooster!H12</f>
        <v>Santpoort Zuid</v>
      </c>
      <c r="J11" s="321">
        <f>IFERROR(VLOOKUP(I11, Locaties!$A$2:$G$15, 7, FALSE), "0")</f>
        <v>18.9</v>
      </c>
      <c r="K11" s="42">
        <f t="shared" si="2"/>
        <v>18.9</v>
      </c>
      <c r="L11" s="427">
        <f>Maart!L11</f>
        <v>4</v>
      </c>
      <c r="M11" s="428" t="str">
        <f>Maart!M11</f>
        <v>Volwassenen 2x abbo</v>
      </c>
      <c r="N11" s="325">
        <f>IFERROR(VLOOKUP(M11, Tarieven[], 10, FALSE), "0")</f>
        <v>27.255</v>
      </c>
      <c r="O11" s="427">
        <f>Maart!O11</f>
        <v>1</v>
      </c>
      <c r="P11" s="428" t="str">
        <f>Maart!P11</f>
        <v>Volwassenen 1x</v>
      </c>
      <c r="Q11" s="325">
        <f>IFERROR(VLOOKUP(P11, Tarieven!$A$2:$J$150, 10, FALSE), "0")</f>
        <v>266.23</v>
      </c>
      <c r="R11" s="444" t="str">
        <f>Maart!R11</f>
        <v/>
      </c>
      <c r="S11" s="428" t="str">
        <f>Maart!S11</f>
        <v/>
      </c>
      <c r="T11" s="325" t="str">
        <f>IFERROR(VLOOKUP(S11, Tarieven!$A$2:$J$150, 10, FALSE), "0")</f>
        <v>0</v>
      </c>
      <c r="U11" s="77" t="str">
        <f>Maart!U11</f>
        <v/>
      </c>
      <c r="V11" s="327" t="str">
        <f>Maart!V11</f>
        <v/>
      </c>
      <c r="W11" s="325" t="str">
        <f>IFERROR(VLOOKUP(V11, Tarieven!$A$2:$J$150, 10, FALSE), "0")</f>
        <v>0</v>
      </c>
      <c r="X11" s="138">
        <f>Maart!X11</f>
        <v>4</v>
      </c>
      <c r="Y11" s="398">
        <v>0.0</v>
      </c>
      <c r="Z11" s="329">
        <f t="shared" si="3"/>
        <v>9</v>
      </c>
      <c r="AA11" s="32">
        <f t="shared" si="4"/>
        <v>82.8</v>
      </c>
      <c r="AB11" s="32">
        <f t="shared" si="5"/>
        <v>375.25</v>
      </c>
      <c r="AC11" s="32">
        <f t="shared" si="6"/>
        <v>292.45</v>
      </c>
      <c r="AE11" s="330"/>
      <c r="AF11" s="330"/>
    </row>
    <row r="12" ht="22.5" customHeight="1">
      <c r="A12" s="331" t="str">
        <f>Rooster!A13</f>
        <v>Maandag</v>
      </c>
      <c r="B12" s="396">
        <f>Rooster!B13</f>
        <v>0.6666666667</v>
      </c>
      <c r="C12" s="15">
        <f>Rooster!C13</f>
        <v>60</v>
      </c>
      <c r="D12" s="11" t="str">
        <f>Rooster!D13</f>
        <v>Streetdance 6+</v>
      </c>
      <c r="E12" s="77">
        <v>2.0</v>
      </c>
      <c r="F12" s="327" t="str">
        <f>Rooster!E13</f>
        <v>Julia</v>
      </c>
      <c r="G12" s="319">
        <f>IFERROR(VLOOKUP(F12, Docenten!$A$2:$G$30, 7, FALSE), "0")</f>
        <v>15</v>
      </c>
      <c r="H12" s="320">
        <f t="shared" si="1"/>
        <v>15</v>
      </c>
      <c r="I12" s="327" t="str">
        <f>Rooster!H13</f>
        <v>Santpoort Noord</v>
      </c>
      <c r="J12" s="321">
        <f>IFERROR(VLOOKUP(I12, Locaties!$A$2:$G$15, 7, FALSE), "0")</f>
        <v>14.2</v>
      </c>
      <c r="K12" s="42">
        <f t="shared" si="2"/>
        <v>14.2</v>
      </c>
      <c r="L12" s="427">
        <f>Maart!L12</f>
        <v>2</v>
      </c>
      <c r="M12" s="428" t="str">
        <f>Maart!M12</f>
        <v>2x per week abbo</v>
      </c>
      <c r="N12" s="325">
        <f>IFERROR(VLOOKUP(M12, Tarieven[], 10, FALSE), "0")</f>
        <v>28.55</v>
      </c>
      <c r="O12" s="427">
        <f>Maart!O12</f>
        <v>8</v>
      </c>
      <c r="P12" s="428" t="str">
        <f>Maart!P12</f>
        <v>1x per week abbo</v>
      </c>
      <c r="Q12" s="325">
        <f>IFERROR(VLOOKUP(P12, Tarieven!$A$2:$J$150, 10, FALSE), "0")</f>
        <v>31</v>
      </c>
      <c r="R12" s="444" t="str">
        <f>Maart!R12</f>
        <v/>
      </c>
      <c r="S12" s="428" t="str">
        <f>Maart!S12</f>
        <v/>
      </c>
      <c r="T12" s="325" t="str">
        <f>IFERROR(VLOOKUP(S12, Tarieven!$A$2:$J$150, 10, FALSE), "0")</f>
        <v>0</v>
      </c>
      <c r="U12" s="77" t="str">
        <f>Maart!U12</f>
        <v/>
      </c>
      <c r="V12" s="327" t="str">
        <f>Maart!V12</f>
        <v/>
      </c>
      <c r="W12" s="325" t="str">
        <f>IFERROR(VLOOKUP(V12, Tarieven!$A$2:$J$150, 10, FALSE), "0")</f>
        <v>0</v>
      </c>
      <c r="X12" s="138">
        <f>Maart!X12</f>
        <v>2</v>
      </c>
      <c r="Y12" s="398">
        <v>0.0</v>
      </c>
      <c r="Z12" s="329">
        <f t="shared" si="3"/>
        <v>12</v>
      </c>
      <c r="AA12" s="32">
        <f t="shared" si="4"/>
        <v>58.4</v>
      </c>
      <c r="AB12" s="32">
        <f t="shared" si="5"/>
        <v>305.1</v>
      </c>
      <c r="AC12" s="32">
        <f t="shared" si="6"/>
        <v>246.7</v>
      </c>
      <c r="AE12" s="330"/>
      <c r="AF12" s="330"/>
    </row>
    <row r="13" ht="22.5" customHeight="1">
      <c r="A13" s="331" t="str">
        <f>Rooster!A14</f>
        <v>Maandag</v>
      </c>
      <c r="B13" s="396">
        <f>Rooster!B14</f>
        <v>0.7083333333</v>
      </c>
      <c r="C13" s="15">
        <f>Rooster!C14</f>
        <v>60</v>
      </c>
      <c r="D13" s="11" t="str">
        <f>Rooster!D14</f>
        <v>Streetdance 8+</v>
      </c>
      <c r="E13" s="77">
        <v>2.0</v>
      </c>
      <c r="F13" s="327" t="str">
        <f>Rooster!E14</f>
        <v>Julia</v>
      </c>
      <c r="G13" s="319">
        <f>IFERROR(VLOOKUP(F13, Docenten!$A$2:$G$30, 7, FALSE), "0")</f>
        <v>15</v>
      </c>
      <c r="H13" s="320">
        <f t="shared" si="1"/>
        <v>15</v>
      </c>
      <c r="I13" s="327" t="str">
        <f>Rooster!H14</f>
        <v>Santpoort Noord</v>
      </c>
      <c r="J13" s="321">
        <f>IFERROR(VLOOKUP(I13, Locaties!$A$2:$G$15, 7, FALSE), "0")</f>
        <v>14.2</v>
      </c>
      <c r="K13" s="42">
        <f t="shared" si="2"/>
        <v>14.2</v>
      </c>
      <c r="L13" s="427">
        <f>Maart!L13</f>
        <v>1</v>
      </c>
      <c r="M13" s="428" t="str">
        <f>Maart!M13</f>
        <v>1x per week abbo</v>
      </c>
      <c r="N13" s="325">
        <f>IFERROR(VLOOKUP(M13, Tarieven[], 10, FALSE), "0")</f>
        <v>31</v>
      </c>
      <c r="O13" s="427">
        <f>Maart!O13</f>
        <v>5</v>
      </c>
      <c r="P13" s="428" t="str">
        <f>Maart!P13</f>
        <v>2x per week abbo</v>
      </c>
      <c r="Q13" s="325">
        <f>IFERROR(VLOOKUP(P13, Tarieven!$A$2:$J$150, 10, FALSE), "0")</f>
        <v>28.55</v>
      </c>
      <c r="R13" s="444">
        <f>Maart!R13</f>
        <v>1</v>
      </c>
      <c r="S13" s="428" t="str">
        <f>Maart!S13</f>
        <v>Aangepast tarief</v>
      </c>
      <c r="T13" s="325">
        <f>IFERROR(VLOOKUP(S13, Tarieven!$A$2:$J$150, 10, FALSE), "0")</f>
        <v>0</v>
      </c>
      <c r="U13" s="77" t="str">
        <f>Maart!U13</f>
        <v/>
      </c>
      <c r="V13" s="327" t="str">
        <f>Maart!V13</f>
        <v/>
      </c>
      <c r="W13" s="325" t="str">
        <f>IFERROR(VLOOKUP(V13, Tarieven!$A$2:$J$150, 10, FALSE), "0")</f>
        <v>0</v>
      </c>
      <c r="X13" s="138">
        <f>Maart!X13</f>
        <v>13</v>
      </c>
      <c r="Y13" s="398">
        <v>0.0</v>
      </c>
      <c r="Z13" s="329">
        <f t="shared" si="3"/>
        <v>20</v>
      </c>
      <c r="AA13" s="32">
        <f t="shared" si="4"/>
        <v>58.4</v>
      </c>
      <c r="AB13" s="32">
        <f t="shared" si="5"/>
        <v>173.75</v>
      </c>
      <c r="AC13" s="32">
        <f t="shared" si="6"/>
        <v>115.35</v>
      </c>
      <c r="AE13" s="330"/>
      <c r="AF13" s="330"/>
    </row>
    <row r="14" ht="22.5" customHeight="1">
      <c r="A14" s="331" t="str">
        <f>Rooster!A15</f>
        <v>Dinsdag</v>
      </c>
      <c r="B14" s="396">
        <f>Rooster!B15</f>
        <v>0.6666666667</v>
      </c>
      <c r="C14" s="15">
        <f>Rooster!C15</f>
        <v>60</v>
      </c>
      <c r="D14" s="11" t="str">
        <f>Rooster!D15</f>
        <v>Modern 8+</v>
      </c>
      <c r="E14" s="77">
        <v>3.0</v>
      </c>
      <c r="F14" s="327" t="str">
        <f>Rooster!E15</f>
        <v>Eigenaar</v>
      </c>
      <c r="G14" s="319">
        <f>IFERROR(VLOOKUP(F14, Docenten!$A$2:$G$30, 7, FALSE), "0")</f>
        <v>0</v>
      </c>
      <c r="H14" s="320">
        <f t="shared" si="1"/>
        <v>0</v>
      </c>
      <c r="I14" s="327" t="str">
        <f>Rooster!H15</f>
        <v>Santpoort Zuid</v>
      </c>
      <c r="J14" s="321">
        <f>IFERROR(VLOOKUP(I14, Locaties!$A$2:$G$15, 7, FALSE), "0")</f>
        <v>18.9</v>
      </c>
      <c r="K14" s="42">
        <f t="shared" si="2"/>
        <v>18.9</v>
      </c>
      <c r="L14" s="427">
        <f>Maart!L14</f>
        <v>5</v>
      </c>
      <c r="M14" s="428" t="str">
        <f>Maart!M14</f>
        <v>2x per week abbo</v>
      </c>
      <c r="N14" s="325">
        <f>IFERROR(VLOOKUP(M14, Tarieven[], 10, FALSE), "0")</f>
        <v>28.55</v>
      </c>
      <c r="O14" s="427">
        <f>Maart!O14</f>
        <v>1</v>
      </c>
      <c r="P14" s="428" t="str">
        <f>Maart!P14</f>
        <v>1x per week abbo</v>
      </c>
      <c r="Q14" s="325">
        <f>IFERROR(VLOOKUP(P14, Tarieven!$A$2:$J$150, 10, FALSE), "0")</f>
        <v>31</v>
      </c>
      <c r="R14" s="444">
        <f>Maart!R14</f>
        <v>2</v>
      </c>
      <c r="S14" s="428" t="str">
        <f>Maart!S14</f>
        <v>Cheer regulier + onbeperkt abbo</v>
      </c>
      <c r="T14" s="325">
        <f>IFERROR(VLOOKUP(S14, Tarieven!$A$2:$J$150, 10, FALSE), "0")</f>
        <v>44.45</v>
      </c>
      <c r="U14" s="77">
        <f>Maart!U14</f>
        <v>1</v>
      </c>
      <c r="V14" s="327" t="str">
        <f>Maart!V14</f>
        <v>Cheer regulier +1 abbo</v>
      </c>
      <c r="W14" s="325">
        <f>IFERROR(VLOOKUP(V14, Tarieven!$A$2:$J$150, 10, FALSE), "0")</f>
        <v>32.25</v>
      </c>
      <c r="X14" s="138">
        <f>Maart!X14</f>
        <v>8</v>
      </c>
      <c r="Y14" s="398">
        <v>0.0</v>
      </c>
      <c r="Z14" s="329">
        <f t="shared" si="3"/>
        <v>17</v>
      </c>
      <c r="AA14" s="32">
        <f t="shared" si="4"/>
        <v>56.7</v>
      </c>
      <c r="AB14" s="32">
        <f t="shared" si="5"/>
        <v>294.9</v>
      </c>
      <c r="AC14" s="32">
        <f t="shared" si="6"/>
        <v>238.2</v>
      </c>
    </row>
    <row r="15" ht="22.5" customHeight="1">
      <c r="A15" s="331" t="str">
        <f>Rooster!A16</f>
        <v>Dinsdag</v>
      </c>
      <c r="B15" s="396">
        <f>Rooster!B16</f>
        <v>0.7083333333</v>
      </c>
      <c r="C15" s="15">
        <f>Rooster!C16</f>
        <v>60</v>
      </c>
      <c r="D15" s="11" t="str">
        <f>Rooster!D16</f>
        <v>Selectie show 8+</v>
      </c>
      <c r="E15" s="77">
        <v>3.0</v>
      </c>
      <c r="F15" s="327" t="str">
        <f>Rooster!E16</f>
        <v>Eigenaar</v>
      </c>
      <c r="G15" s="319">
        <f>IFERROR(VLOOKUP(F15, Docenten!$A$2:$G$30, 7, FALSE), "0")</f>
        <v>0</v>
      </c>
      <c r="H15" s="320">
        <f t="shared" si="1"/>
        <v>0</v>
      </c>
      <c r="I15" s="327" t="str">
        <f>Rooster!H16</f>
        <v>Santpoort Zuid</v>
      </c>
      <c r="J15" s="321">
        <f>IFERROR(VLOOKUP(I15, Locaties!$A$2:$G$15, 7, FALSE), "0")</f>
        <v>18.9</v>
      </c>
      <c r="K15" s="42">
        <f t="shared" si="2"/>
        <v>18.9</v>
      </c>
      <c r="L15" s="427">
        <f>Maart!L15</f>
        <v>2</v>
      </c>
      <c r="M15" s="428" t="str">
        <f>Maart!M15</f>
        <v>Cheer regulier + onbeperkt abbo</v>
      </c>
      <c r="N15" s="325">
        <f>IFERROR(VLOOKUP(M15, Tarieven[], 10, FALSE), "0")</f>
        <v>44.45</v>
      </c>
      <c r="O15" s="427">
        <f>Maart!O15</f>
        <v>2</v>
      </c>
      <c r="P15" s="428" t="str">
        <f>Maart!P15</f>
        <v>2x per week abbo</v>
      </c>
      <c r="Q15" s="325">
        <f>IFERROR(VLOOKUP(P15, Tarieven!$A$2:$J$150, 10, FALSE), "0")</f>
        <v>28.55</v>
      </c>
      <c r="R15" s="444" t="str">
        <f>Maart!R15</f>
        <v/>
      </c>
      <c r="S15" s="428" t="str">
        <f>Maart!S15</f>
        <v/>
      </c>
      <c r="T15" s="325" t="str">
        <f>IFERROR(VLOOKUP(S15, Tarieven!$A$2:$J$150, 10, FALSE), "0")</f>
        <v>0</v>
      </c>
      <c r="U15" s="77">
        <f>Maart!U15</f>
        <v>1</v>
      </c>
      <c r="V15" s="327" t="str">
        <f>Maart!V15</f>
        <v>Cheer regulier +2 abbo</v>
      </c>
      <c r="W15" s="325">
        <f>IFERROR(VLOOKUP(V15, Tarieven!$A$2:$J$150, 10, FALSE), "0")</f>
        <v>29.03333333</v>
      </c>
      <c r="X15" s="138">
        <f>Maart!X15</f>
        <v>7</v>
      </c>
      <c r="Y15" s="398">
        <v>0.0</v>
      </c>
      <c r="Z15" s="329">
        <f t="shared" si="3"/>
        <v>12</v>
      </c>
      <c r="AA15" s="32">
        <f t="shared" si="4"/>
        <v>56.7</v>
      </c>
      <c r="AB15" s="32">
        <f t="shared" si="5"/>
        <v>175.0333333</v>
      </c>
      <c r="AC15" s="32">
        <f t="shared" si="6"/>
        <v>118.3333333</v>
      </c>
    </row>
    <row r="16" ht="22.5" customHeight="1">
      <c r="A16" s="331" t="str">
        <f>Rooster!A17</f>
        <v>Dinsdag</v>
      </c>
      <c r="B16" s="396">
        <f>Rooster!B17</f>
        <v>0.75</v>
      </c>
      <c r="C16" s="15">
        <f>Rooster!C17</f>
        <v>90</v>
      </c>
      <c r="D16" s="11" t="str">
        <f>Rooster!D17</f>
        <v>Selectie Cheer</v>
      </c>
      <c r="E16" s="77">
        <v>3.0</v>
      </c>
      <c r="F16" s="327" t="str">
        <f>Rooster!E17</f>
        <v>Eigenaar</v>
      </c>
      <c r="G16" s="319">
        <f>IFERROR(VLOOKUP(F16, Docenten!$A$2:$G$30, 7, FALSE), "0")</f>
        <v>0</v>
      </c>
      <c r="H16" s="320">
        <f t="shared" si="1"/>
        <v>0</v>
      </c>
      <c r="I16" s="327" t="str">
        <f>Rooster!H17</f>
        <v>Santpoort Zuid</v>
      </c>
      <c r="J16" s="321">
        <f>IFERROR(VLOOKUP(I16, Locaties!$A$2:$G$15, 7, FALSE), "0")</f>
        <v>18.9</v>
      </c>
      <c r="K16" s="42">
        <f t="shared" si="2"/>
        <v>28.35</v>
      </c>
      <c r="L16" s="427">
        <f>Maart!L16</f>
        <v>2</v>
      </c>
      <c r="M16" s="428" t="str">
        <f>Maart!M16</f>
        <v>Cheer selectie +2 abbo</v>
      </c>
      <c r="N16" s="325">
        <f>IFERROR(VLOOKUP(M16, Tarieven[], 10, FALSE), "0")</f>
        <v>31.53333333</v>
      </c>
      <c r="O16" s="427">
        <f>Maart!O16</f>
        <v>1</v>
      </c>
      <c r="P16" s="428" t="str">
        <f>Maart!P16</f>
        <v>Cheer selectie +1 abbo</v>
      </c>
      <c r="Q16" s="325">
        <f>IFERROR(VLOOKUP(P16, Tarieven!$A$2:$J$150, 10, FALSE), "0")</f>
        <v>34.25</v>
      </c>
      <c r="R16" s="444" t="str">
        <f>Maart!R16</f>
        <v/>
      </c>
      <c r="S16" s="428" t="str">
        <f>Maart!S16</f>
        <v/>
      </c>
      <c r="T16" s="325" t="str">
        <f>IFERROR(VLOOKUP(S16, Tarieven!$A$2:$J$150, 10, FALSE), "0")</f>
        <v>0</v>
      </c>
      <c r="U16" s="77" t="str">
        <f>Maart!U16</f>
        <v/>
      </c>
      <c r="V16" s="327" t="str">
        <f>Maart!V16</f>
        <v/>
      </c>
      <c r="W16" s="325" t="str">
        <f>IFERROR(VLOOKUP(V16, Tarieven!$A$2:$J$150, 10, FALSE), "0")</f>
        <v>0</v>
      </c>
      <c r="X16" s="138">
        <f>Maart!X16</f>
        <v>8</v>
      </c>
      <c r="Y16" s="398">
        <v>0.0</v>
      </c>
      <c r="Z16" s="329">
        <f t="shared" si="3"/>
        <v>11</v>
      </c>
      <c r="AA16" s="32">
        <f t="shared" si="4"/>
        <v>85.05</v>
      </c>
      <c r="AB16" s="32">
        <f t="shared" si="5"/>
        <v>97.31666667</v>
      </c>
      <c r="AC16" s="32">
        <f t="shared" si="6"/>
        <v>12.26666667</v>
      </c>
    </row>
    <row r="17" ht="22.5" customHeight="1">
      <c r="A17" s="331" t="str">
        <f>Rooster!A18</f>
        <v>Dinsdag</v>
      </c>
      <c r="B17" s="396">
        <f>Rooster!B18</f>
        <v>0.8125</v>
      </c>
      <c r="C17" s="15">
        <f>Rooster!C18</f>
        <v>60</v>
      </c>
      <c r="D17" s="11" t="str">
        <f>Rooster!D18</f>
        <v>Hiphop 15+</v>
      </c>
      <c r="E17" s="77">
        <v>3.0</v>
      </c>
      <c r="F17" s="327" t="str">
        <f>Rooster!E18</f>
        <v>Eigenaar</v>
      </c>
      <c r="G17" s="319">
        <f>IFERROR(VLOOKUP(F17, Docenten!$A$2:$G$30, 7, FALSE), "0")</f>
        <v>0</v>
      </c>
      <c r="H17" s="320">
        <f t="shared" si="1"/>
        <v>0</v>
      </c>
      <c r="I17" s="327" t="str">
        <f>Rooster!H18</f>
        <v>Santpoort Zuid</v>
      </c>
      <c r="J17" s="321">
        <f>IFERROR(VLOOKUP(I17, Locaties!$A$2:$G$15, 7, FALSE), "0")</f>
        <v>18.9</v>
      </c>
      <c r="K17" s="42">
        <f t="shared" si="2"/>
        <v>18.9</v>
      </c>
      <c r="L17" s="427">
        <f>Maart!L17</f>
        <v>4</v>
      </c>
      <c r="M17" s="428" t="str">
        <f>Maart!M17</f>
        <v>3x per week abbo</v>
      </c>
      <c r="N17" s="325">
        <f>IFERROR(VLOOKUP(M17, Tarieven[], 10, FALSE), "0")</f>
        <v>28.93333333</v>
      </c>
      <c r="O17" s="427">
        <f>Maart!O17</f>
        <v>1</v>
      </c>
      <c r="P17" s="428" t="str">
        <f>Maart!P17</f>
        <v>2x per week abbo</v>
      </c>
      <c r="Q17" s="325">
        <f>IFERROR(VLOOKUP(P17, Tarieven!$A$2:$J$150, 10, FALSE), "0")</f>
        <v>28.55</v>
      </c>
      <c r="R17" s="444">
        <f>Maart!R17</f>
        <v>2</v>
      </c>
      <c r="S17" s="428" t="str">
        <f>Maart!S17</f>
        <v>1x per week abbo</v>
      </c>
      <c r="T17" s="325">
        <f>IFERROR(VLOOKUP(S17, Tarieven!$A$2:$J$150, 10, FALSE), "0")</f>
        <v>31</v>
      </c>
      <c r="U17" s="77" t="str">
        <f>Maart!U17</f>
        <v/>
      </c>
      <c r="V17" s="327" t="str">
        <f>Maart!V17</f>
        <v/>
      </c>
      <c r="W17" s="325" t="str">
        <f>IFERROR(VLOOKUP(V17, Tarieven!$A$2:$J$150, 10, FALSE), "0")</f>
        <v>0</v>
      </c>
      <c r="X17" s="138">
        <f>Maart!X17</f>
        <v>9</v>
      </c>
      <c r="Y17" s="398">
        <v>0.0</v>
      </c>
      <c r="Z17" s="329">
        <f t="shared" si="3"/>
        <v>16</v>
      </c>
      <c r="AA17" s="32">
        <f t="shared" si="4"/>
        <v>56.7</v>
      </c>
      <c r="AB17" s="32">
        <f t="shared" si="5"/>
        <v>206.2833333</v>
      </c>
      <c r="AC17" s="32">
        <f t="shared" si="6"/>
        <v>149.5833333</v>
      </c>
    </row>
    <row r="18" ht="22.5" customHeight="1">
      <c r="A18" s="331" t="str">
        <f>Rooster!A19</f>
        <v>Woensdag</v>
      </c>
      <c r="B18" s="396">
        <f>Rooster!B19</f>
        <v>0.6041666667</v>
      </c>
      <c r="C18" s="15">
        <f>Rooster!C19</f>
        <v>60</v>
      </c>
      <c r="D18" s="11" t="str">
        <f>Rooster!D19</f>
        <v>Streetdance 6+</v>
      </c>
      <c r="E18" s="77">
        <v>4.0</v>
      </c>
      <c r="F18" s="327" t="str">
        <f>Rooster!E19</f>
        <v>Julia</v>
      </c>
      <c r="G18" s="319">
        <f>IFERROR(VLOOKUP(F18, Docenten!$A$2:$G$30, 7, FALSE), "0")</f>
        <v>15</v>
      </c>
      <c r="H18" s="320">
        <f t="shared" si="1"/>
        <v>15</v>
      </c>
      <c r="I18" s="327" t="str">
        <f>Rooster!H19</f>
        <v>Santpoort Noord</v>
      </c>
      <c r="J18" s="321">
        <f>IFERROR(VLOOKUP(I18, Locaties!$A$2:$G$15, 7, FALSE), "0")</f>
        <v>14.2</v>
      </c>
      <c r="K18" s="42">
        <f t="shared" si="2"/>
        <v>14.2</v>
      </c>
      <c r="L18" s="427">
        <f>Maart!L18</f>
        <v>1</v>
      </c>
      <c r="M18" s="428" t="str">
        <f>Maart!M18</f>
        <v>2x per week abbo</v>
      </c>
      <c r="N18" s="325">
        <f>IFERROR(VLOOKUP(M18, Tarieven[], 10, FALSE), "0")</f>
        <v>28.55</v>
      </c>
      <c r="O18" s="427">
        <f>Maart!O18</f>
        <v>3</v>
      </c>
      <c r="P18" s="428" t="str">
        <f>Maart!P18</f>
        <v>1x per week abbo</v>
      </c>
      <c r="Q18" s="325">
        <f>IFERROR(VLOOKUP(P18, Tarieven!$A$2:$J$150, 10, FALSE), "0")</f>
        <v>31</v>
      </c>
      <c r="R18" s="444" t="str">
        <f>Maart!R18</f>
        <v/>
      </c>
      <c r="S18" s="428" t="str">
        <f>Maart!S18</f>
        <v/>
      </c>
      <c r="T18" s="325" t="str">
        <f>IFERROR(VLOOKUP(S18, Tarieven!$A$2:$J$150, 10, FALSE), "0")</f>
        <v>0</v>
      </c>
      <c r="U18" s="77" t="str">
        <f>Maart!U18</f>
        <v/>
      </c>
      <c r="V18" s="327" t="str">
        <f>Maart!V18</f>
        <v/>
      </c>
      <c r="W18" s="325" t="str">
        <f>IFERROR(VLOOKUP(V18, Tarieven!$A$2:$J$150, 10, FALSE), "0")</f>
        <v>0</v>
      </c>
      <c r="X18" s="138">
        <f>Maart!X18</f>
        <v>9</v>
      </c>
      <c r="Y18" s="398">
        <v>0.0</v>
      </c>
      <c r="Z18" s="329">
        <f t="shared" si="3"/>
        <v>13</v>
      </c>
      <c r="AA18" s="32">
        <f t="shared" si="4"/>
        <v>116.8</v>
      </c>
      <c r="AB18" s="32">
        <f t="shared" si="5"/>
        <v>121.55</v>
      </c>
      <c r="AC18" s="32">
        <f t="shared" si="6"/>
        <v>4.75</v>
      </c>
    </row>
    <row r="19" ht="22.5" customHeight="1">
      <c r="A19" s="331" t="str">
        <f>Rooster!A20</f>
        <v>Woensdag</v>
      </c>
      <c r="B19" s="396">
        <f>Rooster!B20</f>
        <v>0.6458333333</v>
      </c>
      <c r="C19" s="15">
        <f>Rooster!C20</f>
        <v>60</v>
      </c>
      <c r="D19" s="11" t="str">
        <f>Rooster!D20</f>
        <v>Streetdance 8+</v>
      </c>
      <c r="E19" s="77">
        <v>4.0</v>
      </c>
      <c r="F19" s="327" t="str">
        <f>Rooster!E20</f>
        <v>Julia</v>
      </c>
      <c r="G19" s="319">
        <f>IFERROR(VLOOKUP(F19, Docenten!$A$2:$G$30, 7, FALSE), "0")</f>
        <v>15</v>
      </c>
      <c r="H19" s="320">
        <f t="shared" si="1"/>
        <v>15</v>
      </c>
      <c r="I19" s="327" t="str">
        <f>Rooster!H20</f>
        <v>Santpoort Noord</v>
      </c>
      <c r="J19" s="321">
        <f>IFERROR(VLOOKUP(I19, Locaties!$A$2:$G$15, 7, FALSE), "0")</f>
        <v>14.2</v>
      </c>
      <c r="K19" s="42">
        <f t="shared" si="2"/>
        <v>14.2</v>
      </c>
      <c r="L19" s="427">
        <f>Maart!L19</f>
        <v>4</v>
      </c>
      <c r="M19" s="428" t="str">
        <f>Maart!M19</f>
        <v>1x per week abbo</v>
      </c>
      <c r="N19" s="325">
        <f>IFERROR(VLOOKUP(M19, Tarieven[], 10, FALSE), "0")</f>
        <v>31</v>
      </c>
      <c r="O19" s="427">
        <f>Maart!O19</f>
        <v>1</v>
      </c>
      <c r="P19" s="428" t="str">
        <f>Maart!P19</f>
        <v>Cheer regulier +1 abbo</v>
      </c>
      <c r="Q19" s="325">
        <f>IFERROR(VLOOKUP(P19, Tarieven!$A$2:$J$150, 10, FALSE), "0")</f>
        <v>32.25</v>
      </c>
      <c r="R19" s="444">
        <f>Maart!R19</f>
        <v>1</v>
      </c>
      <c r="S19" s="428" t="str">
        <f>Maart!S19</f>
        <v>Cheer regulier + onbeperkt abbo</v>
      </c>
      <c r="T19" s="325">
        <f>IFERROR(VLOOKUP(S19, Tarieven!$A$2:$J$150, 10, FALSE), "0")</f>
        <v>44.45</v>
      </c>
      <c r="U19" s="77">
        <f>Maart!U19</f>
        <v>1</v>
      </c>
      <c r="V19" s="327" t="str">
        <f>Maart!V19</f>
        <v>1x per week </v>
      </c>
      <c r="W19" s="325">
        <f>IFERROR(VLOOKUP(V19, Tarieven!$A$2:$J$150, 10, FALSE), "0")</f>
        <v>279</v>
      </c>
      <c r="X19" s="138">
        <f>Maart!X19</f>
        <v>11</v>
      </c>
      <c r="Y19" s="398">
        <v>0.0</v>
      </c>
      <c r="Z19" s="329">
        <f t="shared" si="3"/>
        <v>18</v>
      </c>
      <c r="AA19" s="32">
        <f t="shared" si="4"/>
        <v>116.8</v>
      </c>
      <c r="AB19" s="32">
        <f t="shared" si="5"/>
        <v>479.7</v>
      </c>
      <c r="AC19" s="32">
        <f t="shared" si="6"/>
        <v>362.9</v>
      </c>
    </row>
    <row r="20" ht="22.5" customHeight="1">
      <c r="A20" s="331" t="str">
        <f>Rooster!A21</f>
        <v>Woensdag</v>
      </c>
      <c r="B20" s="396">
        <f>Rooster!B21</f>
        <v>0.6875</v>
      </c>
      <c r="C20" s="15">
        <f>Rooster!C21</f>
        <v>60</v>
      </c>
      <c r="D20" s="11" t="str">
        <f>Rooster!D21</f>
        <v>Modern 11+</v>
      </c>
      <c r="E20" s="77">
        <v>4.0</v>
      </c>
      <c r="F20" s="327" t="str">
        <f>Rooster!E21</f>
        <v>Julia</v>
      </c>
      <c r="G20" s="319">
        <f>IFERROR(VLOOKUP(F20, Docenten!$A$2:$G$30, 7, FALSE), "0")</f>
        <v>15</v>
      </c>
      <c r="H20" s="320">
        <f t="shared" si="1"/>
        <v>15</v>
      </c>
      <c r="I20" s="327" t="str">
        <f>Rooster!H21</f>
        <v>Santpoort Noord</v>
      </c>
      <c r="J20" s="321">
        <f>IFERROR(VLOOKUP(I20, Locaties!$A$2:$G$15, 7, FALSE), "0")</f>
        <v>14.2</v>
      </c>
      <c r="K20" s="42">
        <f t="shared" si="2"/>
        <v>14.2</v>
      </c>
      <c r="L20" s="427">
        <f>Maart!L20</f>
        <v>3</v>
      </c>
      <c r="M20" s="428" t="str">
        <f>Maart!M20</f>
        <v>1x per week abbo</v>
      </c>
      <c r="N20" s="325">
        <f>IFERROR(VLOOKUP(M20, Tarieven[], 10, FALSE), "0")</f>
        <v>31</v>
      </c>
      <c r="O20" s="427">
        <f>Maart!O20</f>
        <v>1</v>
      </c>
      <c r="P20" s="428" t="str">
        <f>Maart!P20</f>
        <v>Cheer regulier +1 abbo</v>
      </c>
      <c r="Q20" s="325">
        <f>IFERROR(VLOOKUP(P20, Tarieven!$A$2:$J$150, 10, FALSE), "0")</f>
        <v>32.25</v>
      </c>
      <c r="R20" s="444">
        <f>Maart!R20</f>
        <v>1</v>
      </c>
      <c r="S20" s="428" t="str">
        <f>Maart!S20</f>
        <v>Cheer regulier + onbeperkt abbo</v>
      </c>
      <c r="T20" s="325">
        <f>IFERROR(VLOOKUP(S20, Tarieven!$A$2:$J$150, 10, FALSE), "0")</f>
        <v>44.45</v>
      </c>
      <c r="U20" s="77" t="str">
        <f>Maart!U20</f>
        <v/>
      </c>
      <c r="V20" s="327" t="str">
        <f>Maart!V20</f>
        <v/>
      </c>
      <c r="W20" s="325" t="str">
        <f>IFERROR(VLOOKUP(V20, Tarieven!$A$2:$J$150, 10, FALSE), "0")</f>
        <v>0</v>
      </c>
      <c r="X20" s="138">
        <f>Maart!X20</f>
        <v>9</v>
      </c>
      <c r="Y20" s="398">
        <v>0.0</v>
      </c>
      <c r="Z20" s="329">
        <f t="shared" si="3"/>
        <v>14</v>
      </c>
      <c r="AA20" s="32">
        <f t="shared" si="4"/>
        <v>116.8</v>
      </c>
      <c r="AB20" s="32">
        <f t="shared" si="5"/>
        <v>169.7</v>
      </c>
      <c r="AC20" s="32">
        <f t="shared" si="6"/>
        <v>52.9</v>
      </c>
    </row>
    <row r="21" ht="22.5" customHeight="1">
      <c r="A21" s="331" t="str">
        <f>Rooster!A22</f>
        <v>Woensdag</v>
      </c>
      <c r="B21" s="396">
        <f>Rooster!B22</f>
        <v>0.7291666667</v>
      </c>
      <c r="C21" s="15">
        <f>Rooster!C22</f>
        <v>60</v>
      </c>
      <c r="D21" s="11" t="str">
        <f>Rooster!D22</f>
        <v>Selectie Hiphop 11+</v>
      </c>
      <c r="E21" s="77">
        <v>4.0</v>
      </c>
      <c r="F21" s="327" t="str">
        <f>Rooster!E22</f>
        <v>Eigenaar</v>
      </c>
      <c r="G21" s="319">
        <f>IFERROR(VLOOKUP(F21, Docenten!$A$2:$G$30, 7, FALSE), "0")</f>
        <v>0</v>
      </c>
      <c r="H21" s="320">
        <f t="shared" si="1"/>
        <v>0</v>
      </c>
      <c r="I21" s="327" t="str">
        <f>Rooster!H22</f>
        <v>Santpoort Noord</v>
      </c>
      <c r="J21" s="321">
        <f>IFERROR(VLOOKUP(I21, Locaties!$A$2:$G$15, 7, FALSE), "0")</f>
        <v>14.2</v>
      </c>
      <c r="K21" s="42">
        <f t="shared" si="2"/>
        <v>14.2</v>
      </c>
      <c r="L21" s="427">
        <f>Maart!L21</f>
        <v>1</v>
      </c>
      <c r="M21" s="428" t="str">
        <f>Maart!M21</f>
        <v>1x per week abbo</v>
      </c>
      <c r="N21" s="325">
        <f>IFERROR(VLOOKUP(M21, Tarieven[], 10, FALSE), "0")</f>
        <v>31</v>
      </c>
      <c r="O21" s="427">
        <f>Maart!O21</f>
        <v>3</v>
      </c>
      <c r="P21" s="428" t="str">
        <f>Maart!P21</f>
        <v>2x per week abbo</v>
      </c>
      <c r="Q21" s="325">
        <f>IFERROR(VLOOKUP(P21, Tarieven!$A$2:$J$150, 10, FALSE), "0")</f>
        <v>28.55</v>
      </c>
      <c r="R21" s="444">
        <f>Maart!R21</f>
        <v>1</v>
      </c>
      <c r="S21" s="428" t="str">
        <f>Maart!S21</f>
        <v>Cheer regulier +1 abbo</v>
      </c>
      <c r="T21" s="325">
        <f>IFERROR(VLOOKUP(S21, Tarieven!$A$2:$J$150, 10, FALSE), "0")</f>
        <v>32.25</v>
      </c>
      <c r="U21" s="77" t="str">
        <f>Maart!U21</f>
        <v/>
      </c>
      <c r="V21" s="327" t="str">
        <f>Maart!V21</f>
        <v/>
      </c>
      <c r="W21" s="325" t="str">
        <f>IFERROR(VLOOKUP(V21, Tarieven!$A$2:$J$150, 10, FALSE), "0")</f>
        <v>0</v>
      </c>
      <c r="X21" s="138">
        <f>Maart!X21</f>
        <v>11</v>
      </c>
      <c r="Y21" s="398">
        <v>0.0</v>
      </c>
      <c r="Z21" s="329">
        <f t="shared" si="3"/>
        <v>16</v>
      </c>
      <c r="AA21" s="32">
        <f t="shared" si="4"/>
        <v>56.8</v>
      </c>
      <c r="AB21" s="32">
        <f t="shared" si="5"/>
        <v>148.9</v>
      </c>
      <c r="AC21" s="32">
        <f t="shared" si="6"/>
        <v>92.1</v>
      </c>
    </row>
    <row r="22" ht="22.5" customHeight="1">
      <c r="A22" s="331" t="str">
        <f>Rooster!A23</f>
        <v>Woensdag</v>
      </c>
      <c r="B22" s="396">
        <f>Rooster!B23</f>
        <v>0.7708333333</v>
      </c>
      <c r="C22" s="15">
        <f>Rooster!C23</f>
        <v>60</v>
      </c>
      <c r="D22" s="11" t="str">
        <f>Rooster!D23</f>
        <v>Show 12+</v>
      </c>
      <c r="E22" s="77">
        <v>4.0</v>
      </c>
      <c r="F22" s="327" t="str">
        <f>Rooster!E23</f>
        <v>Eigenaar</v>
      </c>
      <c r="G22" s="319">
        <f>IFERROR(VLOOKUP(F22, Docenten!$A$2:$G$30, 7, FALSE), "0")</f>
        <v>0</v>
      </c>
      <c r="H22" s="320">
        <f t="shared" si="1"/>
        <v>0</v>
      </c>
      <c r="I22" s="327" t="str">
        <f>Rooster!H23</f>
        <v>Santpoort Noord</v>
      </c>
      <c r="J22" s="321">
        <f>IFERROR(VLOOKUP(I22, Locaties!$A$2:$G$15, 7, FALSE), "0")</f>
        <v>14.2</v>
      </c>
      <c r="K22" s="42">
        <f t="shared" si="2"/>
        <v>14.2</v>
      </c>
      <c r="L22" s="427">
        <f>Maart!L22</f>
        <v>1</v>
      </c>
      <c r="M22" s="428" t="str">
        <f>Maart!M22</f>
        <v>Cheer selectie +1 abbo</v>
      </c>
      <c r="N22" s="325">
        <f>IFERROR(VLOOKUP(M22, Tarieven[], 10, FALSE), "0")</f>
        <v>34.25</v>
      </c>
      <c r="O22" s="427" t="str">
        <f>Maart!O22</f>
        <v/>
      </c>
      <c r="P22" s="428" t="str">
        <f>Maart!P22</f>
        <v/>
      </c>
      <c r="Q22" s="325" t="str">
        <f>IFERROR(VLOOKUP(P22, Tarieven!$A$2:$J$150, 10, FALSE), "0")</f>
        <v>0</v>
      </c>
      <c r="R22" s="444" t="str">
        <f>Maart!R22</f>
        <v/>
      </c>
      <c r="S22" s="428" t="str">
        <f>Maart!S22</f>
        <v/>
      </c>
      <c r="T22" s="325" t="str">
        <f>IFERROR(VLOOKUP(S22, Tarieven!$A$2:$J$150, 10, FALSE), "0")</f>
        <v>0</v>
      </c>
      <c r="U22" s="77" t="str">
        <f>Maart!U22</f>
        <v/>
      </c>
      <c r="V22" s="327" t="str">
        <f>Maart!V22</f>
        <v/>
      </c>
      <c r="W22" s="325" t="str">
        <f>IFERROR(VLOOKUP(V22, Tarieven!$A$2:$J$150, 10, FALSE), "0")</f>
        <v>0</v>
      </c>
      <c r="X22" s="138">
        <f>Maart!X22</f>
        <v>9</v>
      </c>
      <c r="Y22" s="398">
        <v>0.0</v>
      </c>
      <c r="Z22" s="329">
        <f t="shared" si="3"/>
        <v>10</v>
      </c>
      <c r="AA22" s="32">
        <f t="shared" si="4"/>
        <v>56.8</v>
      </c>
      <c r="AB22" s="32">
        <f t="shared" si="5"/>
        <v>34.25</v>
      </c>
      <c r="AC22" s="32">
        <f t="shared" si="6"/>
        <v>-22.55</v>
      </c>
    </row>
    <row r="23" ht="22.5" customHeight="1">
      <c r="A23" s="331" t="str">
        <f>Rooster!A24</f>
        <v/>
      </c>
      <c r="B23" s="396" t="str">
        <f>Rooster!B24</f>
        <v/>
      </c>
      <c r="C23" s="15" t="str">
        <f>Rooster!C24</f>
        <v/>
      </c>
      <c r="D23" s="11" t="str">
        <f>Rooster!D24</f>
        <v/>
      </c>
      <c r="E23" s="77"/>
      <c r="F23" s="327" t="str">
        <f>Rooster!E24</f>
        <v/>
      </c>
      <c r="G23" s="319" t="str">
        <f>IFERROR(VLOOKUP(F23, Docenten!$A$2:$G$30, 7, FALSE), "0")</f>
        <v>0</v>
      </c>
      <c r="H23" s="320">
        <f t="shared" si="1"/>
        <v>0</v>
      </c>
      <c r="I23" s="327" t="str">
        <f>Rooster!H24</f>
        <v/>
      </c>
      <c r="J23" s="321" t="str">
        <f>IFERROR(VLOOKUP(I23, Locaties!$A$2:$G$15, 7, FALSE), "0")</f>
        <v>0</v>
      </c>
      <c r="K23" s="42">
        <f t="shared" si="2"/>
        <v>0</v>
      </c>
      <c r="L23" s="427" t="str">
        <f>Maart!L23</f>
        <v/>
      </c>
      <c r="M23" s="428" t="str">
        <f>Maart!M23</f>
        <v/>
      </c>
      <c r="N23" s="325" t="str">
        <f>IFERROR(VLOOKUP(M23, Tarieven[], 10, FALSE), "0")</f>
        <v>0</v>
      </c>
      <c r="O23" s="427" t="str">
        <f>Maart!O23</f>
        <v/>
      </c>
      <c r="P23" s="428" t="str">
        <f>Maart!P23</f>
        <v/>
      </c>
      <c r="Q23" s="325" t="str">
        <f>IFERROR(VLOOKUP(P23, Tarieven!$A$2:$J$150, 10, FALSE), "0")</f>
        <v>0</v>
      </c>
      <c r="R23" s="444" t="str">
        <f>Maart!R23</f>
        <v/>
      </c>
      <c r="S23" s="428" t="str">
        <f>Maart!S23</f>
        <v/>
      </c>
      <c r="T23" s="325" t="str">
        <f>IFERROR(VLOOKUP(S23, Tarieven!$A$2:$J$150, 10, FALSE), "0")</f>
        <v>0</v>
      </c>
      <c r="U23" s="77" t="str">
        <f>Maart!U23</f>
        <v/>
      </c>
      <c r="V23" s="327" t="str">
        <f>Maart!V23</f>
        <v/>
      </c>
      <c r="W23" s="325" t="str">
        <f>IFERROR(VLOOKUP(V23, Tarieven!$A$2:$J$150, 10, FALSE), "0")</f>
        <v>0</v>
      </c>
      <c r="X23" s="138">
        <f>Maart!X23</f>
        <v>0</v>
      </c>
      <c r="Y23" s="398">
        <v>0.0</v>
      </c>
      <c r="Z23" s="329">
        <f t="shared" si="3"/>
        <v>0</v>
      </c>
      <c r="AA23" s="32">
        <f t="shared" si="4"/>
        <v>0</v>
      </c>
      <c r="AB23" s="32">
        <f t="shared" si="5"/>
        <v>0</v>
      </c>
      <c r="AC23" s="32">
        <f t="shared" si="6"/>
        <v>0</v>
      </c>
    </row>
    <row r="24" ht="22.5" customHeight="1">
      <c r="A24" s="331" t="str">
        <f>Rooster!A25</f>
        <v>Donderdag</v>
      </c>
      <c r="B24" s="396">
        <f>Rooster!B25</f>
        <v>0.6458333333</v>
      </c>
      <c r="C24" s="15">
        <f>Rooster!C25</f>
        <v>60</v>
      </c>
      <c r="D24" s="11" t="str">
        <f>Rooster!D25</f>
        <v>Showdance 6+</v>
      </c>
      <c r="E24" s="77">
        <v>4.0</v>
      </c>
      <c r="F24" s="70" t="s">
        <v>59</v>
      </c>
      <c r="G24" s="319">
        <f>IFERROR(VLOOKUP(F24, Docenten!$A$2:$G$30, 7, FALSE), "0")</f>
        <v>20</v>
      </c>
      <c r="H24" s="320">
        <f t="shared" si="1"/>
        <v>20</v>
      </c>
      <c r="I24" s="327" t="str">
        <f>Rooster!H25</f>
        <v>Santpoort Zuid</v>
      </c>
      <c r="J24" s="321">
        <f>IFERROR(VLOOKUP(I24, Locaties!$A$2:$G$15, 7, FALSE), "0")</f>
        <v>18.9</v>
      </c>
      <c r="K24" s="42">
        <f t="shared" si="2"/>
        <v>18.9</v>
      </c>
      <c r="L24" s="427">
        <f>Maart!L24</f>
        <v>6</v>
      </c>
      <c r="M24" s="428" t="str">
        <f>Maart!M24</f>
        <v>1x per week abbo</v>
      </c>
      <c r="N24" s="325">
        <f>IFERROR(VLOOKUP(M24, Tarieven[], 10, FALSE), "0")</f>
        <v>31</v>
      </c>
      <c r="O24" s="427">
        <f>Maart!O24</f>
        <v>3</v>
      </c>
      <c r="P24" s="428" t="str">
        <f>Maart!P24</f>
        <v>2x per week abbo</v>
      </c>
      <c r="Q24" s="325">
        <f>IFERROR(VLOOKUP(P24, Tarieven!$A$2:$J$150, 10, FALSE), "0")</f>
        <v>28.55</v>
      </c>
      <c r="R24" s="444" t="str">
        <f>Maart!R24</f>
        <v/>
      </c>
      <c r="S24" s="428" t="str">
        <f>Maart!S24</f>
        <v/>
      </c>
      <c r="T24" s="325" t="str">
        <f>IFERROR(VLOOKUP(S24, Tarieven!$A$2:$J$150, 10, FALSE), "0")</f>
        <v>0</v>
      </c>
      <c r="U24" s="77" t="str">
        <f>Maart!U24</f>
        <v/>
      </c>
      <c r="V24" s="327" t="str">
        <f>Maart!V24</f>
        <v/>
      </c>
      <c r="W24" s="325" t="str">
        <f>IFERROR(VLOOKUP(V24, Tarieven!$A$2:$J$150, 10, FALSE), "0")</f>
        <v>0</v>
      </c>
      <c r="X24" s="138">
        <f>Maart!X24</f>
        <v>4</v>
      </c>
      <c r="Y24" s="398">
        <v>0.0</v>
      </c>
      <c r="Z24" s="329">
        <f t="shared" si="3"/>
        <v>13</v>
      </c>
      <c r="AA24" s="32">
        <f t="shared" si="4"/>
        <v>155.6</v>
      </c>
      <c r="AB24" s="32">
        <f t="shared" si="5"/>
        <v>271.65</v>
      </c>
      <c r="AC24" s="32">
        <f t="shared" si="6"/>
        <v>116.05</v>
      </c>
    </row>
    <row r="25" ht="22.5" customHeight="1">
      <c r="A25" s="331" t="str">
        <f>Rooster!A26</f>
        <v>Donderdag</v>
      </c>
      <c r="B25" s="396">
        <f>Rooster!B26</f>
        <v>0.6875</v>
      </c>
      <c r="C25" s="15">
        <f>Rooster!C26</f>
        <v>60</v>
      </c>
      <c r="D25" s="11" t="str">
        <f>Rooster!D26</f>
        <v>Showdance 8+</v>
      </c>
      <c r="E25" s="77">
        <v>4.0</v>
      </c>
      <c r="F25" s="70" t="s">
        <v>59</v>
      </c>
      <c r="G25" s="319">
        <f>IFERROR(VLOOKUP(F25, Docenten!$A$2:$G$30, 7, FALSE), "0")</f>
        <v>20</v>
      </c>
      <c r="H25" s="320">
        <f t="shared" si="1"/>
        <v>20</v>
      </c>
      <c r="I25" s="327" t="str">
        <f>Rooster!H26</f>
        <v>Santpoort Zuid</v>
      </c>
      <c r="J25" s="321">
        <f>IFERROR(VLOOKUP(I25, Locaties!$A$2:$G$15, 7, FALSE), "0")</f>
        <v>18.9</v>
      </c>
      <c r="K25" s="42">
        <f t="shared" si="2"/>
        <v>18.9</v>
      </c>
      <c r="L25" s="427">
        <f>Maart!L25</f>
        <v>5</v>
      </c>
      <c r="M25" s="428" t="str">
        <f>Maart!M25</f>
        <v>1x per week abbo</v>
      </c>
      <c r="N25" s="325">
        <f>IFERROR(VLOOKUP(M25, Tarieven[], 10, FALSE), "0")</f>
        <v>31</v>
      </c>
      <c r="O25" s="427">
        <f>Maart!O25</f>
        <v>2</v>
      </c>
      <c r="P25" s="428" t="str">
        <f>Maart!P25</f>
        <v>2x per week abbo</v>
      </c>
      <c r="Q25" s="325">
        <f>IFERROR(VLOOKUP(P25, Tarieven!$A$2:$J$150, 10, FALSE), "0")</f>
        <v>28.55</v>
      </c>
      <c r="R25" s="444" t="str">
        <f>Maart!R25</f>
        <v/>
      </c>
      <c r="S25" s="428" t="str">
        <f>Maart!S25</f>
        <v/>
      </c>
      <c r="T25" s="325" t="str">
        <f>IFERROR(VLOOKUP(S25, Tarieven!$A$2:$J$150, 10, FALSE), "0")</f>
        <v>0</v>
      </c>
      <c r="U25" s="77" t="str">
        <f>Maart!U25</f>
        <v/>
      </c>
      <c r="V25" s="327" t="str">
        <f>Maart!V25</f>
        <v/>
      </c>
      <c r="W25" s="325" t="str">
        <f>IFERROR(VLOOKUP(V25, Tarieven!$A$2:$J$150, 10, FALSE), "0")</f>
        <v>0</v>
      </c>
      <c r="X25" s="138">
        <f>Maart!X25</f>
        <v>4</v>
      </c>
      <c r="Y25" s="398">
        <v>0.0</v>
      </c>
      <c r="Z25" s="329">
        <f t="shared" si="3"/>
        <v>11</v>
      </c>
      <c r="AA25" s="32">
        <f t="shared" si="4"/>
        <v>155.6</v>
      </c>
      <c r="AB25" s="32">
        <f t="shared" si="5"/>
        <v>212.1</v>
      </c>
      <c r="AC25" s="32">
        <f t="shared" si="6"/>
        <v>56.5</v>
      </c>
    </row>
    <row r="26" ht="22.5" customHeight="1">
      <c r="A26" s="331" t="str">
        <f>Rooster!A27</f>
        <v>Donderdag</v>
      </c>
      <c r="B26" s="396">
        <f>Rooster!B27</f>
        <v>0.7291666667</v>
      </c>
      <c r="C26" s="15">
        <f>Rooster!C27</f>
        <v>60</v>
      </c>
      <c r="D26" s="11" t="str">
        <f>Rooster!D27</f>
        <v>Modern 14+</v>
      </c>
      <c r="E26" s="77">
        <v>4.0</v>
      </c>
      <c r="F26" s="70" t="s">
        <v>59</v>
      </c>
      <c r="G26" s="319">
        <f>IFERROR(VLOOKUP(F26, Docenten!$A$2:$G$30, 7, FALSE), "0")</f>
        <v>20</v>
      </c>
      <c r="H26" s="320">
        <f t="shared" si="1"/>
        <v>20</v>
      </c>
      <c r="I26" s="327" t="str">
        <f>Rooster!H27</f>
        <v>Santpoort Zuid</v>
      </c>
      <c r="J26" s="321">
        <f>IFERROR(VLOOKUP(I26, Locaties!$A$2:$G$15, 7, FALSE), "0")</f>
        <v>18.9</v>
      </c>
      <c r="K26" s="42">
        <f t="shared" si="2"/>
        <v>18.9</v>
      </c>
      <c r="L26" s="427">
        <f>Maart!L26</f>
        <v>3</v>
      </c>
      <c r="M26" s="428" t="str">
        <f>Maart!M26</f>
        <v>3x per week abbo</v>
      </c>
      <c r="N26" s="325">
        <f>IFERROR(VLOOKUP(M26, Tarieven[], 10, FALSE), "0")</f>
        <v>28.93333333</v>
      </c>
      <c r="O26" s="427">
        <f>Maart!O26</f>
        <v>1</v>
      </c>
      <c r="P26" s="428" t="str">
        <f>Maart!P26</f>
        <v>2x per week abbo</v>
      </c>
      <c r="Q26" s="325">
        <f>IFERROR(VLOOKUP(P26, Tarieven!$A$2:$J$150, 10, FALSE), "0")</f>
        <v>28.55</v>
      </c>
      <c r="R26" s="444">
        <f>Maart!R26</f>
        <v>2</v>
      </c>
      <c r="S26" s="428" t="str">
        <f>Maart!S26</f>
        <v>Cheer selectie +2 abbo</v>
      </c>
      <c r="T26" s="325">
        <f>IFERROR(VLOOKUP(S26, Tarieven!$A$2:$J$150, 10, FALSE), "0")</f>
        <v>31.53333333</v>
      </c>
      <c r="U26" s="77" t="str">
        <f>Maart!U26</f>
        <v/>
      </c>
      <c r="V26" s="327" t="str">
        <f>Maart!V26</f>
        <v/>
      </c>
      <c r="W26" s="325" t="str">
        <f>IFERROR(VLOOKUP(V26, Tarieven!$A$2:$J$150, 10, FALSE), "0")</f>
        <v>0</v>
      </c>
      <c r="X26" s="138">
        <f>Maart!X26</f>
        <v>7</v>
      </c>
      <c r="Y26" s="398">
        <v>0.0</v>
      </c>
      <c r="Z26" s="329">
        <f t="shared" si="3"/>
        <v>13</v>
      </c>
      <c r="AA26" s="32">
        <f t="shared" si="4"/>
        <v>155.6</v>
      </c>
      <c r="AB26" s="32">
        <f t="shared" si="5"/>
        <v>178.4166667</v>
      </c>
      <c r="AC26" s="32">
        <f t="shared" si="6"/>
        <v>22.81666667</v>
      </c>
    </row>
    <row r="27" ht="22.5" customHeight="1">
      <c r="A27" s="331" t="str">
        <f>Rooster!A28</f>
        <v>Donderdag</v>
      </c>
      <c r="B27" s="396">
        <f>Rooster!B28</f>
        <v>0.7708333333</v>
      </c>
      <c r="C27" s="15">
        <f>Rooster!C28</f>
        <v>60</v>
      </c>
      <c r="D27" s="11" t="str">
        <f>Rooster!D28</f>
        <v>Commercial 14+</v>
      </c>
      <c r="E27" s="77">
        <v>4.0</v>
      </c>
      <c r="F27" s="327" t="str">
        <f>Rooster!E28</f>
        <v>Nova</v>
      </c>
      <c r="G27" s="319">
        <f>IFERROR(VLOOKUP(F27, Docenten!$A$2:$G$30, 7, FALSE), "0")</f>
        <v>22.5</v>
      </c>
      <c r="H27" s="320">
        <f t="shared" si="1"/>
        <v>22.5</v>
      </c>
      <c r="I27" s="327" t="str">
        <f>Rooster!H28</f>
        <v>Santpoort Zuid</v>
      </c>
      <c r="J27" s="321">
        <f>IFERROR(VLOOKUP(I27, Locaties!$A$2:$G$15, 7, FALSE), "0")</f>
        <v>18.9</v>
      </c>
      <c r="K27" s="42">
        <f t="shared" si="2"/>
        <v>18.9</v>
      </c>
      <c r="L27" s="427">
        <f>Maart!L27</f>
        <v>5</v>
      </c>
      <c r="M27" s="428" t="str">
        <f>Maart!M27</f>
        <v>3x per week abbo</v>
      </c>
      <c r="N27" s="325">
        <f>IFERROR(VLOOKUP(M27, Tarieven[], 10, FALSE), "0")</f>
        <v>28.93333333</v>
      </c>
      <c r="O27" s="427">
        <f>Maart!O27</f>
        <v>2</v>
      </c>
      <c r="P27" s="428" t="str">
        <f>Maart!P27</f>
        <v>2x per week abbo</v>
      </c>
      <c r="Q27" s="325">
        <f>IFERROR(VLOOKUP(P27, Tarieven!$A$2:$J$150, 10, FALSE), "0")</f>
        <v>28.55</v>
      </c>
      <c r="R27" s="444">
        <f>Maart!R27</f>
        <v>2</v>
      </c>
      <c r="S27" s="428" t="str">
        <f>Maart!S27</f>
        <v>Cheer selectie +2 abbo</v>
      </c>
      <c r="T27" s="325">
        <f>IFERROR(VLOOKUP(S27, Tarieven!$A$2:$J$150, 10, FALSE), "0")</f>
        <v>31.53333333</v>
      </c>
      <c r="U27" s="77">
        <f>Maart!U27</f>
        <v>1</v>
      </c>
      <c r="V27" s="327" t="str">
        <f>Maart!V27</f>
        <v>1x per week abbo</v>
      </c>
      <c r="W27" s="325">
        <f>IFERROR(VLOOKUP(V27, Tarieven!$A$2:$J$150, 10, FALSE), "0")</f>
        <v>31</v>
      </c>
      <c r="X27" s="138">
        <f>Maart!X27</f>
        <v>10</v>
      </c>
      <c r="Y27" s="398">
        <v>0.0</v>
      </c>
      <c r="Z27" s="329">
        <f t="shared" si="3"/>
        <v>20</v>
      </c>
      <c r="AA27" s="32">
        <f t="shared" si="4"/>
        <v>165.6</v>
      </c>
      <c r="AB27" s="32">
        <f t="shared" si="5"/>
        <v>295.8333333</v>
      </c>
      <c r="AC27" s="32">
        <f t="shared" si="6"/>
        <v>130.2333333</v>
      </c>
    </row>
    <row r="28" ht="22.5" customHeight="1">
      <c r="A28" s="331" t="str">
        <f>Rooster!A29</f>
        <v>Donderdag</v>
      </c>
      <c r="B28" s="396">
        <f>Rooster!B29</f>
        <v>0.8125</v>
      </c>
      <c r="C28" s="15">
        <f>Rooster!C29</f>
        <v>60</v>
      </c>
      <c r="D28" s="11" t="str">
        <f>Rooster!D29</f>
        <v>Selectie Hiphop 16+</v>
      </c>
      <c r="E28" s="77">
        <v>4.0</v>
      </c>
      <c r="F28" s="327" t="str">
        <f>Rooster!E29</f>
        <v>Nova</v>
      </c>
      <c r="G28" s="319">
        <f>IFERROR(VLOOKUP(F28, Docenten!$A$2:$G$30, 7, FALSE), "0")</f>
        <v>22.5</v>
      </c>
      <c r="H28" s="320">
        <f t="shared" si="1"/>
        <v>22.5</v>
      </c>
      <c r="I28" s="327" t="str">
        <f>Rooster!H29</f>
        <v>Santpoort Zuid</v>
      </c>
      <c r="J28" s="321">
        <f>IFERROR(VLOOKUP(I28, Locaties!$A$2:$G$15, 7, FALSE), "0")</f>
        <v>18.9</v>
      </c>
      <c r="K28" s="42">
        <f t="shared" si="2"/>
        <v>18.9</v>
      </c>
      <c r="L28" s="427">
        <f>Maart!L28</f>
        <v>2</v>
      </c>
      <c r="M28" s="428" t="str">
        <f>Maart!M28</f>
        <v>Cheer selectie +2 abbo</v>
      </c>
      <c r="N28" s="325">
        <f>IFERROR(VLOOKUP(M28, Tarieven[], 10, FALSE), "0")</f>
        <v>31.53333333</v>
      </c>
      <c r="O28" s="427">
        <f>Maart!O28</f>
        <v>3</v>
      </c>
      <c r="P28" s="428" t="str">
        <f>Maart!P28</f>
        <v>3x per week abbo</v>
      </c>
      <c r="Q28" s="325">
        <f>IFERROR(VLOOKUP(P28, Tarieven!$A$2:$J$150, 10, FALSE), "0")</f>
        <v>28.93333333</v>
      </c>
      <c r="R28" s="444">
        <f>Maart!R28</f>
        <v>2</v>
      </c>
      <c r="S28" s="428" t="str">
        <f>Maart!S28</f>
        <v>2x per week abbo</v>
      </c>
      <c r="T28" s="325">
        <f>IFERROR(VLOOKUP(S28, Tarieven!$A$2:$J$150, 10, FALSE), "0")</f>
        <v>28.55</v>
      </c>
      <c r="U28" s="77" t="str">
        <f>Maart!U28</f>
        <v/>
      </c>
      <c r="V28" s="327" t="str">
        <f>Maart!V28</f>
        <v/>
      </c>
      <c r="W28" s="325" t="str">
        <f>IFERROR(VLOOKUP(V28, Tarieven!$A$2:$J$150, 10, FALSE), "0")</f>
        <v>0</v>
      </c>
      <c r="X28" s="138">
        <f>Maart!X28</f>
        <v>8</v>
      </c>
      <c r="Y28" s="398">
        <v>0.0</v>
      </c>
      <c r="Z28" s="329">
        <f t="shared" si="3"/>
        <v>15</v>
      </c>
      <c r="AA28" s="32">
        <f t="shared" si="4"/>
        <v>165.6</v>
      </c>
      <c r="AB28" s="32">
        <f t="shared" si="5"/>
        <v>206.9666667</v>
      </c>
      <c r="AC28" s="32">
        <f t="shared" si="6"/>
        <v>41.36666667</v>
      </c>
    </row>
    <row r="29" ht="22.5" customHeight="1">
      <c r="A29" s="331" t="str">
        <f>Rooster!A30</f>
        <v>Donderdag</v>
      </c>
      <c r="B29" s="396">
        <f>Rooster!B30</f>
        <v>0.8541666667</v>
      </c>
      <c r="C29" s="15">
        <f>Rooster!C30</f>
        <v>60</v>
      </c>
      <c r="D29" s="11" t="str">
        <f>Rooster!D30</f>
        <v>Modern 16+</v>
      </c>
      <c r="E29" s="77">
        <v>4.0</v>
      </c>
      <c r="F29" s="327" t="str">
        <f>Rooster!E30</f>
        <v>Nova</v>
      </c>
      <c r="G29" s="319">
        <f>IFERROR(VLOOKUP(F29, Docenten!$A$2:$G$30, 7, FALSE), "0")</f>
        <v>22.5</v>
      </c>
      <c r="H29" s="320">
        <f t="shared" si="1"/>
        <v>22.5</v>
      </c>
      <c r="I29" s="327" t="str">
        <f>Rooster!H30</f>
        <v>Santpoort Zuid</v>
      </c>
      <c r="J29" s="321">
        <f>IFERROR(VLOOKUP(I29, Locaties!$A$2:$G$15, 7, FALSE), "0")</f>
        <v>18.9</v>
      </c>
      <c r="K29" s="42">
        <f t="shared" si="2"/>
        <v>18.9</v>
      </c>
      <c r="L29" s="427">
        <f>Maart!L29</f>
        <v>1</v>
      </c>
      <c r="M29" s="428" t="str">
        <f>Maart!M29</f>
        <v>1x per week abbo</v>
      </c>
      <c r="N29" s="325">
        <f>IFERROR(VLOOKUP(M29, Tarieven[], 10, FALSE), "0")</f>
        <v>31</v>
      </c>
      <c r="O29" s="427">
        <f>Maart!O29</f>
        <v>2</v>
      </c>
      <c r="P29" s="428" t="str">
        <f>Maart!P29</f>
        <v>3x per week abbo</v>
      </c>
      <c r="Q29" s="325">
        <f>IFERROR(VLOOKUP(P29, Tarieven!$A$2:$J$150, 10, FALSE), "0")</f>
        <v>28.93333333</v>
      </c>
      <c r="R29" s="444" t="str">
        <f>Maart!R29</f>
        <v/>
      </c>
      <c r="S29" s="428" t="str">
        <f>Maart!S29</f>
        <v/>
      </c>
      <c r="T29" s="325" t="str">
        <f>IFERROR(VLOOKUP(S29, Tarieven!$A$2:$J$150, 10, FALSE), "0")</f>
        <v>0</v>
      </c>
      <c r="U29" s="77" t="str">
        <f>Maart!U29</f>
        <v/>
      </c>
      <c r="V29" s="327" t="str">
        <f>Maart!V29</f>
        <v/>
      </c>
      <c r="W29" s="325" t="str">
        <f>IFERROR(VLOOKUP(V29, Tarieven!$A$2:$J$150, 10, FALSE), "0")</f>
        <v>0</v>
      </c>
      <c r="X29" s="138">
        <f>Maart!X29</f>
        <v>5</v>
      </c>
      <c r="Y29" s="398">
        <v>0.0</v>
      </c>
      <c r="Z29" s="329">
        <f t="shared" si="3"/>
        <v>8</v>
      </c>
      <c r="AA29" s="32">
        <f t="shared" si="4"/>
        <v>165.6</v>
      </c>
      <c r="AB29" s="32">
        <f t="shared" si="5"/>
        <v>88.86666667</v>
      </c>
      <c r="AC29" s="32">
        <f t="shared" si="6"/>
        <v>-76.73333333</v>
      </c>
    </row>
    <row r="30" ht="22.5" customHeight="1">
      <c r="A30" s="331" t="str">
        <f>Rooster!A31</f>
        <v>Vrijdag</v>
      </c>
      <c r="B30" s="396">
        <f>Rooster!B31</f>
        <v>0.625</v>
      </c>
      <c r="C30" s="15">
        <f>Rooster!C31</f>
        <v>60</v>
      </c>
      <c r="D30" s="11" t="str">
        <f>Rooster!D31</f>
        <v>Selectie Hiphop 8+</v>
      </c>
      <c r="E30" s="77">
        <v>4.0</v>
      </c>
      <c r="F30" s="327" t="str">
        <f>Rooster!E31</f>
        <v>Eigenaar</v>
      </c>
      <c r="G30" s="319">
        <f>IFERROR(VLOOKUP(F30, Docenten!$A$2:$G$30, 7, FALSE), "0")</f>
        <v>0</v>
      </c>
      <c r="H30" s="320">
        <f t="shared" si="1"/>
        <v>0</v>
      </c>
      <c r="I30" s="327" t="str">
        <f>Rooster!H31</f>
        <v>Santpoort Zuid</v>
      </c>
      <c r="J30" s="321">
        <f>IFERROR(VLOOKUP(I30, Locaties!$A$2:$G$15, 7, FALSE), "0")</f>
        <v>18.9</v>
      </c>
      <c r="K30" s="42">
        <f t="shared" si="2"/>
        <v>18.9</v>
      </c>
      <c r="L30" s="427">
        <f>Maart!L30</f>
        <v>5</v>
      </c>
      <c r="M30" s="428" t="str">
        <f>Maart!M30</f>
        <v>2x per week abbo</v>
      </c>
      <c r="N30" s="325">
        <f>IFERROR(VLOOKUP(M30, Tarieven[], 10, FALSE), "0")</f>
        <v>28.55</v>
      </c>
      <c r="O30" s="427">
        <f>Maart!O30</f>
        <v>3</v>
      </c>
      <c r="P30" s="428" t="str">
        <f>Maart!P30</f>
        <v>Cheer regulier + onbeperkt abbo</v>
      </c>
      <c r="Q30" s="325">
        <f>IFERROR(VLOOKUP(P30, Tarieven!$A$2:$J$150, 10, FALSE), "0")</f>
        <v>44.45</v>
      </c>
      <c r="R30" s="444">
        <f>Maart!R30</f>
        <v>1</v>
      </c>
      <c r="S30" s="428" t="str">
        <f>Maart!S30</f>
        <v>Cheer regulier +2 abbo</v>
      </c>
      <c r="T30" s="325">
        <f>IFERROR(VLOOKUP(S30, Tarieven!$A$2:$J$150, 10, FALSE), "0")</f>
        <v>29.03333333</v>
      </c>
      <c r="U30" s="77" t="str">
        <f>Maart!U30</f>
        <v/>
      </c>
      <c r="V30" s="327" t="str">
        <f>Maart!V30</f>
        <v/>
      </c>
      <c r="W30" s="325" t="str">
        <f>IFERROR(VLOOKUP(V30, Tarieven!$A$2:$J$150, 10, FALSE), "0")</f>
        <v>0</v>
      </c>
      <c r="X30" s="138">
        <f>Maart!X30</f>
        <v>4</v>
      </c>
      <c r="Y30" s="398">
        <v>0.0</v>
      </c>
      <c r="Z30" s="329">
        <f t="shared" si="3"/>
        <v>13</v>
      </c>
      <c r="AA30" s="32">
        <f t="shared" si="4"/>
        <v>75.6</v>
      </c>
      <c r="AB30" s="32">
        <f t="shared" si="5"/>
        <v>305.1333333</v>
      </c>
      <c r="AC30" s="32">
        <f t="shared" si="6"/>
        <v>229.5333333</v>
      </c>
    </row>
    <row r="31" ht="22.5" customHeight="1">
      <c r="A31" s="331" t="str">
        <f>Rooster!A32</f>
        <v>Vrijdag</v>
      </c>
      <c r="B31" s="396">
        <f>Rooster!B32</f>
        <v>0.6666666667</v>
      </c>
      <c r="C31" s="15">
        <f>Rooster!C32</f>
        <v>60</v>
      </c>
      <c r="D31" s="11" t="str">
        <f>Rooster!D32</f>
        <v>Cheer 8+</v>
      </c>
      <c r="E31" s="77">
        <v>4.0</v>
      </c>
      <c r="F31" s="327" t="str">
        <f>Rooster!E32</f>
        <v>Eigenaar</v>
      </c>
      <c r="G31" s="319">
        <f>IFERROR(VLOOKUP(F31, Docenten!$A$2:$G$30, 7, FALSE), "0")</f>
        <v>0</v>
      </c>
      <c r="H31" s="320">
        <f t="shared" si="1"/>
        <v>0</v>
      </c>
      <c r="I31" s="327" t="str">
        <f>Rooster!H32</f>
        <v>Santpoort Zuid</v>
      </c>
      <c r="J31" s="321">
        <f>IFERROR(VLOOKUP(I31, Locaties!$A$2:$G$15, 7, FALSE), "0")</f>
        <v>18.9</v>
      </c>
      <c r="K31" s="42">
        <f t="shared" si="2"/>
        <v>18.9</v>
      </c>
      <c r="L31" s="427">
        <f>Maart!L31</f>
        <v>3</v>
      </c>
      <c r="M31" s="428" t="str">
        <f>Maart!M31</f>
        <v>Cheer regulier + onbeperkt abbo</v>
      </c>
      <c r="N31" s="325">
        <f>IFERROR(VLOOKUP(M31, Tarieven[], 10, FALSE), "0")</f>
        <v>44.45</v>
      </c>
      <c r="O31" s="427">
        <f>Maart!O31</f>
        <v>5</v>
      </c>
      <c r="P31" s="428" t="str">
        <f>Maart!P31</f>
        <v>Cheer regulier +1 abbo</v>
      </c>
      <c r="Q31" s="325">
        <f>IFERROR(VLOOKUP(P31, Tarieven!$A$2:$J$150, 10, FALSE), "0")</f>
        <v>32.25</v>
      </c>
      <c r="R31" s="444">
        <f>Maart!R31</f>
        <v>1</v>
      </c>
      <c r="S31" s="428" t="str">
        <f>Maart!S31</f>
        <v>Cheer regulier abbo</v>
      </c>
      <c r="T31" s="325">
        <f>IFERROR(VLOOKUP(S31, Tarieven!$A$2:$J$150, 10, FALSE), "0")</f>
        <v>33.5</v>
      </c>
      <c r="U31" s="77">
        <f>Maart!U31</f>
        <v>1</v>
      </c>
      <c r="V31" s="327" t="str">
        <f>Maart!V31</f>
        <v>1x per week </v>
      </c>
      <c r="W31" s="325">
        <f>IFERROR(VLOOKUP(V31, Tarieven!$A$2:$J$150, 10, FALSE), "0")</f>
        <v>279</v>
      </c>
      <c r="X31" s="138">
        <f>Maart!X31</f>
        <v>11</v>
      </c>
      <c r="Y31" s="398">
        <v>0.0</v>
      </c>
      <c r="Z31" s="329">
        <f t="shared" si="3"/>
        <v>21</v>
      </c>
      <c r="AA31" s="32">
        <f t="shared" si="4"/>
        <v>75.6</v>
      </c>
      <c r="AB31" s="32">
        <f t="shared" si="5"/>
        <v>607.1</v>
      </c>
      <c r="AC31" s="32">
        <f t="shared" si="6"/>
        <v>531.5</v>
      </c>
    </row>
    <row r="32" ht="22.5" customHeight="1">
      <c r="A32" s="331" t="str">
        <f>Rooster!A33</f>
        <v>Vrijdag</v>
      </c>
      <c r="B32" s="396">
        <f>Rooster!B33</f>
        <v>0.7083333333</v>
      </c>
      <c r="C32" s="15">
        <f>Rooster!C33</f>
        <v>60</v>
      </c>
      <c r="D32" s="11" t="str">
        <f>Rooster!D33</f>
        <v>Cheer 12+</v>
      </c>
      <c r="E32" s="77">
        <v>4.0</v>
      </c>
      <c r="F32" s="327" t="str">
        <f>Rooster!E33</f>
        <v>Eigenaar</v>
      </c>
      <c r="G32" s="319">
        <f>IFERROR(VLOOKUP(F32, Docenten!$A$2:$G$30, 7, FALSE), "0")</f>
        <v>0</v>
      </c>
      <c r="H32" s="320">
        <f t="shared" si="1"/>
        <v>0</v>
      </c>
      <c r="I32" s="327" t="str">
        <f>Rooster!H33</f>
        <v>Santpoort Zuid</v>
      </c>
      <c r="J32" s="321">
        <f>IFERROR(VLOOKUP(I32, Locaties!$A$2:$G$15, 7, FALSE), "0")</f>
        <v>18.9</v>
      </c>
      <c r="K32" s="42">
        <f t="shared" si="2"/>
        <v>18.9</v>
      </c>
      <c r="L32" s="427">
        <f>Maart!L32</f>
        <v>4</v>
      </c>
      <c r="M32" s="428" t="str">
        <f>Maart!M32</f>
        <v>Cheer regulier +1 abbo</v>
      </c>
      <c r="N32" s="325">
        <f>IFERROR(VLOOKUP(M32, Tarieven[], 10, FALSE), "0")</f>
        <v>32.25</v>
      </c>
      <c r="O32" s="427">
        <f>Maart!O32</f>
        <v>3</v>
      </c>
      <c r="P32" s="428" t="str">
        <f>Maart!P32</f>
        <v>Cheer regulier + onbeperkt abbo</v>
      </c>
      <c r="Q32" s="325">
        <f>IFERROR(VLOOKUP(P32, Tarieven!$A$2:$J$150, 10, FALSE), "0")</f>
        <v>44.45</v>
      </c>
      <c r="R32" s="444">
        <f>Maart!R32</f>
        <v>1</v>
      </c>
      <c r="S32" s="428" t="str">
        <f>Maart!S32</f>
        <v>Cheer regulier abbo</v>
      </c>
      <c r="T32" s="325">
        <f>IFERROR(VLOOKUP(S32, Tarieven!$A$2:$J$150, 10, FALSE), "0")</f>
        <v>33.5</v>
      </c>
      <c r="U32" s="77">
        <f>Maart!U32</f>
        <v>2</v>
      </c>
      <c r="V32" s="327" t="str">
        <f>Maart!V32</f>
        <v>1x per week abbo</v>
      </c>
      <c r="W32" s="325">
        <f>IFERROR(VLOOKUP(V32, Tarieven!$A$2:$J$150, 10, FALSE), "0")</f>
        <v>31</v>
      </c>
      <c r="X32" s="138">
        <f>Maart!X32</f>
        <v>5</v>
      </c>
      <c r="Y32" s="398">
        <v>0.0</v>
      </c>
      <c r="Z32" s="329">
        <f t="shared" si="3"/>
        <v>15</v>
      </c>
      <c r="AA32" s="32">
        <f t="shared" si="4"/>
        <v>75.6</v>
      </c>
      <c r="AB32" s="32">
        <f t="shared" si="5"/>
        <v>357.85</v>
      </c>
      <c r="AC32" s="32">
        <f t="shared" si="6"/>
        <v>282.25</v>
      </c>
    </row>
    <row r="33" ht="22.5" customHeight="1">
      <c r="A33" s="331" t="str">
        <f>Rooster!A34</f>
        <v>Vrijdag</v>
      </c>
      <c r="B33" s="396">
        <f>Rooster!B34</f>
        <v>0.75</v>
      </c>
      <c r="C33" s="15">
        <f>Rooster!C34</f>
        <v>60</v>
      </c>
      <c r="D33" s="11" t="str">
        <f>Rooster!D34</f>
        <v>Urban-pop-Show 11+</v>
      </c>
      <c r="E33" s="77">
        <v>4.0</v>
      </c>
      <c r="F33" s="327" t="str">
        <f>Rooster!E34</f>
        <v>Eigenaar</v>
      </c>
      <c r="G33" s="319">
        <f>IFERROR(VLOOKUP(F33, Docenten!$A$2:$G$30, 7, FALSE), "0")</f>
        <v>0</v>
      </c>
      <c r="H33" s="320">
        <f t="shared" si="1"/>
        <v>0</v>
      </c>
      <c r="I33" s="327" t="str">
        <f>Rooster!H34</f>
        <v>Santpoort Noord</v>
      </c>
      <c r="J33" s="321">
        <f>IFERROR(VLOOKUP(I33, Locaties!$A$2:$G$15, 7, FALSE), "0")</f>
        <v>14.2</v>
      </c>
      <c r="K33" s="42">
        <f t="shared" si="2"/>
        <v>14.2</v>
      </c>
      <c r="L33" s="427">
        <f>Maart!L33</f>
        <v>2</v>
      </c>
      <c r="M33" s="428" t="str">
        <f>Maart!M33</f>
        <v>Cheer regulier +1 abbo</v>
      </c>
      <c r="N33" s="325">
        <f>IFERROR(VLOOKUP(M33, Tarieven[], 10, FALSE), "0")</f>
        <v>32.25</v>
      </c>
      <c r="O33" s="427">
        <f>Maart!O33</f>
        <v>3</v>
      </c>
      <c r="P33" s="428" t="str">
        <f>Maart!P33</f>
        <v>1x per week abbo</v>
      </c>
      <c r="Q33" s="325"/>
      <c r="R33" s="444" t="str">
        <f>Maart!R33</f>
        <v/>
      </c>
      <c r="S33" s="428" t="str">
        <f>Maart!S33</f>
        <v/>
      </c>
      <c r="T33" s="325" t="str">
        <f>IFERROR(VLOOKUP(S33, Tarieven!$A$2:$J$150, 10, FALSE), "0")</f>
        <v>0</v>
      </c>
      <c r="U33" s="77" t="str">
        <f>Maart!U33</f>
        <v/>
      </c>
      <c r="V33" s="327" t="str">
        <f>Maart!V33</f>
        <v/>
      </c>
      <c r="W33" s="325" t="str">
        <f>IFERROR(VLOOKUP(V33, Tarieven!$A$2:$J$150, 10, FALSE), "0")</f>
        <v>0</v>
      </c>
      <c r="X33" s="138">
        <f>Maart!X33</f>
        <v>8</v>
      </c>
      <c r="Y33" s="398">
        <v>0.0</v>
      </c>
      <c r="Z33" s="329">
        <f t="shared" si="3"/>
        <v>13</v>
      </c>
      <c r="AA33" s="32">
        <f t="shared" si="4"/>
        <v>56.8</v>
      </c>
      <c r="AB33" s="32">
        <f t="shared" si="5"/>
        <v>64.5</v>
      </c>
      <c r="AC33" s="32">
        <f t="shared" si="6"/>
        <v>7.7</v>
      </c>
    </row>
    <row r="34" ht="22.5" customHeight="1">
      <c r="A34" s="331" t="str">
        <f>Rooster!A35</f>
        <v>Zaterdag</v>
      </c>
      <c r="B34" s="396">
        <f>Rooster!B35</f>
        <v>0.375</v>
      </c>
      <c r="C34" s="15">
        <f>Rooster!C35</f>
        <v>60</v>
      </c>
      <c r="D34" s="11" t="str">
        <f>Rooster!D35</f>
        <v>Peuters</v>
      </c>
      <c r="E34" s="77">
        <v>3.0</v>
      </c>
      <c r="F34" s="327" t="str">
        <f>Rooster!E35</f>
        <v>Frederique</v>
      </c>
      <c r="G34" s="319">
        <f>IFERROR(VLOOKUP(F34, Docenten!$A$2:$G$30, 7, FALSE), "0")</f>
        <v>12.5</v>
      </c>
      <c r="H34" s="320">
        <f t="shared" si="1"/>
        <v>12.5</v>
      </c>
      <c r="I34" s="327" t="str">
        <f>Rooster!H35</f>
        <v>Santpoort Noord</v>
      </c>
      <c r="J34" s="321">
        <f>IFERROR(VLOOKUP(I34, Locaties!$A$2:$G$15, 7, FALSE), "0")</f>
        <v>14.2</v>
      </c>
      <c r="K34" s="42">
        <f t="shared" si="2"/>
        <v>14.2</v>
      </c>
      <c r="L34" s="427">
        <f>Maart!L34</f>
        <v>12</v>
      </c>
      <c r="M34" s="428" t="str">
        <f>Maart!M34</f>
        <v>1x per week abbo</v>
      </c>
      <c r="N34" s="325">
        <f>IFERROR(VLOOKUP(M34, Tarieven[], 10, FALSE), "0")</f>
        <v>31</v>
      </c>
      <c r="O34" s="427">
        <f>Maart!O34</f>
        <v>1</v>
      </c>
      <c r="P34" s="428" t="str">
        <f>Maart!P34</f>
        <v/>
      </c>
      <c r="Q34" s="325" t="str">
        <f>IFERROR(VLOOKUP(P34, Tarieven!$A$2:$J$150, 10, FALSE), "0")</f>
        <v>0</v>
      </c>
      <c r="R34" s="444" t="str">
        <f>Maart!R34</f>
        <v/>
      </c>
      <c r="S34" s="428" t="str">
        <f>Maart!S34</f>
        <v/>
      </c>
      <c r="T34" s="325" t="str">
        <f>IFERROR(VLOOKUP(S34, Tarieven!$A$2:$J$150, 10, FALSE), "0")</f>
        <v>0</v>
      </c>
      <c r="U34" s="77" t="str">
        <f>Maart!U34</f>
        <v/>
      </c>
      <c r="V34" s="327" t="str">
        <f>Maart!V34</f>
        <v/>
      </c>
      <c r="W34" s="325" t="str">
        <f>IFERROR(VLOOKUP(V34, Tarieven!$A$2:$J$150, 10, FALSE), "0")</f>
        <v>0</v>
      </c>
      <c r="X34" s="138">
        <f>Maart!X34</f>
        <v>4</v>
      </c>
      <c r="Y34" s="398">
        <v>0.0</v>
      </c>
      <c r="Z34" s="329">
        <f t="shared" si="3"/>
        <v>17</v>
      </c>
      <c r="AA34" s="32">
        <f t="shared" si="4"/>
        <v>80.1</v>
      </c>
      <c r="AB34" s="32">
        <f t="shared" si="5"/>
        <v>372</v>
      </c>
      <c r="AC34" s="32">
        <f t="shared" si="6"/>
        <v>291.9</v>
      </c>
    </row>
    <row r="35" ht="22.5" customHeight="1">
      <c r="A35" s="331" t="str">
        <f>Rooster!A36</f>
        <v>Zaterdag</v>
      </c>
      <c r="B35" s="396">
        <f>Rooster!B36</f>
        <v>0.40625</v>
      </c>
      <c r="C35" s="15">
        <f>Rooster!C36</f>
        <v>60</v>
      </c>
      <c r="D35" s="11" t="str">
        <f>Rooster!D36</f>
        <v>Kleuters</v>
      </c>
      <c r="E35" s="77">
        <v>3.0</v>
      </c>
      <c r="F35" s="327" t="str">
        <f>Rooster!E36</f>
        <v>Frederique</v>
      </c>
      <c r="G35" s="319">
        <f>IFERROR(VLOOKUP(F35, Docenten!$A$2:$G$30, 7, FALSE), "0")</f>
        <v>12.5</v>
      </c>
      <c r="H35" s="320">
        <f t="shared" si="1"/>
        <v>12.5</v>
      </c>
      <c r="I35" s="327" t="str">
        <f>Rooster!H36</f>
        <v>Santpoort Noord</v>
      </c>
      <c r="J35" s="321">
        <f>IFERROR(VLOOKUP(I35, Locaties!$A$2:$G$15, 7, FALSE), "0")</f>
        <v>14.2</v>
      </c>
      <c r="K35" s="42">
        <f t="shared" si="2"/>
        <v>14.2</v>
      </c>
      <c r="L35" s="427">
        <f>Maart!L35</f>
        <v>11</v>
      </c>
      <c r="M35" s="428" t="str">
        <f>Maart!M35</f>
        <v>1x per week abbo</v>
      </c>
      <c r="N35" s="325">
        <f>IFERROR(VLOOKUP(M35, Tarieven[], 10, FALSE), "0")</f>
        <v>31</v>
      </c>
      <c r="O35" s="427" t="str">
        <f>Maart!O35</f>
        <v/>
      </c>
      <c r="P35" s="428" t="str">
        <f>Maart!P35</f>
        <v/>
      </c>
      <c r="Q35" s="325"/>
      <c r="R35" s="444" t="str">
        <f>Maart!R35</f>
        <v/>
      </c>
      <c r="S35" s="428" t="str">
        <f>Maart!S35</f>
        <v/>
      </c>
      <c r="T35" s="325" t="str">
        <f>IFERROR(VLOOKUP(S35, Tarieven!$A$2:$J$150, 10, FALSE), "0")</f>
        <v>0</v>
      </c>
      <c r="U35" s="77" t="str">
        <f>Maart!U35</f>
        <v/>
      </c>
      <c r="V35" s="327" t="str">
        <f>Maart!V35</f>
        <v/>
      </c>
      <c r="W35" s="325" t="str">
        <f>IFERROR(VLOOKUP(V35, Tarieven!$A$2:$J$150, 10, FALSE), "0")</f>
        <v>0</v>
      </c>
      <c r="X35" s="138">
        <f>Maart!X35</f>
        <v>5</v>
      </c>
      <c r="Y35" s="398">
        <v>0.0</v>
      </c>
      <c r="Z35" s="329">
        <f t="shared" si="3"/>
        <v>16</v>
      </c>
      <c r="AA35" s="32">
        <f t="shared" si="4"/>
        <v>80.1</v>
      </c>
      <c r="AB35" s="32">
        <f t="shared" si="5"/>
        <v>341</v>
      </c>
      <c r="AC35" s="32">
        <f t="shared" si="6"/>
        <v>260.9</v>
      </c>
    </row>
    <row r="36" ht="22.5" customHeight="1">
      <c r="A36" s="331" t="str">
        <f>Rooster!A37</f>
        <v>Zaterdag</v>
      </c>
      <c r="B36" s="396">
        <f>Rooster!B37</f>
        <v>0.4375</v>
      </c>
      <c r="C36" s="15">
        <f>Rooster!C37</f>
        <v>60</v>
      </c>
      <c r="D36" s="11" t="str">
        <f>Rooster!D37</f>
        <v>Showdance 5-6</v>
      </c>
      <c r="E36" s="77">
        <v>3.0</v>
      </c>
      <c r="F36" s="327" t="str">
        <f>Rooster!E37</f>
        <v>Frederique</v>
      </c>
      <c r="G36" s="319">
        <f>IFERROR(VLOOKUP(F36, Docenten!$A$2:$G$30, 7, FALSE), "0")</f>
        <v>12.5</v>
      </c>
      <c r="H36" s="320">
        <f t="shared" si="1"/>
        <v>12.5</v>
      </c>
      <c r="I36" s="327" t="str">
        <f>Rooster!H37</f>
        <v>Santpoort Noord</v>
      </c>
      <c r="J36" s="321">
        <f>IFERROR(VLOOKUP(I36, Locaties!$A$2:$G$15, 7, FALSE), "0")</f>
        <v>14.2</v>
      </c>
      <c r="K36" s="42">
        <f t="shared" si="2"/>
        <v>14.2</v>
      </c>
      <c r="L36" s="427">
        <f>Maart!L36</f>
        <v>2</v>
      </c>
      <c r="M36" s="428" t="str">
        <f>Maart!M36</f>
        <v>1x per week abbo</v>
      </c>
      <c r="N36" s="325">
        <f>IFERROR(VLOOKUP(M36, Tarieven[], 10, FALSE), "0")</f>
        <v>31</v>
      </c>
      <c r="O36" s="427" t="str">
        <f>Maart!O36</f>
        <v/>
      </c>
      <c r="P36" s="428" t="str">
        <f>Maart!P36</f>
        <v/>
      </c>
      <c r="Q36" s="325" t="str">
        <f>IFERROR(VLOOKUP(P36, Tarieven!$A$2:$J$150, 10, FALSE), "0")</f>
        <v>0</v>
      </c>
      <c r="R36" s="444" t="str">
        <f>Maart!R36</f>
        <v/>
      </c>
      <c r="S36" s="428" t="str">
        <f>Maart!S36</f>
        <v/>
      </c>
      <c r="T36" s="325" t="str">
        <f>IFERROR(VLOOKUP(S36, Tarieven!$A$2:$J$150, 10, FALSE), "0")</f>
        <v>0</v>
      </c>
      <c r="U36" s="77" t="str">
        <f>Maart!U36</f>
        <v/>
      </c>
      <c r="V36" s="327" t="str">
        <f>Maart!V36</f>
        <v/>
      </c>
      <c r="W36" s="325" t="str">
        <f>IFERROR(VLOOKUP(V36, Tarieven!$A$2:$J$150, 10, FALSE), "0")</f>
        <v>0</v>
      </c>
      <c r="X36" s="138">
        <f>Maart!X36</f>
        <v>9</v>
      </c>
      <c r="Y36" s="398">
        <v>0.0</v>
      </c>
      <c r="Z36" s="329">
        <f t="shared" si="3"/>
        <v>11</v>
      </c>
      <c r="AA36" s="32">
        <f t="shared" si="4"/>
        <v>80.1</v>
      </c>
      <c r="AB36" s="32">
        <f t="shared" si="5"/>
        <v>62</v>
      </c>
      <c r="AC36" s="32">
        <f t="shared" si="6"/>
        <v>-18.1</v>
      </c>
    </row>
    <row r="37" ht="22.5" customHeight="1">
      <c r="A37" s="331" t="str">
        <f>Rooster!A38</f>
        <v>Zaterdag</v>
      </c>
      <c r="B37" s="396">
        <f>Rooster!B38</f>
        <v>0.4791666667</v>
      </c>
      <c r="C37" s="15">
        <f>Rooster!C38</f>
        <v>60</v>
      </c>
      <c r="D37" s="11" t="str">
        <f>Rooster!D38</f>
        <v>Showdance 7+</v>
      </c>
      <c r="E37" s="77">
        <v>3.0</v>
      </c>
      <c r="F37" s="327" t="str">
        <f>Rooster!E38</f>
        <v>Frederique</v>
      </c>
      <c r="G37" s="319">
        <f>IFERROR(VLOOKUP(F37, Docenten!$A$2:$G$30, 7, FALSE), "0")</f>
        <v>12.5</v>
      </c>
      <c r="H37" s="320">
        <f t="shared" si="1"/>
        <v>12.5</v>
      </c>
      <c r="I37" s="327" t="str">
        <f>Rooster!H38</f>
        <v>Santpoort Noord</v>
      </c>
      <c r="J37" s="321">
        <f>IFERROR(VLOOKUP(I37, Locaties!$A$2:$G$15, 7, FALSE), "0")</f>
        <v>14.2</v>
      </c>
      <c r="K37" s="42">
        <f t="shared" si="2"/>
        <v>14.2</v>
      </c>
      <c r="L37" s="427">
        <f>Maart!L37</f>
        <v>6</v>
      </c>
      <c r="M37" s="428" t="str">
        <f>Maart!M37</f>
        <v>1x per week abbo</v>
      </c>
      <c r="N37" s="325">
        <f>IFERROR(VLOOKUP(M37, Tarieven[], 10, FALSE), "0")</f>
        <v>31</v>
      </c>
      <c r="O37" s="427">
        <f>Maart!O37</f>
        <v>1</v>
      </c>
      <c r="P37" s="428" t="str">
        <f>Maart!P37</f>
        <v>2x per week abbo</v>
      </c>
      <c r="Q37" s="325">
        <f>IFERROR(VLOOKUP(P37, Tarieven!$A$2:$J$150, 10, FALSE), "0")</f>
        <v>28.55</v>
      </c>
      <c r="R37" s="444" t="str">
        <f>Maart!R37</f>
        <v/>
      </c>
      <c r="S37" s="428" t="str">
        <f>Maart!S37</f>
        <v/>
      </c>
      <c r="T37" s="325" t="str">
        <f>IFERROR(VLOOKUP(S37, Tarieven!$A$2:$J$150, 10, FALSE), "0")</f>
        <v>0</v>
      </c>
      <c r="U37" s="77" t="str">
        <f>Maart!U37</f>
        <v/>
      </c>
      <c r="V37" s="327" t="str">
        <f>Maart!V37</f>
        <v/>
      </c>
      <c r="W37" s="325" t="str">
        <f>IFERROR(VLOOKUP(V37, Tarieven!$A$2:$J$150, 10, FALSE), "0")</f>
        <v>0</v>
      </c>
      <c r="X37" s="138">
        <f>Maart!X37</f>
        <v>4</v>
      </c>
      <c r="Y37" s="398">
        <v>0.0</v>
      </c>
      <c r="Z37" s="329">
        <f t="shared" si="3"/>
        <v>11</v>
      </c>
      <c r="AA37" s="32">
        <f t="shared" si="4"/>
        <v>80.1</v>
      </c>
      <c r="AB37" s="32">
        <f t="shared" si="5"/>
        <v>214.55</v>
      </c>
      <c r="AC37" s="32">
        <f t="shared" si="6"/>
        <v>134.45</v>
      </c>
    </row>
    <row r="38" ht="22.5" customHeight="1">
      <c r="A38" s="331" t="str">
        <f>Rooster!A39</f>
        <v>Zaterdag</v>
      </c>
      <c r="B38" s="396">
        <f>Rooster!B39</f>
        <v>0.4166666667</v>
      </c>
      <c r="C38" s="15">
        <f>Rooster!C39</f>
        <v>60</v>
      </c>
      <c r="D38" s="11" t="str">
        <f>Rooster!D39</f>
        <v>Peuters</v>
      </c>
      <c r="E38" s="77">
        <v>3.0</v>
      </c>
      <c r="F38" s="327" t="str">
        <f>Rooster!E39</f>
        <v>Tess</v>
      </c>
      <c r="G38" s="319">
        <f>IFERROR(VLOOKUP(F38, Docenten!$A$2:$G$30, 7, FALSE), "0")</f>
        <v>17.5</v>
      </c>
      <c r="H38" s="320">
        <f t="shared" si="1"/>
        <v>17.5</v>
      </c>
      <c r="I38" s="327" t="str">
        <f>Rooster!H39</f>
        <v>Santpoort Zuid</v>
      </c>
      <c r="J38" s="321">
        <f>IFERROR(VLOOKUP(I38, Locaties!$A$2:$G$15, 7, FALSE), "0")</f>
        <v>18.9</v>
      </c>
      <c r="K38" s="42">
        <f t="shared" si="2"/>
        <v>18.9</v>
      </c>
      <c r="L38" s="427" t="str">
        <f>Maart!L38</f>
        <v/>
      </c>
      <c r="M38" s="428" t="str">
        <f>Maart!M38</f>
        <v/>
      </c>
      <c r="N38" s="325" t="str">
        <f>IFERROR(VLOOKUP(M38, Tarieven[], 10, FALSE), "0")</f>
        <v>0</v>
      </c>
      <c r="O38" s="427" t="str">
        <f>Maart!O38</f>
        <v/>
      </c>
      <c r="P38" s="428" t="str">
        <f>Maart!P38</f>
        <v/>
      </c>
      <c r="Q38" s="325" t="str">
        <f>IFERROR(VLOOKUP(P38, Tarieven!$A$2:$J$150, 10, FALSE), "0")</f>
        <v>0</v>
      </c>
      <c r="R38" s="444" t="str">
        <f>Maart!R38</f>
        <v/>
      </c>
      <c r="S38" s="428" t="str">
        <f>Maart!S38</f>
        <v/>
      </c>
      <c r="T38" s="325" t="str">
        <f>IFERROR(VLOOKUP(S38, Tarieven!$A$2:$J$150, 10, FALSE), "0")</f>
        <v>0</v>
      </c>
      <c r="U38" s="77" t="str">
        <f>Maart!U38</f>
        <v/>
      </c>
      <c r="V38" s="327" t="str">
        <f>Maart!V38</f>
        <v/>
      </c>
      <c r="W38" s="325" t="str">
        <f>IFERROR(VLOOKUP(V38, Tarieven!$A$2:$J$150, 10, FALSE), "0")</f>
        <v>0</v>
      </c>
      <c r="X38" s="138">
        <f>Maart!X38</f>
        <v>0</v>
      </c>
      <c r="Y38" s="398">
        <v>0.0</v>
      </c>
      <c r="Z38" s="329">
        <f t="shared" si="3"/>
        <v>0</v>
      </c>
      <c r="AA38" s="32">
        <f t="shared" si="4"/>
        <v>109.2</v>
      </c>
      <c r="AB38" s="32">
        <f t="shared" si="5"/>
        <v>0</v>
      </c>
      <c r="AC38" s="32">
        <f t="shared" si="6"/>
        <v>-109.2</v>
      </c>
    </row>
    <row r="39" ht="22.5" customHeight="1">
      <c r="A39" s="331" t="str">
        <f>Rooster!A40</f>
        <v>Zaterdag</v>
      </c>
      <c r="B39" s="396">
        <f>Rooster!B40</f>
        <v>0.4479166667</v>
      </c>
      <c r="C39" s="15">
        <f>Rooster!C40</f>
        <v>60</v>
      </c>
      <c r="D39" s="11" t="str">
        <f>Rooster!D40</f>
        <v>Kleuters</v>
      </c>
      <c r="E39" s="77">
        <v>3.0</v>
      </c>
      <c r="F39" s="327" t="str">
        <f>Rooster!E40</f>
        <v>Tess</v>
      </c>
      <c r="G39" s="319">
        <f>IFERROR(VLOOKUP(F39, Docenten!$A$2:$G$30, 7, FALSE), "0")</f>
        <v>17.5</v>
      </c>
      <c r="H39" s="320">
        <f t="shared" si="1"/>
        <v>17.5</v>
      </c>
      <c r="I39" s="327" t="str">
        <f>Rooster!H40</f>
        <v>Santpoort Zuid</v>
      </c>
      <c r="J39" s="321">
        <f>IFERROR(VLOOKUP(I39, Locaties!$A$2:$G$15, 7, FALSE), "0")</f>
        <v>18.9</v>
      </c>
      <c r="K39" s="42">
        <f t="shared" si="2"/>
        <v>18.9</v>
      </c>
      <c r="L39" s="427">
        <f>Maart!L39</f>
        <v>9</v>
      </c>
      <c r="M39" s="428" t="str">
        <f>Maart!M39</f>
        <v>1x per week abbo</v>
      </c>
      <c r="N39" s="325">
        <f>IFERROR(VLOOKUP(M39, Tarieven[], 10, FALSE), "0")</f>
        <v>31</v>
      </c>
      <c r="O39" s="427">
        <f>Maart!O39</f>
        <v>1</v>
      </c>
      <c r="P39" s="428" t="str">
        <f>Maart!P39</f>
        <v>Aangepast tarief</v>
      </c>
      <c r="Q39" s="325">
        <f>IFERROR(VLOOKUP(P39, Tarieven!$A$2:$J$150, 10, FALSE), "0")</f>
        <v>0</v>
      </c>
      <c r="R39" s="444">
        <f>Maart!R39</f>
        <v>1</v>
      </c>
      <c r="S39" s="428" t="str">
        <f>Maart!S39</f>
        <v>1x per week </v>
      </c>
      <c r="T39" s="325">
        <f>IFERROR(VLOOKUP(S39, Tarieven!$A$2:$J$150, 10, FALSE), "0")</f>
        <v>279</v>
      </c>
      <c r="U39" s="77">
        <f>Maart!U39</f>
        <v>1</v>
      </c>
      <c r="V39" s="327" t="str">
        <f>Maart!V39</f>
        <v>Aangepast tarief</v>
      </c>
      <c r="W39" s="325">
        <f>IFERROR(VLOOKUP(V39, Tarieven!$A$2:$J$150, 10, FALSE), "0")</f>
        <v>0</v>
      </c>
      <c r="X39" s="138">
        <f>Maart!X39</f>
        <v>0</v>
      </c>
      <c r="Y39" s="398">
        <v>0.0</v>
      </c>
      <c r="Z39" s="329">
        <f t="shared" si="3"/>
        <v>12</v>
      </c>
      <c r="AA39" s="32">
        <f t="shared" si="4"/>
        <v>109.2</v>
      </c>
      <c r="AB39" s="32">
        <f t="shared" si="5"/>
        <v>558</v>
      </c>
      <c r="AC39" s="32">
        <f t="shared" si="6"/>
        <v>448.8</v>
      </c>
    </row>
    <row r="40" ht="22.5" customHeight="1">
      <c r="A40" s="331" t="str">
        <f>Rooster!A41</f>
        <v/>
      </c>
      <c r="B40" s="396" t="str">
        <f>Rooster!B41</f>
        <v/>
      </c>
      <c r="C40" s="15" t="str">
        <f>Rooster!C41</f>
        <v/>
      </c>
      <c r="D40" s="11" t="str">
        <f>Rooster!D41</f>
        <v/>
      </c>
      <c r="E40" s="77"/>
      <c r="F40" s="327" t="str">
        <f>Rooster!E41</f>
        <v/>
      </c>
      <c r="G40" s="319" t="str">
        <f>IFERROR(VLOOKUP(F40, Docenten!$A$2:$G$30, 7, FALSE), "0")</f>
        <v>0</v>
      </c>
      <c r="H40" s="320">
        <f t="shared" si="1"/>
        <v>0</v>
      </c>
      <c r="I40" s="327" t="str">
        <f>Rooster!H41</f>
        <v/>
      </c>
      <c r="J40" s="321" t="str">
        <f>IFERROR(VLOOKUP(I40, Locaties!$A$2:$G$15, 7, FALSE), "0")</f>
        <v>0</v>
      </c>
      <c r="K40" s="42">
        <f t="shared" si="2"/>
        <v>0</v>
      </c>
      <c r="L40" s="427" t="str">
        <f>Maart!L40</f>
        <v/>
      </c>
      <c r="M40" s="428" t="str">
        <f>Maart!M40</f>
        <v/>
      </c>
      <c r="N40" s="325" t="str">
        <f>IFERROR(VLOOKUP(M40, Tarieven[], 10, FALSE), "0")</f>
        <v>0</v>
      </c>
      <c r="O40" s="427" t="str">
        <f>Maart!O40</f>
        <v/>
      </c>
      <c r="P40" s="428" t="str">
        <f>Maart!P40</f>
        <v/>
      </c>
      <c r="Q40" s="325" t="str">
        <f>IFERROR(VLOOKUP(P40, Tarieven!$A$2:$J$150, 10, FALSE), "0")</f>
        <v>0</v>
      </c>
      <c r="R40" s="444" t="str">
        <f>Maart!R40</f>
        <v/>
      </c>
      <c r="S40" s="428" t="str">
        <f>Maart!S40</f>
        <v/>
      </c>
      <c r="T40" s="325" t="str">
        <f>IFERROR(VLOOKUP(S40, Tarieven!$A$2:$J$150, 10, FALSE), "0")</f>
        <v>0</v>
      </c>
      <c r="U40" s="77" t="str">
        <f>Maart!U40</f>
        <v/>
      </c>
      <c r="V40" s="327" t="str">
        <f>Maart!V40</f>
        <v/>
      </c>
      <c r="W40" s="325" t="str">
        <f>IFERROR(VLOOKUP(V40, Tarieven!$A$2:$J$150, 10, FALSE), "0")</f>
        <v>0</v>
      </c>
      <c r="X40" s="138">
        <f>Maart!X40</f>
        <v>0</v>
      </c>
      <c r="Y40" s="398">
        <v>0.0</v>
      </c>
      <c r="Z40" s="329">
        <f t="shared" si="3"/>
        <v>0</v>
      </c>
      <c r="AA40" s="32">
        <f t="shared" si="4"/>
        <v>0</v>
      </c>
      <c r="AB40" s="32">
        <f t="shared" si="5"/>
        <v>0</v>
      </c>
      <c r="AC40" s="32">
        <f t="shared" si="6"/>
        <v>0</v>
      </c>
    </row>
    <row r="41" ht="22.5" customHeight="1">
      <c r="A41" s="331" t="str">
        <f>Rooster!A42</f>
        <v/>
      </c>
      <c r="B41" s="396" t="str">
        <f>Rooster!B42</f>
        <v/>
      </c>
      <c r="C41" s="15" t="str">
        <f>Rooster!C42</f>
        <v/>
      </c>
      <c r="D41" s="11" t="str">
        <f>Rooster!D42</f>
        <v/>
      </c>
      <c r="E41" s="77"/>
      <c r="F41" s="327" t="str">
        <f>Rooster!E42</f>
        <v/>
      </c>
      <c r="G41" s="319" t="str">
        <f>IFERROR(VLOOKUP(F41, Docenten!$A$2:$G$30, 7, FALSE), "0")</f>
        <v>0</v>
      </c>
      <c r="H41" s="320">
        <f t="shared" si="1"/>
        <v>0</v>
      </c>
      <c r="I41" s="327" t="str">
        <f>Rooster!H42</f>
        <v/>
      </c>
      <c r="J41" s="321" t="str">
        <f>IFERROR(VLOOKUP(I41, Locaties!$A$2:$G$15, 7, FALSE), "0")</f>
        <v>0</v>
      </c>
      <c r="K41" s="42">
        <f t="shared" si="2"/>
        <v>0</v>
      </c>
      <c r="L41" s="427" t="str">
        <f>Maart!L41</f>
        <v/>
      </c>
      <c r="M41" s="428" t="str">
        <f>Maart!M41</f>
        <v/>
      </c>
      <c r="N41" s="325" t="str">
        <f>IFERROR(VLOOKUP(M41, Tarieven[], 10, FALSE), "0")</f>
        <v>0</v>
      </c>
      <c r="O41" s="427" t="str">
        <f>Maart!O41</f>
        <v/>
      </c>
      <c r="P41" s="428" t="str">
        <f>Maart!P41</f>
        <v/>
      </c>
      <c r="Q41" s="325" t="str">
        <f>IFERROR(VLOOKUP(P41, Tarieven!$A$2:$J$150, 10, FALSE), "0")</f>
        <v>0</v>
      </c>
      <c r="R41" s="444" t="str">
        <f>Maart!R41</f>
        <v/>
      </c>
      <c r="S41" s="428" t="str">
        <f>Maart!S41</f>
        <v/>
      </c>
      <c r="T41" s="325" t="str">
        <f>IFERROR(VLOOKUP(S41, Tarieven!$A$2:$J$150, 10, FALSE), "0")</f>
        <v>0</v>
      </c>
      <c r="U41" s="77" t="str">
        <f>Maart!U41</f>
        <v/>
      </c>
      <c r="V41" s="327" t="str">
        <f>Maart!V41</f>
        <v/>
      </c>
      <c r="W41" s="325" t="str">
        <f>IFERROR(VLOOKUP(V41, Tarieven!$A$2:$J$150, 10, FALSE), "0")</f>
        <v>0</v>
      </c>
      <c r="X41" s="138">
        <f>Maart!X41</f>
        <v>0</v>
      </c>
      <c r="Y41" s="398">
        <v>0.0</v>
      </c>
      <c r="Z41" s="329">
        <f t="shared" si="3"/>
        <v>0</v>
      </c>
      <c r="AA41" s="32">
        <f t="shared" si="4"/>
        <v>0</v>
      </c>
      <c r="AB41" s="32">
        <f t="shared" si="5"/>
        <v>0</v>
      </c>
      <c r="AC41" s="32">
        <f t="shared" si="6"/>
        <v>0</v>
      </c>
    </row>
    <row r="42" ht="22.5" customHeight="1">
      <c r="A42" s="331" t="str">
        <f>Rooster!A43</f>
        <v>Maandag</v>
      </c>
      <c r="B42" s="396">
        <f>Rooster!B43</f>
        <v>0.3958333333</v>
      </c>
      <c r="C42" s="15">
        <f>Rooster!C43</f>
        <v>60</v>
      </c>
      <c r="D42" s="11" t="str">
        <f>Rooster!D43</f>
        <v>Kinderopvang</v>
      </c>
      <c r="E42" s="77">
        <v>4.0</v>
      </c>
      <c r="F42" s="327" t="str">
        <f>Rooster!E43</f>
        <v>Opvang T</v>
      </c>
      <c r="G42" s="319">
        <f>IFERROR(VLOOKUP(F42, Docenten!$A$2:$G$30, 7, FALSE), "0")</f>
        <v>45</v>
      </c>
      <c r="H42" s="320">
        <f t="shared" si="1"/>
        <v>45</v>
      </c>
      <c r="I42" s="327" t="str">
        <f>Rooster!H43</f>
        <v/>
      </c>
      <c r="J42" s="321" t="str">
        <f>IFERROR(VLOOKUP(I42, Locaties!$A$2:$G$15, 7, FALSE), "0")</f>
        <v>0</v>
      </c>
      <c r="K42" s="42">
        <f t="shared" si="2"/>
        <v>0</v>
      </c>
      <c r="L42" s="427">
        <f>Maart!L42</f>
        <v>1</v>
      </c>
      <c r="M42" s="428" t="str">
        <f>Maart!M42</f>
        <v>Aangepast tarief</v>
      </c>
      <c r="N42" s="432">
        <v>320.0</v>
      </c>
      <c r="O42" s="427" t="str">
        <f>Maart!O42</f>
        <v/>
      </c>
      <c r="P42" s="428" t="str">
        <f>Maart!P42</f>
        <v/>
      </c>
      <c r="Q42" s="325" t="str">
        <f>IFERROR(VLOOKUP(P42, Tarieven!$A$2:$J$150, 10, FALSE), "0")</f>
        <v>0</v>
      </c>
      <c r="R42" s="444" t="str">
        <f>Maart!R42</f>
        <v/>
      </c>
      <c r="S42" s="428" t="str">
        <f>Maart!S42</f>
        <v/>
      </c>
      <c r="T42" s="325" t="str">
        <f>IFERROR(VLOOKUP(S42, Tarieven!$A$2:$J$150, 10, FALSE), "0")</f>
        <v>0</v>
      </c>
      <c r="U42" s="77" t="str">
        <f>Maart!U42</f>
        <v/>
      </c>
      <c r="V42" s="327" t="str">
        <f>Maart!V42</f>
        <v/>
      </c>
      <c r="W42" s="325" t="str">
        <f>IFERROR(VLOOKUP(V42, Tarieven!$A$2:$J$150, 10, FALSE), "0")</f>
        <v>0</v>
      </c>
      <c r="X42" s="138">
        <f>Maart!X42</f>
        <v>0</v>
      </c>
      <c r="Y42" s="398">
        <v>0.0</v>
      </c>
      <c r="Z42" s="329">
        <f t="shared" si="3"/>
        <v>1</v>
      </c>
      <c r="AA42" s="32">
        <f t="shared" si="4"/>
        <v>180</v>
      </c>
      <c r="AB42" s="32">
        <f t="shared" si="5"/>
        <v>320</v>
      </c>
      <c r="AC42" s="32">
        <f t="shared" si="6"/>
        <v>140</v>
      </c>
    </row>
    <row r="43" ht="22.5" customHeight="1">
      <c r="A43" s="331" t="str">
        <f>Rooster!A44</f>
        <v>Vrijdag</v>
      </c>
      <c r="B43" s="396">
        <f>Rooster!B44</f>
        <v>0.7916666667</v>
      </c>
      <c r="C43" s="15">
        <v>60.0</v>
      </c>
      <c r="D43" s="11" t="str">
        <f>Rooster!D44</f>
        <v>Prive training</v>
      </c>
      <c r="E43" s="77"/>
      <c r="F43" s="327"/>
      <c r="G43" s="319"/>
      <c r="H43" s="320"/>
      <c r="I43" s="70"/>
      <c r="J43" s="321" t="str">
        <f>IFERROR(VLOOKUP(I43, Locaties!$A$2:$G$15, 7, FALSE), "0")</f>
        <v>0</v>
      </c>
      <c r="K43" s="42">
        <f t="shared" si="2"/>
        <v>0</v>
      </c>
      <c r="L43" s="427" t="str">
        <f>Maart!L43</f>
        <v/>
      </c>
      <c r="M43" s="428" t="str">
        <f>Maart!M43</f>
        <v/>
      </c>
      <c r="N43" s="325" t="str">
        <f>IFERROR(VLOOKUP(M43, Tarieven[], 10, FALSE), "0")</f>
        <v>0</v>
      </c>
      <c r="O43" s="427" t="str">
        <f>Maart!O43</f>
        <v/>
      </c>
      <c r="P43" s="428" t="str">
        <f>Maart!P43</f>
        <v/>
      </c>
      <c r="Q43" s="325" t="str">
        <f>IFERROR(VLOOKUP(P43, Tarieven!$A$2:$J$150, 10, FALSE), "0")</f>
        <v>0</v>
      </c>
      <c r="R43" s="444" t="str">
        <f>Maart!R43</f>
        <v/>
      </c>
      <c r="S43" s="428" t="str">
        <f>Maart!S43</f>
        <v/>
      </c>
      <c r="T43" s="325" t="str">
        <f>IFERROR(VLOOKUP(S43, Tarieven!$A$2:$J$150, 10, FALSE), "0")</f>
        <v>0</v>
      </c>
      <c r="U43" s="77" t="str">
        <f>Maart!U43</f>
        <v/>
      </c>
      <c r="V43" s="327" t="str">
        <f>Maart!V43</f>
        <v/>
      </c>
      <c r="W43" s="325" t="str">
        <f>IFERROR(VLOOKUP(V43, Tarieven!$A$2:$J$150, 10, FALSE), "0")</f>
        <v>0</v>
      </c>
      <c r="X43" s="138">
        <f>Maart!X43</f>
        <v>0</v>
      </c>
      <c r="Y43" s="398">
        <v>0.0</v>
      </c>
      <c r="Z43" s="329">
        <f t="shared" si="3"/>
        <v>0</v>
      </c>
      <c r="AA43" s="32">
        <f t="shared" si="4"/>
        <v>0</v>
      </c>
      <c r="AB43" s="32">
        <f t="shared" si="5"/>
        <v>0</v>
      </c>
      <c r="AC43" s="32">
        <f t="shared" si="6"/>
        <v>0</v>
      </c>
    </row>
    <row r="44" ht="22.5" customHeight="1">
      <c r="A44" s="331" t="str">
        <f>Rooster!A45</f>
        <v>Zaterdag</v>
      </c>
      <c r="B44" s="396">
        <f>Rooster!B45</f>
        <v>0.5625</v>
      </c>
      <c r="C44" s="15">
        <v>69.0</v>
      </c>
      <c r="D44" s="11" t="str">
        <f>Rooster!D45</f>
        <v>Prive training</v>
      </c>
      <c r="E44" s="77"/>
      <c r="F44" s="327"/>
      <c r="G44" s="319"/>
      <c r="H44" s="320"/>
      <c r="I44" s="70"/>
      <c r="J44" s="321" t="str">
        <f>IFERROR(VLOOKUP(I44, Locaties!$A$2:$G$15, 7, FALSE), "0")</f>
        <v>0</v>
      </c>
      <c r="K44" s="42">
        <f t="shared" si="2"/>
        <v>0</v>
      </c>
      <c r="L44" s="427" t="str">
        <f>Maart!L44</f>
        <v/>
      </c>
      <c r="M44" s="428" t="str">
        <f>Maart!M44</f>
        <v/>
      </c>
      <c r="N44" s="325" t="str">
        <f>IFERROR(VLOOKUP(M44, Tarieven[], 10, FALSE), "0")</f>
        <v>0</v>
      </c>
      <c r="O44" s="427" t="str">
        <f>Maart!O44</f>
        <v/>
      </c>
      <c r="P44" s="428" t="str">
        <f>Maart!P44</f>
        <v/>
      </c>
      <c r="Q44" s="325" t="str">
        <f>IFERROR(VLOOKUP(P44, Tarieven!$A$2:$J$150, 10, FALSE), "0")</f>
        <v>0</v>
      </c>
      <c r="R44" s="444" t="str">
        <f>Maart!R44</f>
        <v/>
      </c>
      <c r="S44" s="428" t="str">
        <f>Maart!S44</f>
        <v/>
      </c>
      <c r="T44" s="325" t="str">
        <f>IFERROR(VLOOKUP(S44, Tarieven!$A$2:$J$150, 10, FALSE), "0")</f>
        <v>0</v>
      </c>
      <c r="U44" s="77" t="str">
        <f>Maart!U44</f>
        <v/>
      </c>
      <c r="V44" s="327" t="str">
        <f>Maart!V44</f>
        <v/>
      </c>
      <c r="W44" s="325" t="str">
        <f>IFERROR(VLOOKUP(V44, Tarieven!$A$2:$J$150, 10, FALSE), "0")</f>
        <v>0</v>
      </c>
      <c r="X44" s="138">
        <f>Maart!X44</f>
        <v>0</v>
      </c>
      <c r="Y44" s="398">
        <v>0.0</v>
      </c>
      <c r="Z44" s="329">
        <f t="shared" si="3"/>
        <v>0</v>
      </c>
      <c r="AA44" s="32">
        <f t="shared" si="4"/>
        <v>0</v>
      </c>
      <c r="AB44" s="32">
        <f t="shared" si="5"/>
        <v>0</v>
      </c>
      <c r="AC44" s="32">
        <f t="shared" si="6"/>
        <v>0</v>
      </c>
    </row>
    <row r="45" ht="22.5" customHeight="1">
      <c r="A45" s="331" t="str">
        <f>Rooster!A46</f>
        <v/>
      </c>
      <c r="B45" s="396" t="str">
        <f>Rooster!B46</f>
        <v/>
      </c>
      <c r="C45" s="15" t="str">
        <f>Rooster!C46</f>
        <v/>
      </c>
      <c r="D45" s="11" t="str">
        <f>Rooster!D46</f>
        <v/>
      </c>
      <c r="E45" s="77"/>
      <c r="F45" s="327" t="str">
        <f>Rooster!E46</f>
        <v/>
      </c>
      <c r="G45" s="319" t="str">
        <f>IFERROR(VLOOKUP(F45, Docenten!$A$2:$G$30, 7, FALSE), "0")</f>
        <v>0</v>
      </c>
      <c r="H45" s="320">
        <f t="shared" ref="H45:H101" si="7">SUM(G45/60)*C45</f>
        <v>0</v>
      </c>
      <c r="I45" s="327" t="str">
        <f>Rooster!H46</f>
        <v/>
      </c>
      <c r="J45" s="321" t="str">
        <f>IFERROR(VLOOKUP(I45, Locaties!$A$2:$G$15, 7, FALSE), "0")</f>
        <v>0</v>
      </c>
      <c r="K45" s="42">
        <f t="shared" si="2"/>
        <v>0</v>
      </c>
      <c r="L45" s="427" t="str">
        <f>Maart!L45</f>
        <v/>
      </c>
      <c r="M45" s="428" t="str">
        <f>Maart!M45</f>
        <v/>
      </c>
      <c r="N45" s="325" t="str">
        <f>IFERROR(VLOOKUP(M45, Tarieven[], 10, FALSE), "0")</f>
        <v>0</v>
      </c>
      <c r="O45" s="427" t="str">
        <f>Maart!O45</f>
        <v/>
      </c>
      <c r="P45" s="428" t="str">
        <f>Maart!P45</f>
        <v/>
      </c>
      <c r="Q45" s="325" t="str">
        <f>IFERROR(VLOOKUP(P45, Tarieven!$A$2:$J$150, 10, FALSE), "0")</f>
        <v>0</v>
      </c>
      <c r="R45" s="444" t="str">
        <f>Maart!R45</f>
        <v/>
      </c>
      <c r="S45" s="428" t="str">
        <f>Maart!S45</f>
        <v/>
      </c>
      <c r="T45" s="325" t="str">
        <f>IFERROR(VLOOKUP(S45, Tarieven!$A$2:$J$150, 10, FALSE), "0")</f>
        <v>0</v>
      </c>
      <c r="U45" s="77" t="str">
        <f>Maart!U45</f>
        <v/>
      </c>
      <c r="V45" s="327" t="str">
        <f>Maart!V45</f>
        <v/>
      </c>
      <c r="W45" s="325" t="str">
        <f>IFERROR(VLOOKUP(V45, Tarieven!$A$2:$J$150, 10, FALSE), "0")</f>
        <v>0</v>
      </c>
      <c r="X45" s="138">
        <f>Maart!X45</f>
        <v>0</v>
      </c>
      <c r="Y45" s="398">
        <v>0.0</v>
      </c>
      <c r="Z45" s="329">
        <f t="shared" si="3"/>
        <v>0</v>
      </c>
      <c r="AA45" s="32">
        <f t="shared" si="4"/>
        <v>0</v>
      </c>
      <c r="AB45" s="32">
        <f t="shared" si="5"/>
        <v>0</v>
      </c>
      <c r="AC45" s="32">
        <f t="shared" si="6"/>
        <v>0</v>
      </c>
    </row>
    <row r="46" ht="22.5" customHeight="1">
      <c r="A46" s="331" t="str">
        <f>Rooster!A47</f>
        <v/>
      </c>
      <c r="B46" s="396" t="str">
        <f>Rooster!B47</f>
        <v/>
      </c>
      <c r="C46" s="15" t="str">
        <f>Rooster!C47</f>
        <v/>
      </c>
      <c r="D46" s="11" t="str">
        <f>Rooster!D47</f>
        <v/>
      </c>
      <c r="E46" s="77"/>
      <c r="F46" s="327" t="str">
        <f>Rooster!E47</f>
        <v/>
      </c>
      <c r="G46" s="319" t="str">
        <f>IFERROR(VLOOKUP(F46, Docenten!$A$2:$G$30, 7, FALSE), "0")</f>
        <v>0</v>
      </c>
      <c r="H46" s="320">
        <f t="shared" si="7"/>
        <v>0</v>
      </c>
      <c r="I46" s="327" t="str">
        <f>Rooster!H47</f>
        <v/>
      </c>
      <c r="J46" s="321" t="str">
        <f>IFERROR(VLOOKUP(I46, Locaties!$A$2:$G$15, 7, FALSE), "0")</f>
        <v>0</v>
      </c>
      <c r="K46" s="42">
        <f t="shared" si="2"/>
        <v>0</v>
      </c>
      <c r="L46" s="427" t="str">
        <f>Maart!L46</f>
        <v/>
      </c>
      <c r="M46" s="428" t="str">
        <f>Maart!M46</f>
        <v/>
      </c>
      <c r="N46" s="325" t="str">
        <f>IFERROR(VLOOKUP(M46, Tarieven[], 10, FALSE), "0")</f>
        <v>0</v>
      </c>
      <c r="O46" s="427" t="str">
        <f>Maart!O46</f>
        <v/>
      </c>
      <c r="P46" s="428" t="str">
        <f>Maart!P46</f>
        <v/>
      </c>
      <c r="Q46" s="325" t="str">
        <f>IFERROR(VLOOKUP(P46, Tarieven!$A$2:$J$150, 10, FALSE), "0")</f>
        <v>0</v>
      </c>
      <c r="R46" s="444" t="str">
        <f>Maart!R46</f>
        <v/>
      </c>
      <c r="S46" s="428" t="str">
        <f>Maart!S46</f>
        <v/>
      </c>
      <c r="T46" s="325" t="str">
        <f>IFERROR(VLOOKUP(S46, Tarieven!$A$2:$J$150, 10, FALSE), "0")</f>
        <v>0</v>
      </c>
      <c r="U46" s="77" t="str">
        <f>Maart!U46</f>
        <v/>
      </c>
      <c r="V46" s="327" t="str">
        <f>Maart!V46</f>
        <v/>
      </c>
      <c r="W46" s="325" t="str">
        <f>IFERROR(VLOOKUP(V46, Tarieven!$A$2:$J$150, 10, FALSE), "0")</f>
        <v>0</v>
      </c>
      <c r="X46" s="138">
        <f>Maart!X46</f>
        <v>0</v>
      </c>
      <c r="Y46" s="398">
        <v>0.0</v>
      </c>
      <c r="Z46" s="329">
        <f t="shared" si="3"/>
        <v>0</v>
      </c>
      <c r="AA46" s="32">
        <f t="shared" si="4"/>
        <v>0</v>
      </c>
      <c r="AB46" s="32">
        <f t="shared" si="5"/>
        <v>0</v>
      </c>
      <c r="AC46" s="32">
        <f t="shared" si="6"/>
        <v>0</v>
      </c>
    </row>
    <row r="47" ht="22.5" customHeight="1">
      <c r="A47" s="331" t="str">
        <f>Rooster!A48</f>
        <v>Donderdag</v>
      </c>
      <c r="B47" s="396">
        <f>Rooster!B48</f>
        <v>0.75</v>
      </c>
      <c r="C47" s="15">
        <f>Rooster!C48</f>
        <v>60</v>
      </c>
      <c r="D47" s="11" t="str">
        <f>Rooster!D48</f>
        <v>Turnen 6+</v>
      </c>
      <c r="E47" s="77">
        <v>4.0</v>
      </c>
      <c r="F47" s="327" t="str">
        <f>Rooster!E48</f>
        <v>Dion + 3</v>
      </c>
      <c r="G47" s="319">
        <f>IFERROR(VLOOKUP(F47, Docenten!$A$2:$G$30, 7, FALSE), "0")</f>
        <v>34</v>
      </c>
      <c r="H47" s="320">
        <f t="shared" si="7"/>
        <v>34</v>
      </c>
      <c r="I47" s="327" t="str">
        <f>Rooster!H48</f>
        <v>Santpoort Noord</v>
      </c>
      <c r="J47" s="321">
        <f>IFERROR(VLOOKUP(I47, Locaties!$A$2:$G$15, 7, FALSE), "0")</f>
        <v>14.2</v>
      </c>
      <c r="K47" s="42">
        <f t="shared" si="2"/>
        <v>14.2</v>
      </c>
      <c r="L47" s="427">
        <f>Maart!L47</f>
        <v>10</v>
      </c>
      <c r="M47" s="428" t="str">
        <f>Maart!M47</f>
        <v>Aangepast tarief</v>
      </c>
      <c r="N47" s="325">
        <f>IFERROR(VLOOKUP(M47, Tarieven[], 10, FALSE), "0")</f>
        <v>0</v>
      </c>
      <c r="O47" s="427">
        <f>Maart!O47</f>
        <v>1</v>
      </c>
      <c r="P47" s="428" t="str">
        <f>Maart!P47</f>
        <v>Aangepast tarief</v>
      </c>
      <c r="Q47" s="325">
        <f>IFERROR(VLOOKUP(P47, Tarieven!$A$2:$J$150, 10, FALSE), "0")</f>
        <v>0</v>
      </c>
      <c r="R47" s="444" t="str">
        <f>Maart!R47</f>
        <v/>
      </c>
      <c r="S47" s="428" t="str">
        <f>Maart!S47</f>
        <v/>
      </c>
      <c r="T47" s="325" t="str">
        <f>IFERROR(VLOOKUP(S47, Tarieven!$A$2:$J$150, 10, FALSE), "0")</f>
        <v>0</v>
      </c>
      <c r="U47" s="77" t="str">
        <f>Maart!U47</f>
        <v/>
      </c>
      <c r="V47" s="327" t="str">
        <f>Maart!V47</f>
        <v/>
      </c>
      <c r="W47" s="325" t="str">
        <f>IFERROR(VLOOKUP(V47, Tarieven!$A$2:$J$150, 10, FALSE), "0")</f>
        <v>0</v>
      </c>
      <c r="X47" s="138">
        <f>Maart!X47</f>
        <v>0</v>
      </c>
      <c r="Y47" s="398">
        <v>0.0</v>
      </c>
      <c r="Z47" s="329">
        <f t="shared" si="3"/>
        <v>11</v>
      </c>
      <c r="AA47" s="32">
        <f t="shared" si="4"/>
        <v>192.8</v>
      </c>
      <c r="AB47" s="32">
        <f t="shared" si="5"/>
        <v>0</v>
      </c>
      <c r="AC47" s="32">
        <f t="shared" si="6"/>
        <v>-192.8</v>
      </c>
    </row>
    <row r="48" ht="22.5" customHeight="1">
      <c r="A48" s="331" t="str">
        <f>Rooster!A49</f>
        <v>Donderdag</v>
      </c>
      <c r="B48" s="396">
        <f>Rooster!B49</f>
        <v>0.7916666667</v>
      </c>
      <c r="C48" s="15">
        <f>Rooster!C49</f>
        <v>60</v>
      </c>
      <c r="D48" s="11" t="str">
        <f>Rooster!D49</f>
        <v>Turnen 12+</v>
      </c>
      <c r="E48" s="77">
        <v>4.0</v>
      </c>
      <c r="F48" s="327" t="str">
        <f>Rooster!E49</f>
        <v>Dion + 3</v>
      </c>
      <c r="G48" s="319">
        <f>IFERROR(VLOOKUP(F48, Docenten!$A$2:$G$30, 7, FALSE), "0")</f>
        <v>34</v>
      </c>
      <c r="H48" s="320">
        <f t="shared" si="7"/>
        <v>34</v>
      </c>
      <c r="I48" s="327" t="str">
        <f>Rooster!H49</f>
        <v>Santpoort Noord</v>
      </c>
      <c r="J48" s="321">
        <f>IFERROR(VLOOKUP(I48, Locaties!$A$2:$G$15, 7, FALSE), "0")</f>
        <v>14.2</v>
      </c>
      <c r="K48" s="42">
        <f t="shared" si="2"/>
        <v>14.2</v>
      </c>
      <c r="L48" s="427">
        <f>Maart!L48</f>
        <v>6</v>
      </c>
      <c r="M48" s="428" t="str">
        <f>Maart!M48</f>
        <v>Aangepast tarief</v>
      </c>
      <c r="N48" s="325">
        <f>IFERROR(VLOOKUP(M48, Tarieven[], 10, FALSE), "0")</f>
        <v>0</v>
      </c>
      <c r="O48" s="427">
        <f>Maart!O48</f>
        <v>2</v>
      </c>
      <c r="P48" s="428" t="str">
        <f>Maart!P48</f>
        <v>Aangepast tarief</v>
      </c>
      <c r="Q48" s="325">
        <f>IFERROR(VLOOKUP(P48, Tarieven!$A$2:$J$150, 10, FALSE), "0")</f>
        <v>0</v>
      </c>
      <c r="R48" s="444" t="str">
        <f>Maart!R48</f>
        <v/>
      </c>
      <c r="S48" s="428" t="str">
        <f>Maart!S48</f>
        <v/>
      </c>
      <c r="T48" s="325" t="str">
        <f>IFERROR(VLOOKUP(S48, Tarieven!$A$2:$J$150, 10, FALSE), "0")</f>
        <v>0</v>
      </c>
      <c r="U48" s="77" t="str">
        <f>Maart!U48</f>
        <v/>
      </c>
      <c r="V48" s="327" t="str">
        <f>Maart!V48</f>
        <v/>
      </c>
      <c r="W48" s="325" t="str">
        <f>IFERROR(VLOOKUP(V48, Tarieven!$A$2:$J$150, 10, FALSE), "0")</f>
        <v>0</v>
      </c>
      <c r="X48" s="138">
        <f>Maart!X48</f>
        <v>0</v>
      </c>
      <c r="Y48" s="398">
        <v>0.0</v>
      </c>
      <c r="Z48" s="329">
        <f t="shared" si="3"/>
        <v>8</v>
      </c>
      <c r="AA48" s="32">
        <f t="shared" si="4"/>
        <v>192.8</v>
      </c>
      <c r="AB48" s="32">
        <f t="shared" si="5"/>
        <v>0</v>
      </c>
      <c r="AC48" s="32">
        <f t="shared" si="6"/>
        <v>-192.8</v>
      </c>
    </row>
    <row r="49" ht="22.5" customHeight="1">
      <c r="A49" s="331" t="str">
        <f>Rooster!A50</f>
        <v/>
      </c>
      <c r="B49" s="396" t="str">
        <f>Rooster!B50</f>
        <v/>
      </c>
      <c r="C49" s="15" t="str">
        <f>Rooster!C50</f>
        <v/>
      </c>
      <c r="D49" s="11" t="str">
        <f>Rooster!D50</f>
        <v/>
      </c>
      <c r="E49" s="77"/>
      <c r="F49" s="327" t="str">
        <f>Rooster!E50</f>
        <v/>
      </c>
      <c r="G49" s="319" t="str">
        <f>IFERROR(VLOOKUP(F49, Docenten!$A$2:$G$30, 7, FALSE), "0")</f>
        <v>0</v>
      </c>
      <c r="H49" s="320">
        <f t="shared" si="7"/>
        <v>0</v>
      </c>
      <c r="I49" s="327" t="str">
        <f>Rooster!H50</f>
        <v/>
      </c>
      <c r="J49" s="321" t="str">
        <f>IFERROR(VLOOKUP(I49, Locaties!$A$2:$G$15, 7, FALSE), "0")</f>
        <v>0</v>
      </c>
      <c r="K49" s="42">
        <f t="shared" si="2"/>
        <v>0</v>
      </c>
      <c r="L49" s="427" t="str">
        <f>Maart!L49</f>
        <v/>
      </c>
      <c r="M49" s="428" t="str">
        <f>Maart!M49</f>
        <v/>
      </c>
      <c r="N49" s="325" t="str">
        <f>IFERROR(VLOOKUP(M49, Tarieven[], 10, FALSE), "0")</f>
        <v>0</v>
      </c>
      <c r="O49" s="427" t="str">
        <f>Maart!O49</f>
        <v/>
      </c>
      <c r="P49" s="428" t="str">
        <f>Maart!P49</f>
        <v/>
      </c>
      <c r="Q49" s="325" t="str">
        <f>IFERROR(VLOOKUP(P49, Tarieven!$A$2:$J$150, 10, FALSE), "0")</f>
        <v>0</v>
      </c>
      <c r="R49" s="444" t="str">
        <f>Maart!R49</f>
        <v/>
      </c>
      <c r="S49" s="428" t="str">
        <f>Maart!S49</f>
        <v/>
      </c>
      <c r="T49" s="325" t="str">
        <f>IFERROR(VLOOKUP(S49, Tarieven!$A$2:$J$150, 10, FALSE), "0")</f>
        <v>0</v>
      </c>
      <c r="U49" s="77" t="str">
        <f>Maart!U49</f>
        <v/>
      </c>
      <c r="V49" s="327" t="str">
        <f>Maart!V49</f>
        <v/>
      </c>
      <c r="W49" s="325" t="str">
        <f>IFERROR(VLOOKUP(V49, Tarieven!$A$2:$J$150, 10, FALSE), "0")</f>
        <v>0</v>
      </c>
      <c r="X49" s="138">
        <f>Maart!X49</f>
        <v>0</v>
      </c>
      <c r="Y49" s="398">
        <v>0.0</v>
      </c>
      <c r="Z49" s="329">
        <f t="shared" si="3"/>
        <v>0</v>
      </c>
      <c r="AA49" s="32">
        <f t="shared" si="4"/>
        <v>0</v>
      </c>
      <c r="AB49" s="32">
        <f t="shared" si="5"/>
        <v>0</v>
      </c>
      <c r="AC49" s="32">
        <f t="shared" si="6"/>
        <v>0</v>
      </c>
    </row>
    <row r="50" ht="22.5" customHeight="1">
      <c r="A50" s="331" t="str">
        <f>Rooster!A51</f>
        <v/>
      </c>
      <c r="B50" s="396" t="str">
        <f>Rooster!B51</f>
        <v/>
      </c>
      <c r="C50" s="15" t="str">
        <f>Rooster!C51</f>
        <v/>
      </c>
      <c r="D50" s="11" t="str">
        <f>Rooster!D51</f>
        <v/>
      </c>
      <c r="E50" s="77"/>
      <c r="F50" s="327" t="str">
        <f>Rooster!E51</f>
        <v/>
      </c>
      <c r="G50" s="319" t="str">
        <f>IFERROR(VLOOKUP(F50, Docenten!$A$2:$G$30, 7, FALSE), "0")</f>
        <v>0</v>
      </c>
      <c r="H50" s="320">
        <f t="shared" si="7"/>
        <v>0</v>
      </c>
      <c r="I50" s="327" t="str">
        <f>Rooster!H51</f>
        <v/>
      </c>
      <c r="J50" s="321" t="str">
        <f>IFERROR(VLOOKUP(I50, Locaties!$A$2:$G$15, 7, FALSE), "0")</f>
        <v>0</v>
      </c>
      <c r="K50" s="42">
        <f t="shared" si="2"/>
        <v>0</v>
      </c>
      <c r="L50" s="427" t="str">
        <f>Maart!L50</f>
        <v/>
      </c>
      <c r="M50" s="428" t="str">
        <f>Maart!M50</f>
        <v/>
      </c>
      <c r="N50" s="325" t="str">
        <f>IFERROR(VLOOKUP(M50, Tarieven[], 10, FALSE), "0")</f>
        <v>0</v>
      </c>
      <c r="O50" s="427" t="str">
        <f>Maart!O50</f>
        <v/>
      </c>
      <c r="P50" s="428" t="str">
        <f>Maart!P50</f>
        <v/>
      </c>
      <c r="Q50" s="325" t="str">
        <f>IFERROR(VLOOKUP(P50, Tarieven!$A$2:$J$150, 10, FALSE), "0")</f>
        <v>0</v>
      </c>
      <c r="R50" s="444" t="str">
        <f>Maart!R50</f>
        <v/>
      </c>
      <c r="S50" s="428" t="str">
        <f>Maart!S50</f>
        <v/>
      </c>
      <c r="T50" s="325" t="str">
        <f>IFERROR(VLOOKUP(S50, Tarieven!$A$2:$J$150, 10, FALSE), "0")</f>
        <v>0</v>
      </c>
      <c r="U50" s="77" t="str">
        <f>Maart!U50</f>
        <v/>
      </c>
      <c r="V50" s="327" t="str">
        <f>Maart!V50</f>
        <v/>
      </c>
      <c r="W50" s="325" t="str">
        <f>IFERROR(VLOOKUP(V50, Tarieven!$A$2:$J$150, 10, FALSE), "0")</f>
        <v>0</v>
      </c>
      <c r="X50" s="138">
        <f>Maart!X50</f>
        <v>0</v>
      </c>
      <c r="Y50" s="398">
        <v>0.0</v>
      </c>
      <c r="Z50" s="329">
        <f t="shared" si="3"/>
        <v>0</v>
      </c>
      <c r="AA50" s="32">
        <f t="shared" si="4"/>
        <v>0</v>
      </c>
      <c r="AB50" s="32">
        <f t="shared" si="5"/>
        <v>0</v>
      </c>
      <c r="AC50" s="32">
        <f t="shared" si="6"/>
        <v>0</v>
      </c>
    </row>
    <row r="51" ht="22.5" customHeight="1">
      <c r="A51" s="331" t="str">
        <f>Rooster!A52</f>
        <v/>
      </c>
      <c r="B51" s="396" t="str">
        <f>Rooster!B52</f>
        <v/>
      </c>
      <c r="C51" s="15" t="str">
        <f>Rooster!C52</f>
        <v/>
      </c>
      <c r="D51" s="11" t="str">
        <f>Rooster!D52</f>
        <v/>
      </c>
      <c r="E51" s="77"/>
      <c r="F51" s="327" t="str">
        <f>Rooster!E52</f>
        <v/>
      </c>
      <c r="G51" s="319" t="str">
        <f>IFERROR(VLOOKUP(F51, Docenten!$A$2:$G$30, 7, FALSE), "0")</f>
        <v>0</v>
      </c>
      <c r="H51" s="320">
        <f t="shared" si="7"/>
        <v>0</v>
      </c>
      <c r="I51" s="327" t="str">
        <f>Rooster!H52</f>
        <v/>
      </c>
      <c r="J51" s="321" t="str">
        <f>IFERROR(VLOOKUP(I51, Locaties!$A$2:$G$15, 7, FALSE), "0")</f>
        <v>0</v>
      </c>
      <c r="K51" s="42">
        <f t="shared" si="2"/>
        <v>0</v>
      </c>
      <c r="L51" s="427" t="str">
        <f>Maart!L51</f>
        <v/>
      </c>
      <c r="M51" s="428" t="str">
        <f>Maart!M51</f>
        <v/>
      </c>
      <c r="N51" s="325" t="str">
        <f>IFERROR(VLOOKUP(M51, Tarieven[], 10, FALSE), "0")</f>
        <v>0</v>
      </c>
      <c r="O51" s="427" t="str">
        <f>Maart!O51</f>
        <v/>
      </c>
      <c r="P51" s="428" t="str">
        <f>Maart!P51</f>
        <v/>
      </c>
      <c r="Q51" s="325" t="str">
        <f>IFERROR(VLOOKUP(P51, Tarieven!$A$2:$J$150, 10, FALSE), "0")</f>
        <v>0</v>
      </c>
      <c r="R51" s="444" t="str">
        <f>Maart!R51</f>
        <v/>
      </c>
      <c r="S51" s="428" t="str">
        <f>Maart!S51</f>
        <v/>
      </c>
      <c r="T51" s="325" t="str">
        <f>IFERROR(VLOOKUP(S51, Tarieven!$A$2:$J$150, 10, FALSE), "0")</f>
        <v>0</v>
      </c>
      <c r="U51" s="77" t="str">
        <f>Maart!U51</f>
        <v/>
      </c>
      <c r="V51" s="327" t="str">
        <f>Maart!V51</f>
        <v/>
      </c>
      <c r="W51" s="325" t="str">
        <f>IFERROR(VLOOKUP(V51, Tarieven!$A$2:$J$150, 10, FALSE), "0")</f>
        <v>0</v>
      </c>
      <c r="X51" s="138">
        <f>Maart!X51</f>
        <v>0</v>
      </c>
      <c r="Y51" s="398">
        <v>0.0</v>
      </c>
      <c r="Z51" s="329">
        <f t="shared" si="3"/>
        <v>0</v>
      </c>
      <c r="AA51" s="32">
        <f t="shared" si="4"/>
        <v>0</v>
      </c>
      <c r="AB51" s="32">
        <f t="shared" si="5"/>
        <v>0</v>
      </c>
      <c r="AC51" s="32">
        <f t="shared" si="6"/>
        <v>0</v>
      </c>
    </row>
    <row r="52" ht="22.5" customHeight="1">
      <c r="A52" s="331" t="str">
        <f>Rooster!A53</f>
        <v/>
      </c>
      <c r="B52" s="396" t="str">
        <f>Rooster!B53</f>
        <v/>
      </c>
      <c r="C52" s="15" t="str">
        <f>Rooster!C53</f>
        <v/>
      </c>
      <c r="D52" s="11" t="str">
        <f>Rooster!D53</f>
        <v/>
      </c>
      <c r="E52" s="77"/>
      <c r="F52" s="327" t="str">
        <f>Rooster!E53</f>
        <v/>
      </c>
      <c r="G52" s="319" t="str">
        <f>IFERROR(VLOOKUP(F52, Docenten!$A$2:$G$30, 7, FALSE), "0")</f>
        <v>0</v>
      </c>
      <c r="H52" s="320">
        <f t="shared" si="7"/>
        <v>0</v>
      </c>
      <c r="I52" s="327" t="str">
        <f>Rooster!H53</f>
        <v/>
      </c>
      <c r="J52" s="321" t="str">
        <f>IFERROR(VLOOKUP(I52, Locaties!$A$2:$G$15, 7, FALSE), "0")</f>
        <v>0</v>
      </c>
      <c r="K52" s="42">
        <f t="shared" si="2"/>
        <v>0</v>
      </c>
      <c r="L52" s="427" t="str">
        <f>Maart!L52</f>
        <v/>
      </c>
      <c r="M52" s="428" t="str">
        <f>Maart!M52</f>
        <v/>
      </c>
      <c r="N52" s="325" t="str">
        <f>IFERROR(VLOOKUP(M52, Tarieven[], 10, FALSE), "0")</f>
        <v>0</v>
      </c>
      <c r="O52" s="427" t="str">
        <f>Maart!O52</f>
        <v/>
      </c>
      <c r="P52" s="428" t="str">
        <f>Maart!P52</f>
        <v/>
      </c>
      <c r="Q52" s="325" t="str">
        <f>IFERROR(VLOOKUP(P52, Tarieven!$A$2:$J$150, 10, FALSE), "0")</f>
        <v>0</v>
      </c>
      <c r="R52" s="444" t="str">
        <f>Maart!R52</f>
        <v/>
      </c>
      <c r="S52" s="428" t="str">
        <f>Maart!S52</f>
        <v/>
      </c>
      <c r="T52" s="325" t="str">
        <f>IFERROR(VLOOKUP(S52, Tarieven!$A$2:$J$150, 10, FALSE), "0")</f>
        <v>0</v>
      </c>
      <c r="U52" s="77" t="str">
        <f>Maart!U52</f>
        <v/>
      </c>
      <c r="V52" s="327" t="str">
        <f>Maart!V52</f>
        <v/>
      </c>
      <c r="W52" s="325" t="str">
        <f>IFERROR(VLOOKUP(V52, Tarieven!$A$2:$J$150, 10, FALSE), "0")</f>
        <v>0</v>
      </c>
      <c r="X52" s="138">
        <f>Maart!X52</f>
        <v>0</v>
      </c>
      <c r="Y52" s="398">
        <v>0.0</v>
      </c>
      <c r="Z52" s="329">
        <f t="shared" si="3"/>
        <v>0</v>
      </c>
      <c r="AA52" s="32">
        <f t="shared" si="4"/>
        <v>0</v>
      </c>
      <c r="AB52" s="32">
        <f t="shared" si="5"/>
        <v>0</v>
      </c>
      <c r="AC52" s="32">
        <f t="shared" si="6"/>
        <v>0</v>
      </c>
    </row>
    <row r="53" ht="22.5" customHeight="1">
      <c r="A53" s="331" t="str">
        <f>Rooster!A54</f>
        <v/>
      </c>
      <c r="B53" s="396" t="str">
        <f>Rooster!B54</f>
        <v/>
      </c>
      <c r="C53" s="15" t="str">
        <f>Rooster!C54</f>
        <v/>
      </c>
      <c r="D53" s="11" t="str">
        <f>Rooster!D54</f>
        <v/>
      </c>
      <c r="E53" s="77"/>
      <c r="F53" s="327" t="str">
        <f>Rooster!E54</f>
        <v/>
      </c>
      <c r="G53" s="319" t="str">
        <f>IFERROR(VLOOKUP(F53, Docenten!$A$2:$G$30, 7, FALSE), "0")</f>
        <v>0</v>
      </c>
      <c r="H53" s="320">
        <f t="shared" si="7"/>
        <v>0</v>
      </c>
      <c r="I53" s="327" t="str">
        <f>Rooster!H54</f>
        <v/>
      </c>
      <c r="J53" s="321" t="str">
        <f>IFERROR(VLOOKUP(I53, Locaties!$A$2:$G$15, 7, FALSE), "0")</f>
        <v>0</v>
      </c>
      <c r="K53" s="42">
        <f t="shared" si="2"/>
        <v>0</v>
      </c>
      <c r="L53" s="427" t="str">
        <f>Maart!L53</f>
        <v/>
      </c>
      <c r="M53" s="428" t="str">
        <f>Maart!M53</f>
        <v/>
      </c>
      <c r="N53" s="325" t="str">
        <f>IFERROR(VLOOKUP(M53, Tarieven[], 10, FALSE), "0")</f>
        <v>0</v>
      </c>
      <c r="O53" s="427" t="str">
        <f>Maart!O53</f>
        <v/>
      </c>
      <c r="P53" s="428" t="str">
        <f>Maart!P53</f>
        <v/>
      </c>
      <c r="Q53" s="325" t="str">
        <f>IFERROR(VLOOKUP(P53, Tarieven!$A$2:$J$150, 10, FALSE), "0")</f>
        <v>0</v>
      </c>
      <c r="R53" s="444" t="str">
        <f>Maart!R53</f>
        <v/>
      </c>
      <c r="S53" s="428" t="str">
        <f>Maart!S53</f>
        <v/>
      </c>
      <c r="T53" s="325" t="str">
        <f>IFERROR(VLOOKUP(S53, Tarieven!$A$2:$J$150, 10, FALSE), "0")</f>
        <v>0</v>
      </c>
      <c r="U53" s="77" t="str">
        <f>Maart!U53</f>
        <v/>
      </c>
      <c r="V53" s="327" t="str">
        <f>Maart!V53</f>
        <v/>
      </c>
      <c r="W53" s="325" t="str">
        <f>IFERROR(VLOOKUP(V53, Tarieven!$A$2:$J$150, 10, FALSE), "0")</f>
        <v>0</v>
      </c>
      <c r="X53" s="138">
        <f>Maart!X53</f>
        <v>0</v>
      </c>
      <c r="Y53" s="398">
        <v>0.0</v>
      </c>
      <c r="Z53" s="329">
        <f t="shared" si="3"/>
        <v>0</v>
      </c>
      <c r="AA53" s="32">
        <f t="shared" si="4"/>
        <v>0</v>
      </c>
      <c r="AB53" s="32">
        <f t="shared" si="5"/>
        <v>0</v>
      </c>
      <c r="AC53" s="32">
        <f t="shared" si="6"/>
        <v>0</v>
      </c>
    </row>
    <row r="54" ht="22.5" customHeight="1">
      <c r="A54" s="331" t="str">
        <f>Rooster!A55</f>
        <v/>
      </c>
      <c r="B54" s="396" t="str">
        <f>Rooster!B55</f>
        <v/>
      </c>
      <c r="C54" s="15" t="str">
        <f>Rooster!C55</f>
        <v/>
      </c>
      <c r="D54" s="11" t="str">
        <f>Rooster!D55</f>
        <v/>
      </c>
      <c r="E54" s="77"/>
      <c r="F54" s="327" t="str">
        <f>Rooster!E55</f>
        <v/>
      </c>
      <c r="G54" s="319" t="str">
        <f>IFERROR(VLOOKUP(F54, Docenten!$A$2:$G$30, 7, FALSE), "0")</f>
        <v>0</v>
      </c>
      <c r="H54" s="320">
        <f t="shared" si="7"/>
        <v>0</v>
      </c>
      <c r="I54" s="327" t="str">
        <f>Rooster!H55</f>
        <v/>
      </c>
      <c r="J54" s="321" t="str">
        <f>IFERROR(VLOOKUP(I54, Locaties!$A$2:$G$15, 7, FALSE), "0")</f>
        <v>0</v>
      </c>
      <c r="K54" s="42">
        <f t="shared" si="2"/>
        <v>0</v>
      </c>
      <c r="L54" s="427" t="str">
        <f>Maart!L54</f>
        <v/>
      </c>
      <c r="M54" s="428" t="str">
        <f>Maart!M54</f>
        <v/>
      </c>
      <c r="N54" s="325" t="str">
        <f>IFERROR(VLOOKUP(M54, Tarieven[], 10, FALSE), "0")</f>
        <v>0</v>
      </c>
      <c r="O54" s="427" t="str">
        <f>Maart!O54</f>
        <v/>
      </c>
      <c r="P54" s="428" t="str">
        <f>Maart!P54</f>
        <v/>
      </c>
      <c r="Q54" s="325" t="str">
        <f>IFERROR(VLOOKUP(P54, Tarieven!$A$2:$J$150, 10, FALSE), "0")</f>
        <v>0</v>
      </c>
      <c r="R54" s="444" t="str">
        <f>Maart!R54</f>
        <v/>
      </c>
      <c r="S54" s="428" t="str">
        <f>Maart!S54</f>
        <v/>
      </c>
      <c r="T54" s="325" t="str">
        <f>IFERROR(VLOOKUP(S54, Tarieven!$A$2:$J$150, 10, FALSE), "0")</f>
        <v>0</v>
      </c>
      <c r="U54" s="77" t="str">
        <f>Maart!U54</f>
        <v/>
      </c>
      <c r="V54" s="327" t="str">
        <f>Maart!V54</f>
        <v/>
      </c>
      <c r="W54" s="325" t="str">
        <f>IFERROR(VLOOKUP(V54, Tarieven!$A$2:$J$150, 10, FALSE), "0")</f>
        <v>0</v>
      </c>
      <c r="X54" s="138">
        <f>Maart!X54</f>
        <v>0</v>
      </c>
      <c r="Y54" s="398">
        <v>0.0</v>
      </c>
      <c r="Z54" s="329">
        <f t="shared" si="3"/>
        <v>0</v>
      </c>
      <c r="AA54" s="32">
        <f t="shared" si="4"/>
        <v>0</v>
      </c>
      <c r="AB54" s="32">
        <f t="shared" si="5"/>
        <v>0</v>
      </c>
      <c r="AC54" s="32">
        <f t="shared" si="6"/>
        <v>0</v>
      </c>
    </row>
    <row r="55" ht="22.5" customHeight="1">
      <c r="A55" s="331" t="str">
        <f>Rooster!A56</f>
        <v/>
      </c>
      <c r="B55" s="396" t="str">
        <f>Rooster!B56</f>
        <v/>
      </c>
      <c r="C55" s="15" t="str">
        <f>Rooster!C56</f>
        <v/>
      </c>
      <c r="D55" s="11" t="str">
        <f>Rooster!D56</f>
        <v/>
      </c>
      <c r="E55" s="77"/>
      <c r="F55" s="327" t="str">
        <f>Rooster!E56</f>
        <v/>
      </c>
      <c r="G55" s="319" t="str">
        <f>IFERROR(VLOOKUP(F55, Docenten!$A$2:$G$30, 7, FALSE), "0")</f>
        <v>0</v>
      </c>
      <c r="H55" s="320">
        <f t="shared" si="7"/>
        <v>0</v>
      </c>
      <c r="I55" s="327" t="str">
        <f>Rooster!H56</f>
        <v/>
      </c>
      <c r="J55" s="321" t="str">
        <f>IFERROR(VLOOKUP(I55, Locaties!$A$2:$G$15, 7, FALSE), "0")</f>
        <v>0</v>
      </c>
      <c r="K55" s="42">
        <f t="shared" si="2"/>
        <v>0</v>
      </c>
      <c r="L55" s="427" t="str">
        <f>Maart!L55</f>
        <v/>
      </c>
      <c r="M55" s="428" t="str">
        <f>Maart!M55</f>
        <v/>
      </c>
      <c r="N55" s="325" t="str">
        <f>IFERROR(VLOOKUP(M55, Tarieven[], 10, FALSE), "0")</f>
        <v>0</v>
      </c>
      <c r="O55" s="427" t="str">
        <f>Maart!O55</f>
        <v/>
      </c>
      <c r="P55" s="428" t="str">
        <f>Maart!P55</f>
        <v/>
      </c>
      <c r="Q55" s="325" t="str">
        <f>IFERROR(VLOOKUP(P55, Tarieven!$A$2:$J$150, 10, FALSE), "0")</f>
        <v>0</v>
      </c>
      <c r="R55" s="444" t="str">
        <f>Maart!R55</f>
        <v/>
      </c>
      <c r="S55" s="428" t="str">
        <f>Maart!S55</f>
        <v/>
      </c>
      <c r="T55" s="325" t="str">
        <f>IFERROR(VLOOKUP(S55, Tarieven!$A$2:$J$150, 10, FALSE), "0")</f>
        <v>0</v>
      </c>
      <c r="U55" s="77" t="str">
        <f>Maart!U55</f>
        <v/>
      </c>
      <c r="V55" s="327" t="str">
        <f>Maart!V55</f>
        <v/>
      </c>
      <c r="W55" s="325" t="str">
        <f>IFERROR(VLOOKUP(V55, Tarieven!$A$2:$J$150, 10, FALSE), "0")</f>
        <v>0</v>
      </c>
      <c r="X55" s="138">
        <f>Maart!X55</f>
        <v>0</v>
      </c>
      <c r="Y55" s="398">
        <v>0.0</v>
      </c>
      <c r="Z55" s="329">
        <f t="shared" si="3"/>
        <v>0</v>
      </c>
      <c r="AA55" s="32">
        <f t="shared" si="4"/>
        <v>0</v>
      </c>
      <c r="AB55" s="32">
        <f t="shared" si="5"/>
        <v>0</v>
      </c>
      <c r="AC55" s="32">
        <f t="shared" si="6"/>
        <v>0</v>
      </c>
    </row>
    <row r="56" ht="22.5" customHeight="1">
      <c r="A56" s="331" t="str">
        <f>Rooster!A57</f>
        <v/>
      </c>
      <c r="B56" s="396" t="str">
        <f>Rooster!B57</f>
        <v/>
      </c>
      <c r="C56" s="15" t="str">
        <f>Rooster!C57</f>
        <v/>
      </c>
      <c r="D56" s="11" t="str">
        <f>Rooster!D57</f>
        <v/>
      </c>
      <c r="E56" s="77"/>
      <c r="F56" s="327" t="str">
        <f>Rooster!E57</f>
        <v/>
      </c>
      <c r="G56" s="319" t="str">
        <f>IFERROR(VLOOKUP(F56, Docenten!$A$2:$G$30, 7, FALSE), "0")</f>
        <v>0</v>
      </c>
      <c r="H56" s="320">
        <f t="shared" si="7"/>
        <v>0</v>
      </c>
      <c r="I56" s="327" t="str">
        <f>Rooster!H57</f>
        <v/>
      </c>
      <c r="J56" s="321" t="str">
        <f>IFERROR(VLOOKUP(I56, Locaties!$A$2:$G$15, 7, FALSE), "0")</f>
        <v>0</v>
      </c>
      <c r="K56" s="42">
        <f t="shared" si="2"/>
        <v>0</v>
      </c>
      <c r="L56" s="427" t="str">
        <f>Maart!L56</f>
        <v/>
      </c>
      <c r="M56" s="428" t="str">
        <f>Maart!M56</f>
        <v/>
      </c>
      <c r="N56" s="325" t="str">
        <f>IFERROR(VLOOKUP(M56, Tarieven[], 10, FALSE), "0")</f>
        <v>0</v>
      </c>
      <c r="O56" s="427" t="str">
        <f>Maart!O56</f>
        <v/>
      </c>
      <c r="P56" s="428" t="str">
        <f>Maart!P56</f>
        <v/>
      </c>
      <c r="Q56" s="325" t="str">
        <f>IFERROR(VLOOKUP(P56, Tarieven!$A$2:$J$150, 10, FALSE), "0")</f>
        <v>0</v>
      </c>
      <c r="R56" s="444" t="str">
        <f>Maart!R56</f>
        <v/>
      </c>
      <c r="S56" s="428" t="str">
        <f>Maart!S56</f>
        <v/>
      </c>
      <c r="T56" s="325" t="str">
        <f>IFERROR(VLOOKUP(S56, Tarieven!$A$2:$J$150, 10, FALSE), "0")</f>
        <v>0</v>
      </c>
      <c r="U56" s="77" t="str">
        <f>Maart!U56</f>
        <v/>
      </c>
      <c r="V56" s="327" t="str">
        <f>Maart!V56</f>
        <v/>
      </c>
      <c r="W56" s="325" t="str">
        <f>IFERROR(VLOOKUP(V56, Tarieven!$A$2:$J$150, 10, FALSE), "0")</f>
        <v>0</v>
      </c>
      <c r="X56" s="138">
        <f>Maart!X56</f>
        <v>0</v>
      </c>
      <c r="Y56" s="398">
        <v>0.0</v>
      </c>
      <c r="Z56" s="329">
        <f t="shared" si="3"/>
        <v>0</v>
      </c>
      <c r="AA56" s="32">
        <f t="shared" si="4"/>
        <v>0</v>
      </c>
      <c r="AB56" s="32">
        <f t="shared" si="5"/>
        <v>0</v>
      </c>
      <c r="AC56" s="32">
        <f t="shared" si="6"/>
        <v>0</v>
      </c>
    </row>
    <row r="57" ht="22.5" customHeight="1">
      <c r="A57" s="331" t="str">
        <f>Rooster!A58</f>
        <v/>
      </c>
      <c r="B57" s="396" t="str">
        <f>Rooster!B58</f>
        <v/>
      </c>
      <c r="C57" s="15" t="str">
        <f>Rooster!C58</f>
        <v/>
      </c>
      <c r="D57" s="11" t="str">
        <f>Rooster!D58</f>
        <v/>
      </c>
      <c r="E57" s="77"/>
      <c r="F57" s="327" t="str">
        <f>Rooster!E58</f>
        <v/>
      </c>
      <c r="G57" s="319" t="str">
        <f>IFERROR(VLOOKUP(F57, Docenten!$A$2:$G$30, 7, FALSE), "0")</f>
        <v>0</v>
      </c>
      <c r="H57" s="320">
        <f t="shared" si="7"/>
        <v>0</v>
      </c>
      <c r="I57" s="327" t="str">
        <f>Rooster!H58</f>
        <v/>
      </c>
      <c r="J57" s="321" t="str">
        <f>IFERROR(VLOOKUP(I57, Locaties!$A$2:$G$15, 7, FALSE), "0")</f>
        <v>0</v>
      </c>
      <c r="K57" s="42">
        <f t="shared" si="2"/>
        <v>0</v>
      </c>
      <c r="L57" s="427" t="str">
        <f>Maart!L57</f>
        <v/>
      </c>
      <c r="M57" s="428" t="str">
        <f>Maart!M57</f>
        <v/>
      </c>
      <c r="N57" s="325" t="str">
        <f>IFERROR(VLOOKUP(M57, Tarieven[], 10, FALSE), "0")</f>
        <v>0</v>
      </c>
      <c r="O57" s="427" t="str">
        <f>Maart!O57</f>
        <v/>
      </c>
      <c r="P57" s="428" t="str">
        <f>Maart!P57</f>
        <v/>
      </c>
      <c r="Q57" s="325" t="str">
        <f>IFERROR(VLOOKUP(P57, Tarieven!$A$2:$J$150, 10, FALSE), "0")</f>
        <v>0</v>
      </c>
      <c r="R57" s="444" t="str">
        <f>Maart!R57</f>
        <v/>
      </c>
      <c r="S57" s="428" t="str">
        <f>Maart!S57</f>
        <v/>
      </c>
      <c r="T57" s="325" t="str">
        <f>IFERROR(VLOOKUP(S57, Tarieven!$A$2:$J$150, 10, FALSE), "0")</f>
        <v>0</v>
      </c>
      <c r="U57" s="77" t="str">
        <f>Maart!U57</f>
        <v/>
      </c>
      <c r="V57" s="327" t="str">
        <f>Maart!V57</f>
        <v/>
      </c>
      <c r="W57" s="325" t="str">
        <f>IFERROR(VLOOKUP(V57, Tarieven!$A$2:$J$150, 10, FALSE), "0")</f>
        <v>0</v>
      </c>
      <c r="X57" s="138">
        <f>Maart!X57</f>
        <v>0</v>
      </c>
      <c r="Y57" s="398">
        <v>0.0</v>
      </c>
      <c r="Z57" s="329">
        <f t="shared" si="3"/>
        <v>0</v>
      </c>
      <c r="AA57" s="32">
        <f t="shared" si="4"/>
        <v>0</v>
      </c>
      <c r="AB57" s="32">
        <f t="shared" si="5"/>
        <v>0</v>
      </c>
      <c r="AC57" s="32">
        <f t="shared" si="6"/>
        <v>0</v>
      </c>
    </row>
    <row r="58" ht="22.5" customHeight="1">
      <c r="A58" s="331" t="str">
        <f>Rooster!A59</f>
        <v/>
      </c>
      <c r="B58" s="396" t="str">
        <f>Rooster!B59</f>
        <v/>
      </c>
      <c r="C58" s="15" t="str">
        <f>Rooster!C59</f>
        <v/>
      </c>
      <c r="D58" s="11" t="str">
        <f>Rooster!D59</f>
        <v/>
      </c>
      <c r="E58" s="77"/>
      <c r="F58" s="327" t="str">
        <f>Rooster!E59</f>
        <v/>
      </c>
      <c r="G58" s="319" t="str">
        <f>IFERROR(VLOOKUP(F58, Docenten!$A$2:$G$30, 7, FALSE), "0")</f>
        <v>0</v>
      </c>
      <c r="H58" s="320">
        <f t="shared" si="7"/>
        <v>0</v>
      </c>
      <c r="I58" s="327" t="str">
        <f>Rooster!H59</f>
        <v/>
      </c>
      <c r="J58" s="321" t="str">
        <f>IFERROR(VLOOKUP(I58, Locaties!$A$2:$G$15, 7, FALSE), "0")</f>
        <v>0</v>
      </c>
      <c r="K58" s="42">
        <f t="shared" si="2"/>
        <v>0</v>
      </c>
      <c r="L58" s="427" t="str">
        <f>Maart!L58</f>
        <v/>
      </c>
      <c r="M58" s="428" t="str">
        <f>Maart!M58</f>
        <v/>
      </c>
      <c r="N58" s="325" t="str">
        <f>IFERROR(VLOOKUP(M58, Tarieven[], 10, FALSE), "0")</f>
        <v>0</v>
      </c>
      <c r="O58" s="427" t="str">
        <f>Maart!O58</f>
        <v/>
      </c>
      <c r="P58" s="428" t="str">
        <f>Maart!P58</f>
        <v/>
      </c>
      <c r="Q58" s="325" t="str">
        <f>IFERROR(VLOOKUP(P58, Tarieven!$A$2:$J$150, 10, FALSE), "0")</f>
        <v>0</v>
      </c>
      <c r="R58" s="444" t="str">
        <f>Maart!R58</f>
        <v/>
      </c>
      <c r="S58" s="428" t="str">
        <f>Maart!S58</f>
        <v/>
      </c>
      <c r="T58" s="325" t="str">
        <f>IFERROR(VLOOKUP(S58, Tarieven!$A$2:$J$150, 10, FALSE), "0")</f>
        <v>0</v>
      </c>
      <c r="U58" s="77" t="str">
        <f>Maart!U58</f>
        <v/>
      </c>
      <c r="V58" s="327" t="str">
        <f>Maart!V58</f>
        <v/>
      </c>
      <c r="W58" s="325" t="str">
        <f>IFERROR(VLOOKUP(V58, Tarieven!$A$2:$J$150, 10, FALSE), "0")</f>
        <v>0</v>
      </c>
      <c r="X58" s="138">
        <f>Maart!X58</f>
        <v>0</v>
      </c>
      <c r="Y58" s="398">
        <v>0.0</v>
      </c>
      <c r="Z58" s="329">
        <f t="shared" si="3"/>
        <v>0</v>
      </c>
      <c r="AA58" s="32">
        <f t="shared" si="4"/>
        <v>0</v>
      </c>
      <c r="AB58" s="32">
        <f t="shared" si="5"/>
        <v>0</v>
      </c>
      <c r="AC58" s="32">
        <f t="shared" si="6"/>
        <v>0</v>
      </c>
    </row>
    <row r="59" ht="22.5" customHeight="1">
      <c r="A59" s="331" t="str">
        <f>Rooster!A60</f>
        <v/>
      </c>
      <c r="B59" s="396" t="str">
        <f>Rooster!B60</f>
        <v/>
      </c>
      <c r="C59" s="15" t="str">
        <f>Rooster!C60</f>
        <v/>
      </c>
      <c r="D59" s="11" t="str">
        <f>Rooster!D60</f>
        <v/>
      </c>
      <c r="E59" s="77"/>
      <c r="F59" s="327" t="str">
        <f>Rooster!E60</f>
        <v/>
      </c>
      <c r="G59" s="319" t="str">
        <f>IFERROR(VLOOKUP(F59, Docenten!$A$2:$G$30, 7, FALSE), "0")</f>
        <v>0</v>
      </c>
      <c r="H59" s="320">
        <f t="shared" si="7"/>
        <v>0</v>
      </c>
      <c r="I59" s="327" t="str">
        <f>Rooster!H60</f>
        <v/>
      </c>
      <c r="J59" s="321" t="str">
        <f>IFERROR(VLOOKUP(I59, Locaties!$A$2:$G$15, 7, FALSE), "0")</f>
        <v>0</v>
      </c>
      <c r="K59" s="42">
        <f t="shared" si="2"/>
        <v>0</v>
      </c>
      <c r="L59" s="427" t="str">
        <f>Maart!L59</f>
        <v/>
      </c>
      <c r="M59" s="428" t="str">
        <f>Maart!M59</f>
        <v/>
      </c>
      <c r="N59" s="325" t="str">
        <f>IFERROR(VLOOKUP(M59, Tarieven[], 10, FALSE), "0")</f>
        <v>0</v>
      </c>
      <c r="O59" s="427" t="str">
        <f>Maart!O59</f>
        <v/>
      </c>
      <c r="P59" s="428" t="str">
        <f>Maart!P59</f>
        <v/>
      </c>
      <c r="Q59" s="325" t="str">
        <f>IFERROR(VLOOKUP(P59, Tarieven!$A$2:$J$150, 10, FALSE), "0")</f>
        <v>0</v>
      </c>
      <c r="R59" s="444" t="str">
        <f>Maart!R59</f>
        <v/>
      </c>
      <c r="S59" s="428" t="str">
        <f>Maart!S59</f>
        <v/>
      </c>
      <c r="T59" s="325" t="str">
        <f>IFERROR(VLOOKUP(S59, Tarieven!$A$2:$J$150, 10, FALSE), "0")</f>
        <v>0</v>
      </c>
      <c r="U59" s="77" t="str">
        <f>Maart!U59</f>
        <v/>
      </c>
      <c r="V59" s="327" t="str">
        <f>Maart!V59</f>
        <v/>
      </c>
      <c r="W59" s="325" t="str">
        <f>IFERROR(VLOOKUP(V59, Tarieven!$A$2:$J$150, 10, FALSE), "0")</f>
        <v>0</v>
      </c>
      <c r="X59" s="138">
        <f>Maart!X59</f>
        <v>0</v>
      </c>
      <c r="Y59" s="398">
        <v>0.0</v>
      </c>
      <c r="Z59" s="329">
        <f t="shared" si="3"/>
        <v>0</v>
      </c>
      <c r="AA59" s="32">
        <f t="shared" si="4"/>
        <v>0</v>
      </c>
      <c r="AB59" s="32">
        <f t="shared" si="5"/>
        <v>0</v>
      </c>
      <c r="AC59" s="32">
        <f t="shared" si="6"/>
        <v>0</v>
      </c>
    </row>
    <row r="60" ht="22.5" customHeight="1">
      <c r="A60" s="331" t="str">
        <f>Rooster!A61</f>
        <v/>
      </c>
      <c r="B60" s="396" t="str">
        <f>Rooster!B61</f>
        <v/>
      </c>
      <c r="C60" s="15" t="str">
        <f>Rooster!C61</f>
        <v/>
      </c>
      <c r="D60" s="11" t="str">
        <f>Rooster!D61</f>
        <v/>
      </c>
      <c r="E60" s="77"/>
      <c r="F60" s="327" t="str">
        <f>Rooster!E61</f>
        <v/>
      </c>
      <c r="G60" s="319" t="str">
        <f>IFERROR(VLOOKUP(F60, Docenten!$A$2:$G$30, 7, FALSE), "0")</f>
        <v>0</v>
      </c>
      <c r="H60" s="320">
        <f t="shared" si="7"/>
        <v>0</v>
      </c>
      <c r="I60" s="327" t="str">
        <f>Rooster!H61</f>
        <v/>
      </c>
      <c r="J60" s="321" t="str">
        <f>IFERROR(VLOOKUP(I60, Locaties!$A$2:$G$15, 7, FALSE), "0")</f>
        <v>0</v>
      </c>
      <c r="K60" s="42">
        <f t="shared" si="2"/>
        <v>0</v>
      </c>
      <c r="L60" s="427" t="str">
        <f>Maart!L60</f>
        <v/>
      </c>
      <c r="M60" s="428" t="str">
        <f>Maart!M60</f>
        <v/>
      </c>
      <c r="N60" s="325" t="str">
        <f>IFERROR(VLOOKUP(M60, Tarieven[], 10, FALSE), "0")</f>
        <v>0</v>
      </c>
      <c r="O60" s="427" t="str">
        <f>Maart!O60</f>
        <v/>
      </c>
      <c r="P60" s="428" t="str">
        <f>Maart!P60</f>
        <v/>
      </c>
      <c r="Q60" s="325" t="str">
        <f>IFERROR(VLOOKUP(P60, Tarieven!$A$2:$J$150, 10, FALSE), "0")</f>
        <v>0</v>
      </c>
      <c r="R60" s="444" t="str">
        <f>Maart!R60</f>
        <v/>
      </c>
      <c r="S60" s="428" t="str">
        <f>Maart!S60</f>
        <v/>
      </c>
      <c r="T60" s="325" t="str">
        <f>IFERROR(VLOOKUP(S60, Tarieven!$A$2:$J$150, 10, FALSE), "0")</f>
        <v>0</v>
      </c>
      <c r="U60" s="77" t="str">
        <f>Maart!U60</f>
        <v/>
      </c>
      <c r="V60" s="327" t="str">
        <f>Maart!V60</f>
        <v/>
      </c>
      <c r="W60" s="325" t="str">
        <f>IFERROR(VLOOKUP(V60, Tarieven!$A$2:$J$150, 10, FALSE), "0")</f>
        <v>0</v>
      </c>
      <c r="X60" s="138">
        <f>Maart!X60</f>
        <v>0</v>
      </c>
      <c r="Y60" s="398">
        <v>0.0</v>
      </c>
      <c r="Z60" s="329">
        <f t="shared" si="3"/>
        <v>0</v>
      </c>
      <c r="AA60" s="32">
        <f t="shared" si="4"/>
        <v>0</v>
      </c>
      <c r="AB60" s="32">
        <f t="shared" si="5"/>
        <v>0</v>
      </c>
      <c r="AC60" s="32">
        <f t="shared" si="6"/>
        <v>0</v>
      </c>
    </row>
    <row r="61" ht="22.5" customHeight="1">
      <c r="A61" s="331" t="str">
        <f>Rooster!A62</f>
        <v/>
      </c>
      <c r="B61" s="396" t="str">
        <f>Rooster!B62</f>
        <v/>
      </c>
      <c r="C61" s="15" t="str">
        <f>Rooster!C62</f>
        <v/>
      </c>
      <c r="D61" s="11" t="str">
        <f>Rooster!D62</f>
        <v/>
      </c>
      <c r="E61" s="77"/>
      <c r="F61" s="327" t="str">
        <f>Rooster!E62</f>
        <v/>
      </c>
      <c r="G61" s="319" t="str">
        <f>IFERROR(VLOOKUP(F61, Docenten!$A$2:$G$30, 7, FALSE), "0")</f>
        <v>0</v>
      </c>
      <c r="H61" s="320">
        <f t="shared" si="7"/>
        <v>0</v>
      </c>
      <c r="I61" s="327" t="str">
        <f>Rooster!H62</f>
        <v/>
      </c>
      <c r="J61" s="321" t="str">
        <f>IFERROR(VLOOKUP(I61, Locaties!$A$2:$G$15, 7, FALSE), "0")</f>
        <v>0</v>
      </c>
      <c r="K61" s="42">
        <f t="shared" si="2"/>
        <v>0</v>
      </c>
      <c r="L61" s="427" t="str">
        <f>Maart!L61</f>
        <v/>
      </c>
      <c r="M61" s="428" t="str">
        <f>Maart!M61</f>
        <v/>
      </c>
      <c r="N61" s="325" t="str">
        <f>IFERROR(VLOOKUP(M61, Tarieven[], 10, FALSE), "0")</f>
        <v>0</v>
      </c>
      <c r="O61" s="427" t="str">
        <f>Maart!O61</f>
        <v/>
      </c>
      <c r="P61" s="428" t="str">
        <f>Maart!P61</f>
        <v/>
      </c>
      <c r="Q61" s="325" t="str">
        <f>IFERROR(VLOOKUP(P61, Tarieven!$A$2:$J$150, 10, FALSE), "0")</f>
        <v>0</v>
      </c>
      <c r="R61" s="444" t="str">
        <f>Maart!R61</f>
        <v/>
      </c>
      <c r="S61" s="428" t="str">
        <f>Maart!S61</f>
        <v/>
      </c>
      <c r="T61" s="325" t="str">
        <f>IFERROR(VLOOKUP(S61, Tarieven!$A$2:$J$150, 10, FALSE), "0")</f>
        <v>0</v>
      </c>
      <c r="U61" s="77" t="str">
        <f>Maart!U61</f>
        <v/>
      </c>
      <c r="V61" s="327" t="str">
        <f>Maart!V61</f>
        <v/>
      </c>
      <c r="W61" s="325" t="str">
        <f>IFERROR(VLOOKUP(V61, Tarieven!$A$2:$J$150, 10, FALSE), "0")</f>
        <v>0</v>
      </c>
      <c r="X61" s="138">
        <f>Maart!X61</f>
        <v>0</v>
      </c>
      <c r="Y61" s="398">
        <v>0.0</v>
      </c>
      <c r="Z61" s="329">
        <f t="shared" si="3"/>
        <v>0</v>
      </c>
      <c r="AA61" s="32">
        <f t="shared" si="4"/>
        <v>0</v>
      </c>
      <c r="AB61" s="32">
        <f t="shared" si="5"/>
        <v>0</v>
      </c>
      <c r="AC61" s="32">
        <f t="shared" si="6"/>
        <v>0</v>
      </c>
    </row>
    <row r="62" ht="22.5" customHeight="1">
      <c r="A62" s="331" t="str">
        <f>Rooster!A63</f>
        <v/>
      </c>
      <c r="B62" s="396" t="str">
        <f>Rooster!B63</f>
        <v/>
      </c>
      <c r="C62" s="15" t="str">
        <f>Rooster!C63</f>
        <v/>
      </c>
      <c r="D62" s="11" t="str">
        <f>Rooster!D63</f>
        <v/>
      </c>
      <c r="E62" s="77"/>
      <c r="F62" s="327" t="str">
        <f>Rooster!E63</f>
        <v/>
      </c>
      <c r="G62" s="319" t="str">
        <f>IFERROR(VLOOKUP(F62, Docenten!$A$2:$G$30, 7, FALSE), "0")</f>
        <v>0</v>
      </c>
      <c r="H62" s="320">
        <f t="shared" si="7"/>
        <v>0</v>
      </c>
      <c r="I62" s="327" t="str">
        <f>Rooster!H63</f>
        <v/>
      </c>
      <c r="J62" s="321" t="str">
        <f>IFERROR(VLOOKUP(I62, Locaties!$A$2:$G$15, 7, FALSE), "0")</f>
        <v>0</v>
      </c>
      <c r="K62" s="42">
        <f t="shared" si="2"/>
        <v>0</v>
      </c>
      <c r="L62" s="427" t="str">
        <f>Maart!L62</f>
        <v/>
      </c>
      <c r="M62" s="428" t="str">
        <f>Maart!M62</f>
        <v/>
      </c>
      <c r="N62" s="325" t="str">
        <f>IFERROR(VLOOKUP(M62, Tarieven[], 10, FALSE), "0")</f>
        <v>0</v>
      </c>
      <c r="O62" s="427" t="str">
        <f>Maart!O62</f>
        <v/>
      </c>
      <c r="P62" s="428" t="str">
        <f>Maart!P62</f>
        <v/>
      </c>
      <c r="Q62" s="325" t="str">
        <f>IFERROR(VLOOKUP(P62, Tarieven!$A$2:$J$150, 10, FALSE), "0")</f>
        <v>0</v>
      </c>
      <c r="R62" s="444" t="str">
        <f>Maart!R62</f>
        <v/>
      </c>
      <c r="S62" s="428" t="str">
        <f>Maart!S62</f>
        <v/>
      </c>
      <c r="T62" s="325" t="str">
        <f>IFERROR(VLOOKUP(S62, Tarieven!$A$2:$J$150, 10, FALSE), "0")</f>
        <v>0</v>
      </c>
      <c r="U62" s="77" t="str">
        <f>Maart!U62</f>
        <v/>
      </c>
      <c r="V62" s="327" t="str">
        <f>Maart!V62</f>
        <v/>
      </c>
      <c r="W62" s="325" t="str">
        <f>IFERROR(VLOOKUP(V62, Tarieven!$A$2:$J$150, 10, FALSE), "0")</f>
        <v>0</v>
      </c>
      <c r="X62" s="138">
        <f>Maart!X62</f>
        <v>0</v>
      </c>
      <c r="Y62" s="398">
        <v>0.0</v>
      </c>
      <c r="Z62" s="329">
        <f t="shared" si="3"/>
        <v>0</v>
      </c>
      <c r="AA62" s="32">
        <f t="shared" si="4"/>
        <v>0</v>
      </c>
      <c r="AB62" s="32">
        <f t="shared" si="5"/>
        <v>0</v>
      </c>
      <c r="AC62" s="32">
        <f t="shared" si="6"/>
        <v>0</v>
      </c>
    </row>
    <row r="63" ht="22.5" customHeight="1">
      <c r="A63" s="331" t="str">
        <f>Rooster!A64</f>
        <v/>
      </c>
      <c r="B63" s="396" t="str">
        <f>Rooster!B64</f>
        <v/>
      </c>
      <c r="C63" s="15" t="str">
        <f>Rooster!C64</f>
        <v/>
      </c>
      <c r="D63" s="11" t="str">
        <f>Rooster!D64</f>
        <v/>
      </c>
      <c r="E63" s="77"/>
      <c r="F63" s="327" t="str">
        <f>Rooster!E64</f>
        <v/>
      </c>
      <c r="G63" s="319" t="str">
        <f>IFERROR(VLOOKUP(F63, Docenten!$A$2:$G$30, 7, FALSE), "0")</f>
        <v>0</v>
      </c>
      <c r="H63" s="320">
        <f t="shared" si="7"/>
        <v>0</v>
      </c>
      <c r="I63" s="327" t="str">
        <f>Rooster!H64</f>
        <v/>
      </c>
      <c r="J63" s="321" t="str">
        <f>IFERROR(VLOOKUP(I63, Locaties!$A$2:$G$15, 7, FALSE), "0")</f>
        <v>0</v>
      </c>
      <c r="K63" s="42">
        <f t="shared" si="2"/>
        <v>0</v>
      </c>
      <c r="L63" s="427" t="str">
        <f>Maart!L63</f>
        <v/>
      </c>
      <c r="M63" s="428" t="str">
        <f>Maart!M63</f>
        <v/>
      </c>
      <c r="N63" s="325" t="str">
        <f>IFERROR(VLOOKUP(M63, Tarieven[], 10, FALSE), "0")</f>
        <v>0</v>
      </c>
      <c r="O63" s="427" t="str">
        <f>Maart!O63</f>
        <v/>
      </c>
      <c r="P63" s="428" t="str">
        <f>Maart!P63</f>
        <v/>
      </c>
      <c r="Q63" s="325" t="str">
        <f>IFERROR(VLOOKUP(P63, Tarieven!$A$2:$J$150, 10, FALSE), "0")</f>
        <v>0</v>
      </c>
      <c r="R63" s="444" t="str">
        <f>Maart!R63</f>
        <v/>
      </c>
      <c r="S63" s="428" t="str">
        <f>Maart!S63</f>
        <v/>
      </c>
      <c r="T63" s="325" t="str">
        <f>IFERROR(VLOOKUP(S63, Tarieven!$A$2:$J$150, 10, FALSE), "0")</f>
        <v>0</v>
      </c>
      <c r="U63" s="77" t="str">
        <f>Maart!U63</f>
        <v/>
      </c>
      <c r="V63" s="327" t="str">
        <f>Maart!V63</f>
        <v/>
      </c>
      <c r="W63" s="325" t="str">
        <f>IFERROR(VLOOKUP(V63, Tarieven!$A$2:$J$150, 10, FALSE), "0")</f>
        <v>0</v>
      </c>
      <c r="X63" s="138">
        <f>Maart!X63</f>
        <v>0</v>
      </c>
      <c r="Y63" s="398">
        <v>0.0</v>
      </c>
      <c r="Z63" s="329">
        <f t="shared" si="3"/>
        <v>0</v>
      </c>
      <c r="AA63" s="32">
        <f t="shared" si="4"/>
        <v>0</v>
      </c>
      <c r="AB63" s="32">
        <f t="shared" si="5"/>
        <v>0</v>
      </c>
      <c r="AC63" s="32">
        <f t="shared" si="6"/>
        <v>0</v>
      </c>
    </row>
    <row r="64" ht="22.5" customHeight="1">
      <c r="A64" s="331" t="str">
        <f>Rooster!A65</f>
        <v/>
      </c>
      <c r="B64" s="396" t="str">
        <f>Rooster!B65</f>
        <v/>
      </c>
      <c r="C64" s="15" t="str">
        <f>Rooster!C65</f>
        <v/>
      </c>
      <c r="D64" s="11" t="str">
        <f>Rooster!D65</f>
        <v/>
      </c>
      <c r="E64" s="77"/>
      <c r="F64" s="327" t="str">
        <f>Rooster!E65</f>
        <v/>
      </c>
      <c r="G64" s="319" t="str">
        <f>IFERROR(VLOOKUP(F64, Docenten!$A$2:$G$30, 7, FALSE), "0")</f>
        <v>0</v>
      </c>
      <c r="H64" s="320">
        <f t="shared" si="7"/>
        <v>0</v>
      </c>
      <c r="I64" s="327" t="str">
        <f>Rooster!H65</f>
        <v/>
      </c>
      <c r="J64" s="321" t="str">
        <f>IFERROR(VLOOKUP(I64, Locaties!$A$2:$G$15, 7, FALSE), "0")</f>
        <v>0</v>
      </c>
      <c r="K64" s="42">
        <f t="shared" si="2"/>
        <v>0</v>
      </c>
      <c r="L64" s="427" t="str">
        <f>Maart!L64</f>
        <v/>
      </c>
      <c r="M64" s="428" t="str">
        <f>Maart!M64</f>
        <v/>
      </c>
      <c r="N64" s="325" t="str">
        <f>IFERROR(VLOOKUP(M64, Tarieven[], 10, FALSE), "0")</f>
        <v>0</v>
      </c>
      <c r="O64" s="427" t="str">
        <f>Maart!O64</f>
        <v/>
      </c>
      <c r="P64" s="428" t="str">
        <f>Maart!P64</f>
        <v/>
      </c>
      <c r="Q64" s="325" t="str">
        <f>IFERROR(VLOOKUP(P64, Tarieven!$A$2:$J$150, 10, FALSE), "0")</f>
        <v>0</v>
      </c>
      <c r="R64" s="444" t="str">
        <f>Maart!R64</f>
        <v/>
      </c>
      <c r="S64" s="428" t="str">
        <f>Maart!S64</f>
        <v/>
      </c>
      <c r="T64" s="325" t="str">
        <f>IFERROR(VLOOKUP(S64, Tarieven!$A$2:$J$150, 10, FALSE), "0")</f>
        <v>0</v>
      </c>
      <c r="U64" s="77" t="str">
        <f>Maart!U64</f>
        <v/>
      </c>
      <c r="V64" s="327" t="str">
        <f>Maart!V64</f>
        <v/>
      </c>
      <c r="W64" s="325" t="str">
        <f>IFERROR(VLOOKUP(V64, Tarieven!$A$2:$J$150, 10, FALSE), "0")</f>
        <v>0</v>
      </c>
      <c r="X64" s="138">
        <f>Maart!X64</f>
        <v>0</v>
      </c>
      <c r="Y64" s="398">
        <v>0.0</v>
      </c>
      <c r="Z64" s="329">
        <f t="shared" si="3"/>
        <v>0</v>
      </c>
      <c r="AA64" s="32">
        <f t="shared" si="4"/>
        <v>0</v>
      </c>
      <c r="AB64" s="32">
        <f t="shared" si="5"/>
        <v>0</v>
      </c>
      <c r="AC64" s="32">
        <f t="shared" si="6"/>
        <v>0</v>
      </c>
    </row>
    <row r="65" ht="22.5" customHeight="1">
      <c r="A65" s="331" t="str">
        <f>Rooster!A66</f>
        <v/>
      </c>
      <c r="B65" s="396" t="str">
        <f>Rooster!B66</f>
        <v/>
      </c>
      <c r="C65" s="15" t="str">
        <f>Rooster!C66</f>
        <v/>
      </c>
      <c r="D65" s="11" t="str">
        <f>Rooster!D66</f>
        <v/>
      </c>
      <c r="E65" s="77"/>
      <c r="F65" s="327" t="str">
        <f>Rooster!E66</f>
        <v/>
      </c>
      <c r="G65" s="319" t="str">
        <f>IFERROR(VLOOKUP(F65, Docenten!$A$2:$G$30, 7, FALSE), "0")</f>
        <v>0</v>
      </c>
      <c r="H65" s="320">
        <f t="shared" si="7"/>
        <v>0</v>
      </c>
      <c r="I65" s="327" t="str">
        <f>Rooster!H66</f>
        <v/>
      </c>
      <c r="J65" s="321" t="str">
        <f>IFERROR(VLOOKUP(I65, Locaties!$A$2:$G$15, 7, FALSE), "0")</f>
        <v>0</v>
      </c>
      <c r="K65" s="42">
        <f t="shared" si="2"/>
        <v>0</v>
      </c>
      <c r="L65" s="427" t="str">
        <f>Maart!L65</f>
        <v/>
      </c>
      <c r="M65" s="428" t="str">
        <f>Maart!M65</f>
        <v/>
      </c>
      <c r="N65" s="325" t="str">
        <f>IFERROR(VLOOKUP(M65, Tarieven[], 10, FALSE), "0")</f>
        <v>0</v>
      </c>
      <c r="O65" s="427" t="str">
        <f>Maart!O65</f>
        <v/>
      </c>
      <c r="P65" s="428" t="str">
        <f>Maart!P65</f>
        <v/>
      </c>
      <c r="Q65" s="325" t="str">
        <f>IFERROR(VLOOKUP(P65, Tarieven!$A$2:$J$150, 10, FALSE), "0")</f>
        <v>0</v>
      </c>
      <c r="R65" s="444" t="str">
        <f>Maart!R65</f>
        <v/>
      </c>
      <c r="S65" s="428" t="str">
        <f>Maart!S65</f>
        <v/>
      </c>
      <c r="T65" s="325" t="str">
        <f>IFERROR(VLOOKUP(S65, Tarieven!$A$2:$J$150, 10, FALSE), "0")</f>
        <v>0</v>
      </c>
      <c r="U65" s="77" t="str">
        <f>Maart!U65</f>
        <v/>
      </c>
      <c r="V65" s="327" t="str">
        <f>Maart!V65</f>
        <v/>
      </c>
      <c r="W65" s="325" t="str">
        <f>IFERROR(VLOOKUP(V65, Tarieven!$A$2:$J$150, 10, FALSE), "0")</f>
        <v>0</v>
      </c>
      <c r="X65" s="138">
        <f>Maart!X65</f>
        <v>0</v>
      </c>
      <c r="Y65" s="398">
        <v>0.0</v>
      </c>
      <c r="Z65" s="329">
        <f t="shared" si="3"/>
        <v>0</v>
      </c>
      <c r="AA65" s="32">
        <f t="shared" si="4"/>
        <v>0</v>
      </c>
      <c r="AB65" s="32">
        <f t="shared" si="5"/>
        <v>0</v>
      </c>
      <c r="AC65" s="32">
        <f t="shared" si="6"/>
        <v>0</v>
      </c>
    </row>
    <row r="66" ht="22.5" customHeight="1">
      <c r="A66" s="331" t="str">
        <f>Rooster!A67</f>
        <v/>
      </c>
      <c r="B66" s="396" t="str">
        <f>Rooster!B67</f>
        <v/>
      </c>
      <c r="C66" s="15" t="str">
        <f>Rooster!C67</f>
        <v/>
      </c>
      <c r="D66" s="11" t="str">
        <f>Rooster!D67</f>
        <v/>
      </c>
      <c r="E66" s="77"/>
      <c r="F66" s="327" t="str">
        <f>Rooster!E67</f>
        <v/>
      </c>
      <c r="G66" s="319" t="str">
        <f>IFERROR(VLOOKUP(F66, Docenten!$A$2:$G$30, 7, FALSE), "0")</f>
        <v>0</v>
      </c>
      <c r="H66" s="320">
        <f t="shared" si="7"/>
        <v>0</v>
      </c>
      <c r="I66" s="327" t="str">
        <f>Rooster!H67</f>
        <v/>
      </c>
      <c r="J66" s="321" t="str">
        <f>IFERROR(VLOOKUP(I66, Locaties!$A$2:$G$15, 7, FALSE), "0")</f>
        <v>0</v>
      </c>
      <c r="K66" s="42">
        <f t="shared" si="2"/>
        <v>0</v>
      </c>
      <c r="L66" s="427" t="str">
        <f>Maart!L66</f>
        <v/>
      </c>
      <c r="M66" s="428" t="str">
        <f>Maart!M66</f>
        <v/>
      </c>
      <c r="N66" s="325" t="str">
        <f>IFERROR(VLOOKUP(M66, Tarieven[], 10, FALSE), "0")</f>
        <v>0</v>
      </c>
      <c r="O66" s="427" t="str">
        <f>Maart!O66</f>
        <v/>
      </c>
      <c r="P66" s="428" t="str">
        <f>Maart!P66</f>
        <v/>
      </c>
      <c r="Q66" s="325" t="str">
        <f>IFERROR(VLOOKUP(P66, Tarieven!$A$2:$J$150, 10, FALSE), "0")</f>
        <v>0</v>
      </c>
      <c r="R66" s="444" t="str">
        <f>Maart!R66</f>
        <v/>
      </c>
      <c r="S66" s="428" t="str">
        <f>Maart!S66</f>
        <v/>
      </c>
      <c r="T66" s="325" t="str">
        <f>IFERROR(VLOOKUP(S66, Tarieven!$A$2:$J$150, 10, FALSE), "0")</f>
        <v>0</v>
      </c>
      <c r="U66" s="77" t="str">
        <f>Maart!U66</f>
        <v/>
      </c>
      <c r="V66" s="327" t="str">
        <f>Maart!V66</f>
        <v/>
      </c>
      <c r="W66" s="325" t="str">
        <f>IFERROR(VLOOKUP(V66, Tarieven!$A$2:$J$150, 10, FALSE), "0")</f>
        <v>0</v>
      </c>
      <c r="X66" s="138">
        <f>Maart!X66</f>
        <v>0</v>
      </c>
      <c r="Y66" s="398">
        <v>0.0</v>
      </c>
      <c r="Z66" s="329">
        <f t="shared" si="3"/>
        <v>0</v>
      </c>
      <c r="AA66" s="32">
        <f t="shared" si="4"/>
        <v>0</v>
      </c>
      <c r="AB66" s="32">
        <f t="shared" si="5"/>
        <v>0</v>
      </c>
      <c r="AC66" s="32">
        <f t="shared" si="6"/>
        <v>0</v>
      </c>
    </row>
    <row r="67" ht="22.5" customHeight="1">
      <c r="A67" s="331" t="str">
        <f>Rooster!A68</f>
        <v/>
      </c>
      <c r="B67" s="396" t="str">
        <f>Rooster!B68</f>
        <v/>
      </c>
      <c r="C67" s="15" t="str">
        <f>Rooster!C68</f>
        <v/>
      </c>
      <c r="D67" s="11" t="str">
        <f>Rooster!D68</f>
        <v/>
      </c>
      <c r="E67" s="77"/>
      <c r="F67" s="327" t="str">
        <f>Rooster!E68</f>
        <v/>
      </c>
      <c r="G67" s="319" t="str">
        <f>IFERROR(VLOOKUP(F67, Docenten!$A$2:$G$30, 7, FALSE), "0")</f>
        <v>0</v>
      </c>
      <c r="H67" s="320">
        <f t="shared" si="7"/>
        <v>0</v>
      </c>
      <c r="I67" s="327" t="str">
        <f>Rooster!H68</f>
        <v/>
      </c>
      <c r="J67" s="321" t="str">
        <f>IFERROR(VLOOKUP(I67, Locaties!$A$2:$G$15, 7, FALSE), "0")</f>
        <v>0</v>
      </c>
      <c r="K67" s="42">
        <f t="shared" si="2"/>
        <v>0</v>
      </c>
      <c r="L67" s="427" t="str">
        <f>Maart!L67</f>
        <v/>
      </c>
      <c r="M67" s="428" t="str">
        <f>Maart!M67</f>
        <v/>
      </c>
      <c r="N67" s="325" t="str">
        <f>IFERROR(VLOOKUP(M67, Tarieven[], 10, FALSE), "0")</f>
        <v>0</v>
      </c>
      <c r="O67" s="427" t="str">
        <f>Maart!O67</f>
        <v/>
      </c>
      <c r="P67" s="428" t="str">
        <f>Maart!P67</f>
        <v/>
      </c>
      <c r="Q67" s="325" t="str">
        <f>IFERROR(VLOOKUP(P67, Tarieven!$A$2:$J$150, 10, FALSE), "0")</f>
        <v>0</v>
      </c>
      <c r="R67" s="444" t="str">
        <f>Maart!R67</f>
        <v/>
      </c>
      <c r="S67" s="428" t="str">
        <f>Maart!S67</f>
        <v/>
      </c>
      <c r="T67" s="325" t="str">
        <f>IFERROR(VLOOKUP(S67, Tarieven!$A$2:$J$150, 10, FALSE), "0")</f>
        <v>0</v>
      </c>
      <c r="U67" s="77" t="str">
        <f>Maart!U67</f>
        <v/>
      </c>
      <c r="V67" s="327" t="str">
        <f>Maart!V67</f>
        <v/>
      </c>
      <c r="W67" s="325" t="str">
        <f>IFERROR(VLOOKUP(V67, Tarieven!$A$2:$J$150, 10, FALSE), "0")</f>
        <v>0</v>
      </c>
      <c r="X67" s="138">
        <f>Maart!X67</f>
        <v>0</v>
      </c>
      <c r="Y67" s="398">
        <v>0.0</v>
      </c>
      <c r="Z67" s="329">
        <f t="shared" si="3"/>
        <v>0</v>
      </c>
      <c r="AA67" s="32">
        <f t="shared" si="4"/>
        <v>0</v>
      </c>
      <c r="AB67" s="32">
        <f t="shared" si="5"/>
        <v>0</v>
      </c>
      <c r="AC67" s="32">
        <f t="shared" si="6"/>
        <v>0</v>
      </c>
    </row>
    <row r="68" ht="22.5" customHeight="1">
      <c r="A68" s="331" t="str">
        <f>Rooster!A69</f>
        <v/>
      </c>
      <c r="B68" s="396" t="str">
        <f>Rooster!B69</f>
        <v/>
      </c>
      <c r="C68" s="15" t="str">
        <f>Rooster!C69</f>
        <v/>
      </c>
      <c r="D68" s="11" t="str">
        <f>Rooster!D69</f>
        <v/>
      </c>
      <c r="E68" s="77"/>
      <c r="F68" s="327" t="str">
        <f>Rooster!E69</f>
        <v/>
      </c>
      <c r="G68" s="319" t="str">
        <f>IFERROR(VLOOKUP(F68, Docenten!$A$2:$G$30, 7, FALSE), "0")</f>
        <v>0</v>
      </c>
      <c r="H68" s="320">
        <f t="shared" si="7"/>
        <v>0</v>
      </c>
      <c r="I68" s="327" t="str">
        <f>Rooster!H69</f>
        <v/>
      </c>
      <c r="J68" s="321" t="str">
        <f>IFERROR(VLOOKUP(I68, Locaties!$A$2:$G$15, 7, FALSE), "0")</f>
        <v>0</v>
      </c>
      <c r="K68" s="42">
        <f t="shared" si="2"/>
        <v>0</v>
      </c>
      <c r="L68" s="427" t="str">
        <f>Maart!L68</f>
        <v/>
      </c>
      <c r="M68" s="428" t="str">
        <f>Maart!M68</f>
        <v/>
      </c>
      <c r="N68" s="325" t="str">
        <f>IFERROR(VLOOKUP(M68, Tarieven[], 10, FALSE), "0")</f>
        <v>0</v>
      </c>
      <c r="O68" s="427" t="str">
        <f>Maart!O68</f>
        <v/>
      </c>
      <c r="P68" s="428" t="str">
        <f>Maart!P68</f>
        <v/>
      </c>
      <c r="Q68" s="325" t="str">
        <f>IFERROR(VLOOKUP(P68, Tarieven!$A$2:$J$150, 10, FALSE), "0")</f>
        <v>0</v>
      </c>
      <c r="R68" s="444" t="str">
        <f>Maart!R68</f>
        <v/>
      </c>
      <c r="S68" s="428" t="str">
        <f>Maart!S68</f>
        <v/>
      </c>
      <c r="T68" s="325" t="str">
        <f>IFERROR(VLOOKUP(S68, Tarieven!$A$2:$J$150, 10, FALSE), "0")</f>
        <v>0</v>
      </c>
      <c r="U68" s="77" t="str">
        <f>Maart!U68</f>
        <v/>
      </c>
      <c r="V68" s="327" t="str">
        <f>Maart!V68</f>
        <v/>
      </c>
      <c r="W68" s="325" t="str">
        <f>IFERROR(VLOOKUP(V68, Tarieven!$A$2:$J$150, 10, FALSE), "0")</f>
        <v>0</v>
      </c>
      <c r="X68" s="138">
        <f>Maart!X68</f>
        <v>0</v>
      </c>
      <c r="Y68" s="398">
        <v>0.0</v>
      </c>
      <c r="Z68" s="329">
        <f t="shared" si="3"/>
        <v>0</v>
      </c>
      <c r="AA68" s="32">
        <f t="shared" si="4"/>
        <v>0</v>
      </c>
      <c r="AB68" s="32">
        <f t="shared" si="5"/>
        <v>0</v>
      </c>
      <c r="AC68" s="32">
        <f t="shared" si="6"/>
        <v>0</v>
      </c>
    </row>
    <row r="69" ht="22.5" customHeight="1">
      <c r="A69" s="331" t="str">
        <f>Rooster!A70</f>
        <v/>
      </c>
      <c r="B69" s="396" t="str">
        <f>Rooster!B70</f>
        <v/>
      </c>
      <c r="C69" s="15" t="str">
        <f>Rooster!C70</f>
        <v/>
      </c>
      <c r="D69" s="11" t="str">
        <f>Rooster!D70</f>
        <v/>
      </c>
      <c r="E69" s="77"/>
      <c r="F69" s="327" t="str">
        <f>Rooster!E70</f>
        <v/>
      </c>
      <c r="G69" s="319" t="str">
        <f>IFERROR(VLOOKUP(F69, Docenten!$A$2:$G$30, 7, FALSE), "0")</f>
        <v>0</v>
      </c>
      <c r="H69" s="320">
        <f t="shared" si="7"/>
        <v>0</v>
      </c>
      <c r="I69" s="327" t="str">
        <f>Rooster!H70</f>
        <v/>
      </c>
      <c r="J69" s="321" t="str">
        <f>IFERROR(VLOOKUP(I69, Locaties!$A$2:$G$15, 7, FALSE), "0")</f>
        <v>0</v>
      </c>
      <c r="K69" s="42">
        <f t="shared" si="2"/>
        <v>0</v>
      </c>
      <c r="L69" s="427" t="str">
        <f>Maart!L69</f>
        <v/>
      </c>
      <c r="M69" s="428" t="str">
        <f>Maart!M69</f>
        <v/>
      </c>
      <c r="N69" s="325" t="str">
        <f>IFERROR(VLOOKUP(M69, Tarieven[], 10, FALSE), "0")</f>
        <v>0</v>
      </c>
      <c r="O69" s="427" t="str">
        <f>Maart!O69</f>
        <v/>
      </c>
      <c r="P69" s="428" t="str">
        <f>Maart!P69</f>
        <v/>
      </c>
      <c r="Q69" s="325" t="str">
        <f>IFERROR(VLOOKUP(P69, Tarieven!$A$2:$J$150, 10, FALSE), "0")</f>
        <v>0</v>
      </c>
      <c r="R69" s="444" t="str">
        <f>Maart!R69</f>
        <v/>
      </c>
      <c r="S69" s="428" t="str">
        <f>Maart!S69</f>
        <v/>
      </c>
      <c r="T69" s="325" t="str">
        <f>IFERROR(VLOOKUP(S69, Tarieven!$A$2:$J$150, 10, FALSE), "0")</f>
        <v>0</v>
      </c>
      <c r="U69" s="77" t="str">
        <f>Maart!U69</f>
        <v/>
      </c>
      <c r="V69" s="327" t="str">
        <f>Maart!V69</f>
        <v/>
      </c>
      <c r="W69" s="325" t="str">
        <f>IFERROR(VLOOKUP(V69, Tarieven!$A$2:$J$150, 10, FALSE), "0")</f>
        <v>0</v>
      </c>
      <c r="X69" s="138">
        <f>Maart!X69</f>
        <v>0</v>
      </c>
      <c r="Y69" s="398">
        <v>0.0</v>
      </c>
      <c r="Z69" s="329">
        <f t="shared" si="3"/>
        <v>0</v>
      </c>
      <c r="AA69" s="32">
        <f t="shared" si="4"/>
        <v>0</v>
      </c>
      <c r="AB69" s="32">
        <f t="shared" si="5"/>
        <v>0</v>
      </c>
      <c r="AC69" s="32">
        <f t="shared" si="6"/>
        <v>0</v>
      </c>
    </row>
    <row r="70" ht="22.5" customHeight="1">
      <c r="A70" s="331" t="str">
        <f>Rooster!A71</f>
        <v/>
      </c>
      <c r="B70" s="396" t="str">
        <f>Rooster!B71</f>
        <v/>
      </c>
      <c r="C70" s="15" t="str">
        <f>Rooster!C71</f>
        <v/>
      </c>
      <c r="D70" s="11" t="str">
        <f>Rooster!D71</f>
        <v/>
      </c>
      <c r="E70" s="77"/>
      <c r="F70" s="327" t="str">
        <f>Rooster!E71</f>
        <v/>
      </c>
      <c r="G70" s="319" t="str">
        <f>IFERROR(VLOOKUP(F70, Docenten!$A$2:$G$30, 7, FALSE), "0")</f>
        <v>0</v>
      </c>
      <c r="H70" s="320">
        <f t="shared" si="7"/>
        <v>0</v>
      </c>
      <c r="I70" s="327" t="str">
        <f>Rooster!H71</f>
        <v/>
      </c>
      <c r="J70" s="321" t="str">
        <f>IFERROR(VLOOKUP(I70, Locaties!$A$2:$G$15, 7, FALSE), "0")</f>
        <v>0</v>
      </c>
      <c r="K70" s="42">
        <f t="shared" si="2"/>
        <v>0</v>
      </c>
      <c r="L70" s="427" t="str">
        <f>Maart!L70</f>
        <v/>
      </c>
      <c r="M70" s="428" t="str">
        <f>Maart!M70</f>
        <v/>
      </c>
      <c r="N70" s="325" t="str">
        <f>IFERROR(VLOOKUP(M70, Tarieven[], 10, FALSE), "0")</f>
        <v>0</v>
      </c>
      <c r="O70" s="427" t="str">
        <f>Maart!O70</f>
        <v/>
      </c>
      <c r="P70" s="428" t="str">
        <f>Maart!P70</f>
        <v/>
      </c>
      <c r="Q70" s="325" t="str">
        <f>IFERROR(VLOOKUP(P70, Tarieven!$A$2:$J$150, 10, FALSE), "0")</f>
        <v>0</v>
      </c>
      <c r="R70" s="444" t="str">
        <f>Maart!R70</f>
        <v/>
      </c>
      <c r="S70" s="428" t="str">
        <f>Maart!S70</f>
        <v/>
      </c>
      <c r="T70" s="325" t="str">
        <f>IFERROR(VLOOKUP(S70, Tarieven!$A$2:$J$150, 10, FALSE), "0")</f>
        <v>0</v>
      </c>
      <c r="U70" s="77" t="str">
        <f>Maart!U70</f>
        <v/>
      </c>
      <c r="V70" s="327" t="str">
        <f>Maart!V70</f>
        <v/>
      </c>
      <c r="W70" s="325" t="str">
        <f>IFERROR(VLOOKUP(V70, Tarieven!$A$2:$J$150, 10, FALSE), "0")</f>
        <v>0</v>
      </c>
      <c r="X70" s="138">
        <f>Maart!X70</f>
        <v>0</v>
      </c>
      <c r="Y70" s="398">
        <v>0.0</v>
      </c>
      <c r="Z70" s="329">
        <f t="shared" si="3"/>
        <v>0</v>
      </c>
      <c r="AA70" s="32">
        <f t="shared" si="4"/>
        <v>0</v>
      </c>
      <c r="AB70" s="32">
        <f t="shared" si="5"/>
        <v>0</v>
      </c>
      <c r="AC70" s="32">
        <f t="shared" si="6"/>
        <v>0</v>
      </c>
    </row>
    <row r="71" ht="22.5" customHeight="1">
      <c r="A71" s="331" t="str">
        <f>Rooster!A72</f>
        <v/>
      </c>
      <c r="B71" s="396" t="str">
        <f>Rooster!B72</f>
        <v/>
      </c>
      <c r="C71" s="15" t="str">
        <f>Rooster!C72</f>
        <v/>
      </c>
      <c r="D71" s="11" t="str">
        <f>Rooster!D72</f>
        <v/>
      </c>
      <c r="E71" s="77"/>
      <c r="F71" s="327" t="str">
        <f>Rooster!E72</f>
        <v/>
      </c>
      <c r="G71" s="319" t="str">
        <f>IFERROR(VLOOKUP(F71, Docenten!$A$2:$G$30, 7, FALSE), "0")</f>
        <v>0</v>
      </c>
      <c r="H71" s="320">
        <f t="shared" si="7"/>
        <v>0</v>
      </c>
      <c r="I71" s="327" t="str">
        <f>Rooster!H72</f>
        <v/>
      </c>
      <c r="J71" s="321" t="str">
        <f>IFERROR(VLOOKUP(I71, Locaties!$A$2:$G$15, 7, FALSE), "0")</f>
        <v>0</v>
      </c>
      <c r="K71" s="42">
        <f t="shared" si="2"/>
        <v>0</v>
      </c>
      <c r="L71" s="427" t="str">
        <f>Maart!L71</f>
        <v/>
      </c>
      <c r="M71" s="428" t="str">
        <f>Maart!M71</f>
        <v/>
      </c>
      <c r="N71" s="325" t="str">
        <f>IFERROR(VLOOKUP(M71, Tarieven[], 10, FALSE), "0")</f>
        <v>0</v>
      </c>
      <c r="O71" s="427" t="str">
        <f>Maart!O71</f>
        <v/>
      </c>
      <c r="P71" s="428" t="str">
        <f>Maart!P71</f>
        <v/>
      </c>
      <c r="Q71" s="325" t="str">
        <f>IFERROR(VLOOKUP(P71, Tarieven!$A$2:$J$150, 10, FALSE), "0")</f>
        <v>0</v>
      </c>
      <c r="R71" s="444" t="str">
        <f>Maart!R71</f>
        <v/>
      </c>
      <c r="S71" s="428" t="str">
        <f>Maart!S71</f>
        <v/>
      </c>
      <c r="T71" s="325" t="str">
        <f>IFERROR(VLOOKUP(S71, Tarieven!$A$2:$J$150, 10, FALSE), "0")</f>
        <v>0</v>
      </c>
      <c r="U71" s="77" t="str">
        <f>Maart!U71</f>
        <v/>
      </c>
      <c r="V71" s="327" t="str">
        <f>Maart!V71</f>
        <v/>
      </c>
      <c r="W71" s="325" t="str">
        <f>IFERROR(VLOOKUP(V71, Tarieven!$A$2:$J$150, 10, FALSE), "0")</f>
        <v>0</v>
      </c>
      <c r="X71" s="138">
        <f>Maart!X71</f>
        <v>0</v>
      </c>
      <c r="Y71" s="398">
        <v>0.0</v>
      </c>
      <c r="Z71" s="329">
        <f t="shared" si="3"/>
        <v>0</v>
      </c>
      <c r="AA71" s="32">
        <f t="shared" si="4"/>
        <v>0</v>
      </c>
      <c r="AB71" s="32">
        <f t="shared" si="5"/>
        <v>0</v>
      </c>
      <c r="AC71" s="32">
        <f t="shared" si="6"/>
        <v>0</v>
      </c>
    </row>
    <row r="72" ht="22.5" customHeight="1">
      <c r="A72" s="331" t="str">
        <f>Rooster!A73</f>
        <v/>
      </c>
      <c r="B72" s="396" t="str">
        <f>Rooster!B73</f>
        <v/>
      </c>
      <c r="C72" s="15" t="str">
        <f>Rooster!C73</f>
        <v/>
      </c>
      <c r="D72" s="11" t="str">
        <f>Rooster!D73</f>
        <v/>
      </c>
      <c r="E72" s="77"/>
      <c r="F72" s="327" t="str">
        <f>Rooster!E73</f>
        <v/>
      </c>
      <c r="G72" s="319" t="str">
        <f>IFERROR(VLOOKUP(F72, Docenten!$A$2:$G$30, 7, FALSE), "0")</f>
        <v>0</v>
      </c>
      <c r="H72" s="320">
        <f t="shared" si="7"/>
        <v>0</v>
      </c>
      <c r="I72" s="327" t="str">
        <f>Rooster!H73</f>
        <v/>
      </c>
      <c r="J72" s="321" t="str">
        <f>IFERROR(VLOOKUP(I72, Locaties!$A$2:$G$15, 7, FALSE), "0")</f>
        <v>0</v>
      </c>
      <c r="K72" s="42">
        <f t="shared" si="2"/>
        <v>0</v>
      </c>
      <c r="L72" s="427" t="str">
        <f>Maart!L72</f>
        <v/>
      </c>
      <c r="M72" s="428" t="str">
        <f>Maart!M72</f>
        <v/>
      </c>
      <c r="N72" s="325" t="str">
        <f>IFERROR(VLOOKUP(M72, Tarieven[], 10, FALSE), "0")</f>
        <v>0</v>
      </c>
      <c r="O72" s="427" t="str">
        <f>Maart!O72</f>
        <v/>
      </c>
      <c r="P72" s="428" t="str">
        <f>Maart!P72</f>
        <v/>
      </c>
      <c r="Q72" s="325" t="str">
        <f>IFERROR(VLOOKUP(P72, Tarieven!$A$2:$J$150, 10, FALSE), "0")</f>
        <v>0</v>
      </c>
      <c r="R72" s="444" t="str">
        <f>Maart!R72</f>
        <v/>
      </c>
      <c r="S72" s="428" t="str">
        <f>Maart!S72</f>
        <v/>
      </c>
      <c r="T72" s="325" t="str">
        <f>IFERROR(VLOOKUP(S72, Tarieven!$A$2:$J$150, 10, FALSE), "0")</f>
        <v>0</v>
      </c>
      <c r="U72" s="77" t="str">
        <f>Maart!U72</f>
        <v/>
      </c>
      <c r="V72" s="327" t="str">
        <f>Maart!V72</f>
        <v/>
      </c>
      <c r="W72" s="325" t="str">
        <f>IFERROR(VLOOKUP(V72, Tarieven!$A$2:$J$150, 10, FALSE), "0")</f>
        <v>0</v>
      </c>
      <c r="X72" s="138">
        <f>Maart!X72</f>
        <v>0</v>
      </c>
      <c r="Y72" s="398">
        <v>0.0</v>
      </c>
      <c r="Z72" s="329">
        <f t="shared" si="3"/>
        <v>0</v>
      </c>
      <c r="AA72" s="32">
        <f t="shared" si="4"/>
        <v>0</v>
      </c>
      <c r="AB72" s="32">
        <f t="shared" si="5"/>
        <v>0</v>
      </c>
      <c r="AC72" s="32">
        <f t="shared" si="6"/>
        <v>0</v>
      </c>
    </row>
    <row r="73" ht="22.5" customHeight="1">
      <c r="A73" s="331" t="str">
        <f>Rooster!A74</f>
        <v/>
      </c>
      <c r="B73" s="396" t="str">
        <f>Rooster!B74</f>
        <v/>
      </c>
      <c r="C73" s="15" t="str">
        <f>Rooster!C74</f>
        <v/>
      </c>
      <c r="D73" s="11" t="str">
        <f>Rooster!D74</f>
        <v/>
      </c>
      <c r="E73" s="77"/>
      <c r="F73" s="327" t="str">
        <f>Rooster!E74</f>
        <v/>
      </c>
      <c r="G73" s="319" t="str">
        <f>IFERROR(VLOOKUP(F73, Docenten!$A$2:$G$30, 7, FALSE), "0")</f>
        <v>0</v>
      </c>
      <c r="H73" s="320">
        <f t="shared" si="7"/>
        <v>0</v>
      </c>
      <c r="I73" s="327" t="str">
        <f>Rooster!H74</f>
        <v/>
      </c>
      <c r="J73" s="321" t="str">
        <f>IFERROR(VLOOKUP(I73, Locaties!$A$2:$G$15, 7, FALSE), "0")</f>
        <v>0</v>
      </c>
      <c r="K73" s="42">
        <f t="shared" si="2"/>
        <v>0</v>
      </c>
      <c r="L73" s="427" t="str">
        <f>Maart!L73</f>
        <v/>
      </c>
      <c r="M73" s="428" t="str">
        <f>Maart!M73</f>
        <v/>
      </c>
      <c r="N73" s="325" t="str">
        <f>IFERROR(VLOOKUP(M73, Tarieven[], 10, FALSE), "0")</f>
        <v>0</v>
      </c>
      <c r="O73" s="427" t="str">
        <f>Maart!O73</f>
        <v/>
      </c>
      <c r="P73" s="428" t="str">
        <f>Maart!P73</f>
        <v/>
      </c>
      <c r="Q73" s="325" t="str">
        <f>IFERROR(VLOOKUP(P73, Tarieven!$A$2:$J$150, 10, FALSE), "0")</f>
        <v>0</v>
      </c>
      <c r="R73" s="444" t="str">
        <f>Maart!R73</f>
        <v/>
      </c>
      <c r="S73" s="428" t="str">
        <f>Maart!S73</f>
        <v/>
      </c>
      <c r="T73" s="325" t="str">
        <f>IFERROR(VLOOKUP(S73, Tarieven!$A$2:$J$150, 10, FALSE), "0")</f>
        <v>0</v>
      </c>
      <c r="U73" s="77" t="str">
        <f>Maart!U73</f>
        <v/>
      </c>
      <c r="V73" s="327" t="str">
        <f>Maart!V73</f>
        <v/>
      </c>
      <c r="W73" s="325" t="str">
        <f>IFERROR(VLOOKUP(V73, Tarieven!$A$2:$J$150, 10, FALSE), "0")</f>
        <v>0</v>
      </c>
      <c r="X73" s="138">
        <f>Maart!X73</f>
        <v>0</v>
      </c>
      <c r="Y73" s="398">
        <v>0.0</v>
      </c>
      <c r="Z73" s="329">
        <f t="shared" si="3"/>
        <v>0</v>
      </c>
      <c r="AA73" s="32">
        <f t="shared" si="4"/>
        <v>0</v>
      </c>
      <c r="AB73" s="32">
        <f t="shared" si="5"/>
        <v>0</v>
      </c>
      <c r="AC73" s="32">
        <f t="shared" si="6"/>
        <v>0</v>
      </c>
    </row>
    <row r="74" ht="22.5" customHeight="1">
      <c r="A74" s="331" t="str">
        <f>Rooster!A75</f>
        <v/>
      </c>
      <c r="B74" s="396" t="str">
        <f>Rooster!B75</f>
        <v/>
      </c>
      <c r="C74" s="15" t="str">
        <f>Rooster!C75</f>
        <v/>
      </c>
      <c r="D74" s="11" t="str">
        <f>Rooster!D75</f>
        <v/>
      </c>
      <c r="E74" s="77"/>
      <c r="F74" s="327" t="str">
        <f>Rooster!E75</f>
        <v/>
      </c>
      <c r="G74" s="319" t="str">
        <f>IFERROR(VLOOKUP(F74, Docenten!$A$2:$G$30, 7, FALSE), "0")</f>
        <v>0</v>
      </c>
      <c r="H74" s="320">
        <f t="shared" si="7"/>
        <v>0</v>
      </c>
      <c r="I74" s="327" t="str">
        <f>Rooster!H75</f>
        <v/>
      </c>
      <c r="J74" s="321" t="str">
        <f>IFERROR(VLOOKUP(I74, Locaties!$A$2:$G$15, 7, FALSE), "0")</f>
        <v>0</v>
      </c>
      <c r="K74" s="42">
        <f t="shared" si="2"/>
        <v>0</v>
      </c>
      <c r="L74" s="427" t="str">
        <f>Maart!L74</f>
        <v/>
      </c>
      <c r="M74" s="428" t="str">
        <f>Maart!M74</f>
        <v/>
      </c>
      <c r="N74" s="325" t="str">
        <f>IFERROR(VLOOKUP(M74, Tarieven[], 10, FALSE), "0")</f>
        <v>0</v>
      </c>
      <c r="O74" s="427" t="str">
        <f>Maart!O74</f>
        <v/>
      </c>
      <c r="P74" s="428" t="str">
        <f>Maart!P74</f>
        <v/>
      </c>
      <c r="Q74" s="325" t="str">
        <f>IFERROR(VLOOKUP(P74, Tarieven!$A$2:$J$150, 10, FALSE), "0")</f>
        <v>0</v>
      </c>
      <c r="R74" s="444" t="str">
        <f>Maart!R74</f>
        <v/>
      </c>
      <c r="S74" s="428" t="str">
        <f>Maart!S74</f>
        <v/>
      </c>
      <c r="T74" s="325" t="str">
        <f>IFERROR(VLOOKUP(S74, Tarieven!$A$2:$J$150, 10, FALSE), "0")</f>
        <v>0</v>
      </c>
      <c r="U74" s="77" t="str">
        <f>Maart!U74</f>
        <v/>
      </c>
      <c r="V74" s="327" t="str">
        <f>Maart!V74</f>
        <v/>
      </c>
      <c r="W74" s="325" t="str">
        <f>IFERROR(VLOOKUP(V74, Tarieven!$A$2:$J$150, 10, FALSE), "0")</f>
        <v>0</v>
      </c>
      <c r="X74" s="138">
        <f>Maart!X74</f>
        <v>0</v>
      </c>
      <c r="Y74" s="398">
        <v>0.0</v>
      </c>
      <c r="Z74" s="329">
        <f t="shared" si="3"/>
        <v>0</v>
      </c>
      <c r="AA74" s="32">
        <f t="shared" si="4"/>
        <v>0</v>
      </c>
      <c r="AB74" s="32">
        <f t="shared" si="5"/>
        <v>0</v>
      </c>
      <c r="AC74" s="32">
        <f t="shared" si="6"/>
        <v>0</v>
      </c>
    </row>
    <row r="75" ht="22.5" customHeight="1">
      <c r="A75" s="331" t="str">
        <f>Rooster!A76</f>
        <v/>
      </c>
      <c r="B75" s="396" t="str">
        <f>Rooster!B76</f>
        <v/>
      </c>
      <c r="C75" s="15" t="str">
        <f>Rooster!C76</f>
        <v/>
      </c>
      <c r="D75" s="11" t="str">
        <f>Rooster!D76</f>
        <v/>
      </c>
      <c r="E75" s="77"/>
      <c r="F75" s="327" t="str">
        <f>Rooster!E76</f>
        <v/>
      </c>
      <c r="G75" s="319" t="str">
        <f>IFERROR(VLOOKUP(F75, Docenten!$A$2:$G$30, 7, FALSE), "0")</f>
        <v>0</v>
      </c>
      <c r="H75" s="320">
        <f t="shared" si="7"/>
        <v>0</v>
      </c>
      <c r="I75" s="327" t="str">
        <f>Rooster!H76</f>
        <v/>
      </c>
      <c r="J75" s="321" t="str">
        <f>IFERROR(VLOOKUP(I75, Locaties!$A$2:$G$15, 7, FALSE), "0")</f>
        <v>0</v>
      </c>
      <c r="K75" s="42">
        <f t="shared" si="2"/>
        <v>0</v>
      </c>
      <c r="L75" s="427" t="str">
        <f>Maart!L75</f>
        <v/>
      </c>
      <c r="M75" s="428" t="str">
        <f>Maart!M75</f>
        <v/>
      </c>
      <c r="N75" s="325" t="str">
        <f>IFERROR(VLOOKUP(M75, Tarieven[], 10, FALSE), "0")</f>
        <v>0</v>
      </c>
      <c r="O75" s="427" t="str">
        <f>Maart!O75</f>
        <v/>
      </c>
      <c r="P75" s="428" t="str">
        <f>Maart!P75</f>
        <v/>
      </c>
      <c r="Q75" s="325" t="str">
        <f>IFERROR(VLOOKUP(P75, Tarieven!$A$2:$J$150, 10, FALSE), "0")</f>
        <v>0</v>
      </c>
      <c r="R75" s="444" t="str">
        <f>Maart!R75</f>
        <v/>
      </c>
      <c r="S75" s="428" t="str">
        <f>Maart!S75</f>
        <v/>
      </c>
      <c r="T75" s="325" t="str">
        <f>IFERROR(VLOOKUP(S75, Tarieven!$A$2:$J$150, 10, FALSE), "0")</f>
        <v>0</v>
      </c>
      <c r="U75" s="77" t="str">
        <f>Maart!U75</f>
        <v/>
      </c>
      <c r="V75" s="327" t="str">
        <f>Maart!V75</f>
        <v/>
      </c>
      <c r="W75" s="325" t="str">
        <f>IFERROR(VLOOKUP(V75, Tarieven!$A$2:$J$150, 10, FALSE), "0")</f>
        <v>0</v>
      </c>
      <c r="X75" s="138">
        <f>Maart!X75</f>
        <v>0</v>
      </c>
      <c r="Y75" s="398">
        <v>0.0</v>
      </c>
      <c r="Z75" s="329">
        <f t="shared" si="3"/>
        <v>0</v>
      </c>
      <c r="AA75" s="32">
        <f t="shared" si="4"/>
        <v>0</v>
      </c>
      <c r="AB75" s="32">
        <f t="shared" si="5"/>
        <v>0</v>
      </c>
      <c r="AC75" s="32">
        <f t="shared" si="6"/>
        <v>0</v>
      </c>
    </row>
    <row r="76" ht="22.5" customHeight="1">
      <c r="A76" s="331" t="str">
        <f>Rooster!A77</f>
        <v/>
      </c>
      <c r="B76" s="396" t="str">
        <f>Rooster!B77</f>
        <v/>
      </c>
      <c r="C76" s="15" t="str">
        <f>Rooster!C77</f>
        <v/>
      </c>
      <c r="D76" s="11" t="str">
        <f>Rooster!D77</f>
        <v/>
      </c>
      <c r="E76" s="77"/>
      <c r="F76" s="327" t="str">
        <f>Rooster!E77</f>
        <v/>
      </c>
      <c r="G76" s="319" t="str">
        <f>IFERROR(VLOOKUP(F76, Docenten!$A$2:$G$30, 7, FALSE), "0")</f>
        <v>0</v>
      </c>
      <c r="H76" s="320">
        <f t="shared" si="7"/>
        <v>0</v>
      </c>
      <c r="I76" s="327" t="str">
        <f>Rooster!H77</f>
        <v/>
      </c>
      <c r="J76" s="321" t="str">
        <f>IFERROR(VLOOKUP(I76, Locaties!$A$2:$G$15, 7, FALSE), "0")</f>
        <v>0</v>
      </c>
      <c r="K76" s="42">
        <f t="shared" si="2"/>
        <v>0</v>
      </c>
      <c r="L76" s="427" t="str">
        <f>Maart!L76</f>
        <v/>
      </c>
      <c r="M76" s="428" t="str">
        <f>Maart!M76</f>
        <v/>
      </c>
      <c r="N76" s="325" t="str">
        <f>IFERROR(VLOOKUP(M76, Tarieven[], 10, FALSE), "0")</f>
        <v>0</v>
      </c>
      <c r="O76" s="427" t="str">
        <f>Maart!O76</f>
        <v/>
      </c>
      <c r="P76" s="428" t="str">
        <f>Maart!P76</f>
        <v/>
      </c>
      <c r="Q76" s="325" t="str">
        <f>IFERROR(VLOOKUP(P76, Tarieven!$A$2:$J$150, 10, FALSE), "0")</f>
        <v>0</v>
      </c>
      <c r="R76" s="444" t="str">
        <f>Maart!R76</f>
        <v/>
      </c>
      <c r="S76" s="428" t="str">
        <f>Maart!S76</f>
        <v/>
      </c>
      <c r="T76" s="325" t="str">
        <f>IFERROR(VLOOKUP(S76, Tarieven!$A$2:$J$150, 10, FALSE), "0")</f>
        <v>0</v>
      </c>
      <c r="U76" s="77" t="str">
        <f>Maart!U76</f>
        <v/>
      </c>
      <c r="V76" s="327" t="str">
        <f>Maart!V76</f>
        <v/>
      </c>
      <c r="W76" s="325" t="str">
        <f>IFERROR(VLOOKUP(V76, Tarieven!$A$2:$J$150, 10, FALSE), "0")</f>
        <v>0</v>
      </c>
      <c r="X76" s="138">
        <f>Maart!X76</f>
        <v>0</v>
      </c>
      <c r="Y76" s="398">
        <v>0.0</v>
      </c>
      <c r="Z76" s="329">
        <f t="shared" si="3"/>
        <v>0</v>
      </c>
      <c r="AA76" s="32">
        <f t="shared" si="4"/>
        <v>0</v>
      </c>
      <c r="AB76" s="32">
        <f t="shared" si="5"/>
        <v>0</v>
      </c>
      <c r="AC76" s="32">
        <f t="shared" si="6"/>
        <v>0</v>
      </c>
    </row>
    <row r="77" ht="22.5" customHeight="1">
      <c r="A77" s="331" t="str">
        <f>Rooster!A78</f>
        <v/>
      </c>
      <c r="B77" s="396" t="str">
        <f>Rooster!B78</f>
        <v/>
      </c>
      <c r="C77" s="15" t="str">
        <f>Rooster!C78</f>
        <v/>
      </c>
      <c r="D77" s="11" t="str">
        <f>Rooster!D78</f>
        <v/>
      </c>
      <c r="E77" s="77"/>
      <c r="F77" s="327" t="str">
        <f>Rooster!E78</f>
        <v/>
      </c>
      <c r="G77" s="319" t="str">
        <f>IFERROR(VLOOKUP(F77, Docenten!$A$2:$G$30, 7, FALSE), "0")</f>
        <v>0</v>
      </c>
      <c r="H77" s="320">
        <f t="shared" si="7"/>
        <v>0</v>
      </c>
      <c r="I77" s="327" t="str">
        <f>Rooster!H78</f>
        <v/>
      </c>
      <c r="J77" s="321" t="str">
        <f>IFERROR(VLOOKUP(I77, Locaties!$A$2:$G$15, 7, FALSE), "0")</f>
        <v>0</v>
      </c>
      <c r="K77" s="42">
        <f t="shared" si="2"/>
        <v>0</v>
      </c>
      <c r="L77" s="427" t="str">
        <f>Maart!L77</f>
        <v/>
      </c>
      <c r="M77" s="428" t="str">
        <f>Maart!M77</f>
        <v/>
      </c>
      <c r="N77" s="325" t="str">
        <f>IFERROR(VLOOKUP(M77, Tarieven[], 10, FALSE), "0")</f>
        <v>0</v>
      </c>
      <c r="O77" s="427" t="str">
        <f>Maart!O77</f>
        <v/>
      </c>
      <c r="P77" s="428" t="str">
        <f>Maart!P77</f>
        <v/>
      </c>
      <c r="Q77" s="325" t="str">
        <f>IFERROR(VLOOKUP(P77, Tarieven!$A$2:$J$150, 10, FALSE), "0")</f>
        <v>0</v>
      </c>
      <c r="R77" s="444" t="str">
        <f>Maart!R77</f>
        <v/>
      </c>
      <c r="S77" s="428" t="str">
        <f>Maart!S77</f>
        <v/>
      </c>
      <c r="T77" s="325" t="str">
        <f>IFERROR(VLOOKUP(S77, Tarieven!$A$2:$J$150, 10, FALSE), "0")</f>
        <v>0</v>
      </c>
      <c r="U77" s="77" t="str">
        <f>Maart!U77</f>
        <v/>
      </c>
      <c r="V77" s="327" t="str">
        <f>Maart!V77</f>
        <v/>
      </c>
      <c r="W77" s="325" t="str">
        <f>IFERROR(VLOOKUP(V77, Tarieven!$A$2:$J$150, 10, FALSE), "0")</f>
        <v>0</v>
      </c>
      <c r="X77" s="138">
        <f>Maart!X77</f>
        <v>0</v>
      </c>
      <c r="Y77" s="398">
        <v>0.0</v>
      </c>
      <c r="Z77" s="329">
        <f t="shared" si="3"/>
        <v>0</v>
      </c>
      <c r="AA77" s="32">
        <f t="shared" si="4"/>
        <v>0</v>
      </c>
      <c r="AB77" s="32">
        <f t="shared" si="5"/>
        <v>0</v>
      </c>
      <c r="AC77" s="32">
        <f t="shared" si="6"/>
        <v>0</v>
      </c>
    </row>
    <row r="78" ht="22.5" customHeight="1">
      <c r="A78" s="331" t="str">
        <f>Rooster!A79</f>
        <v/>
      </c>
      <c r="B78" s="396" t="str">
        <f>Rooster!B79</f>
        <v/>
      </c>
      <c r="C78" s="15" t="str">
        <f>Rooster!C79</f>
        <v/>
      </c>
      <c r="D78" s="11" t="str">
        <f>Rooster!D79</f>
        <v/>
      </c>
      <c r="E78" s="77"/>
      <c r="F78" s="327" t="str">
        <f>Rooster!E79</f>
        <v/>
      </c>
      <c r="G78" s="319" t="str">
        <f>IFERROR(VLOOKUP(F78, Docenten!$A$2:$G$30, 7, FALSE), "0")</f>
        <v>0</v>
      </c>
      <c r="H78" s="320">
        <f t="shared" si="7"/>
        <v>0</v>
      </c>
      <c r="I78" s="327" t="str">
        <f>Rooster!H79</f>
        <v/>
      </c>
      <c r="J78" s="321" t="str">
        <f>IFERROR(VLOOKUP(I78, Locaties!$A$2:$G$15, 7, FALSE), "0")</f>
        <v>0</v>
      </c>
      <c r="K78" s="42">
        <f t="shared" si="2"/>
        <v>0</v>
      </c>
      <c r="L78" s="427" t="str">
        <f>Maart!L78</f>
        <v/>
      </c>
      <c r="M78" s="428" t="str">
        <f>Maart!M78</f>
        <v/>
      </c>
      <c r="N78" s="325" t="str">
        <f>IFERROR(VLOOKUP(M78, Tarieven[], 10, FALSE), "0")</f>
        <v>0</v>
      </c>
      <c r="O78" s="427" t="str">
        <f>Maart!O78</f>
        <v/>
      </c>
      <c r="P78" s="428" t="str">
        <f>Maart!P78</f>
        <v/>
      </c>
      <c r="Q78" s="325" t="str">
        <f>IFERROR(VLOOKUP(P78, Tarieven!$A$2:$J$150, 10, FALSE), "0")</f>
        <v>0</v>
      </c>
      <c r="R78" s="444" t="str">
        <f>Maart!R78</f>
        <v/>
      </c>
      <c r="S78" s="428" t="str">
        <f>Maart!S78</f>
        <v/>
      </c>
      <c r="T78" s="325" t="str">
        <f>IFERROR(VLOOKUP(S78, Tarieven!$A$2:$J$150, 10, FALSE), "0")</f>
        <v>0</v>
      </c>
      <c r="U78" s="77" t="str">
        <f>Maart!U78</f>
        <v/>
      </c>
      <c r="V78" s="327" t="str">
        <f>Maart!V78</f>
        <v/>
      </c>
      <c r="W78" s="325" t="str">
        <f>IFERROR(VLOOKUP(V78, Tarieven!$A$2:$J$150, 10, FALSE), "0")</f>
        <v>0</v>
      </c>
      <c r="X78" s="138">
        <f>Maart!X78</f>
        <v>0</v>
      </c>
      <c r="Y78" s="398">
        <v>0.0</v>
      </c>
      <c r="Z78" s="329">
        <f t="shared" si="3"/>
        <v>0</v>
      </c>
      <c r="AA78" s="32">
        <f t="shared" si="4"/>
        <v>0</v>
      </c>
      <c r="AB78" s="32">
        <f t="shared" si="5"/>
        <v>0</v>
      </c>
      <c r="AC78" s="32">
        <f t="shared" si="6"/>
        <v>0</v>
      </c>
    </row>
    <row r="79" ht="22.5" customHeight="1">
      <c r="A79" s="331" t="str">
        <f>Rooster!A80</f>
        <v/>
      </c>
      <c r="B79" s="396" t="str">
        <f>Rooster!B80</f>
        <v/>
      </c>
      <c r="C79" s="15" t="str">
        <f>Rooster!C80</f>
        <v/>
      </c>
      <c r="D79" s="11" t="str">
        <f>Rooster!D80</f>
        <v/>
      </c>
      <c r="E79" s="77"/>
      <c r="F79" s="327" t="str">
        <f>Rooster!E80</f>
        <v/>
      </c>
      <c r="G79" s="319" t="str">
        <f>IFERROR(VLOOKUP(F79, Docenten!$A$2:$G$30, 7, FALSE), "0")</f>
        <v>0</v>
      </c>
      <c r="H79" s="320">
        <f t="shared" si="7"/>
        <v>0</v>
      </c>
      <c r="I79" s="327" t="str">
        <f>Rooster!H80</f>
        <v/>
      </c>
      <c r="J79" s="321" t="str">
        <f>IFERROR(VLOOKUP(I79, Locaties!$A$2:$G$15, 7, FALSE), "0")</f>
        <v>0</v>
      </c>
      <c r="K79" s="42">
        <f t="shared" si="2"/>
        <v>0</v>
      </c>
      <c r="L79" s="427" t="str">
        <f>Maart!L79</f>
        <v/>
      </c>
      <c r="M79" s="428" t="str">
        <f>Maart!M79</f>
        <v/>
      </c>
      <c r="N79" s="325" t="str">
        <f>IFERROR(VLOOKUP(M79, Tarieven[], 10, FALSE), "0")</f>
        <v>0</v>
      </c>
      <c r="O79" s="427" t="str">
        <f>Maart!O79</f>
        <v/>
      </c>
      <c r="P79" s="428" t="str">
        <f>Maart!P79</f>
        <v/>
      </c>
      <c r="Q79" s="325" t="str">
        <f>IFERROR(VLOOKUP(P79, Tarieven!$A$2:$J$150, 10, FALSE), "0")</f>
        <v>0</v>
      </c>
      <c r="R79" s="444" t="str">
        <f>Maart!R79</f>
        <v/>
      </c>
      <c r="S79" s="428" t="str">
        <f>Maart!S79</f>
        <v/>
      </c>
      <c r="T79" s="325" t="str">
        <f>IFERROR(VLOOKUP(S79, Tarieven!$A$2:$J$150, 10, FALSE), "0")</f>
        <v>0</v>
      </c>
      <c r="U79" s="77" t="str">
        <f>Maart!U79</f>
        <v/>
      </c>
      <c r="V79" s="327" t="str">
        <f>Maart!V79</f>
        <v/>
      </c>
      <c r="W79" s="325" t="str">
        <f>IFERROR(VLOOKUP(V79, Tarieven!$A$2:$J$150, 10, FALSE), "0")</f>
        <v>0</v>
      </c>
      <c r="X79" s="138">
        <f>Maart!X79</f>
        <v>0</v>
      </c>
      <c r="Y79" s="398">
        <v>0.0</v>
      </c>
      <c r="Z79" s="329">
        <f t="shared" si="3"/>
        <v>0</v>
      </c>
      <c r="AA79" s="32">
        <f t="shared" si="4"/>
        <v>0</v>
      </c>
      <c r="AB79" s="32">
        <f t="shared" si="5"/>
        <v>0</v>
      </c>
      <c r="AC79" s="32">
        <f t="shared" si="6"/>
        <v>0</v>
      </c>
    </row>
    <row r="80" ht="22.5" customHeight="1">
      <c r="A80" s="331" t="str">
        <f>Rooster!A81</f>
        <v/>
      </c>
      <c r="B80" s="396" t="str">
        <f>Rooster!B81</f>
        <v/>
      </c>
      <c r="C80" s="15" t="str">
        <f>Rooster!C81</f>
        <v/>
      </c>
      <c r="D80" s="11" t="str">
        <f>Rooster!D81</f>
        <v/>
      </c>
      <c r="E80" s="77"/>
      <c r="F80" s="327" t="str">
        <f>Rooster!E81</f>
        <v/>
      </c>
      <c r="G80" s="319" t="str">
        <f>IFERROR(VLOOKUP(F80, Docenten!$A$2:$G$30, 7, FALSE), "0")</f>
        <v>0</v>
      </c>
      <c r="H80" s="320">
        <f t="shared" si="7"/>
        <v>0</v>
      </c>
      <c r="I80" s="327" t="str">
        <f>Rooster!H81</f>
        <v/>
      </c>
      <c r="J80" s="321" t="str">
        <f>IFERROR(VLOOKUP(I80, Locaties!$A$2:$G$15, 7, FALSE), "0")</f>
        <v>0</v>
      </c>
      <c r="K80" s="42">
        <f t="shared" si="2"/>
        <v>0</v>
      </c>
      <c r="L80" s="427" t="str">
        <f>Maart!L80</f>
        <v/>
      </c>
      <c r="M80" s="428" t="str">
        <f>Maart!M80</f>
        <v/>
      </c>
      <c r="N80" s="325" t="str">
        <f>IFERROR(VLOOKUP(M80, Tarieven[], 10, FALSE), "0")</f>
        <v>0</v>
      </c>
      <c r="O80" s="427" t="str">
        <f>Maart!O80</f>
        <v/>
      </c>
      <c r="P80" s="428" t="str">
        <f>Maart!P80</f>
        <v/>
      </c>
      <c r="Q80" s="325" t="str">
        <f>IFERROR(VLOOKUP(P80, Tarieven!$A$2:$J$150, 10, FALSE), "0")</f>
        <v>0</v>
      </c>
      <c r="R80" s="444" t="str">
        <f>Maart!R80</f>
        <v/>
      </c>
      <c r="S80" s="428" t="str">
        <f>Maart!S80</f>
        <v/>
      </c>
      <c r="T80" s="325" t="str">
        <f>IFERROR(VLOOKUP(S80, Tarieven!$A$2:$J$150, 10, FALSE), "0")</f>
        <v>0</v>
      </c>
      <c r="U80" s="77" t="str">
        <f>Maart!U80</f>
        <v/>
      </c>
      <c r="V80" s="327" t="str">
        <f>Maart!V80</f>
        <v/>
      </c>
      <c r="W80" s="325" t="str">
        <f>IFERROR(VLOOKUP(V80, Tarieven!$A$2:$J$150, 10, FALSE), "0")</f>
        <v>0</v>
      </c>
      <c r="X80" s="138">
        <f>Maart!X80</f>
        <v>0</v>
      </c>
      <c r="Y80" s="398">
        <v>0.0</v>
      </c>
      <c r="Z80" s="329">
        <f t="shared" si="3"/>
        <v>0</v>
      </c>
      <c r="AA80" s="32">
        <f t="shared" si="4"/>
        <v>0</v>
      </c>
      <c r="AB80" s="32">
        <f t="shared" si="5"/>
        <v>0</v>
      </c>
      <c r="AC80" s="32">
        <f t="shared" si="6"/>
        <v>0</v>
      </c>
    </row>
    <row r="81" ht="22.5" customHeight="1">
      <c r="A81" s="331" t="str">
        <f>Rooster!A82</f>
        <v/>
      </c>
      <c r="B81" s="396" t="str">
        <f>Rooster!B82</f>
        <v/>
      </c>
      <c r="C81" s="15" t="str">
        <f>Rooster!C82</f>
        <v/>
      </c>
      <c r="D81" s="11" t="str">
        <f>Rooster!D82</f>
        <v/>
      </c>
      <c r="E81" s="77"/>
      <c r="F81" s="327" t="str">
        <f>Rooster!E82</f>
        <v/>
      </c>
      <c r="G81" s="319" t="str">
        <f>IFERROR(VLOOKUP(F81, Docenten!$A$2:$G$30, 7, FALSE), "0")</f>
        <v>0</v>
      </c>
      <c r="H81" s="320">
        <f t="shared" si="7"/>
        <v>0</v>
      </c>
      <c r="I81" s="327" t="str">
        <f>Rooster!H82</f>
        <v/>
      </c>
      <c r="J81" s="321" t="str">
        <f>IFERROR(VLOOKUP(I81, Locaties!$A$2:$G$15, 7, FALSE), "0")</f>
        <v>0</v>
      </c>
      <c r="K81" s="42">
        <f t="shared" si="2"/>
        <v>0</v>
      </c>
      <c r="L81" s="427" t="str">
        <f>Maart!L81</f>
        <v/>
      </c>
      <c r="M81" s="428" t="str">
        <f>Maart!M81</f>
        <v/>
      </c>
      <c r="N81" s="325" t="str">
        <f>IFERROR(VLOOKUP(M81, Tarieven[], 10, FALSE), "0")</f>
        <v>0</v>
      </c>
      <c r="O81" s="427" t="str">
        <f>Maart!O81</f>
        <v/>
      </c>
      <c r="P81" s="428" t="str">
        <f>Maart!P81</f>
        <v/>
      </c>
      <c r="Q81" s="325" t="str">
        <f>IFERROR(VLOOKUP(P81, Tarieven!$A$2:$J$150, 10, FALSE), "0")</f>
        <v>0</v>
      </c>
      <c r="R81" s="444" t="str">
        <f>Maart!R81</f>
        <v/>
      </c>
      <c r="S81" s="428" t="str">
        <f>Maart!S81</f>
        <v/>
      </c>
      <c r="T81" s="325" t="str">
        <f>IFERROR(VLOOKUP(S81, Tarieven!$A$2:$J$150, 10, FALSE), "0")</f>
        <v>0</v>
      </c>
      <c r="U81" s="77" t="str">
        <f>Maart!U81</f>
        <v/>
      </c>
      <c r="V81" s="327" t="str">
        <f>Maart!V81</f>
        <v/>
      </c>
      <c r="W81" s="325" t="str">
        <f>IFERROR(VLOOKUP(V81, Tarieven!$A$2:$J$150, 10, FALSE), "0")</f>
        <v>0</v>
      </c>
      <c r="X81" s="138">
        <f>Maart!X81</f>
        <v>0</v>
      </c>
      <c r="Y81" s="398">
        <v>0.0</v>
      </c>
      <c r="Z81" s="329">
        <f t="shared" si="3"/>
        <v>0</v>
      </c>
      <c r="AA81" s="32">
        <f t="shared" si="4"/>
        <v>0</v>
      </c>
      <c r="AB81" s="32">
        <f t="shared" si="5"/>
        <v>0</v>
      </c>
      <c r="AC81" s="32">
        <f t="shared" si="6"/>
        <v>0</v>
      </c>
    </row>
    <row r="82" ht="22.5" customHeight="1">
      <c r="A82" s="331" t="str">
        <f>Rooster!A83</f>
        <v/>
      </c>
      <c r="B82" s="396" t="str">
        <f>Rooster!B83</f>
        <v/>
      </c>
      <c r="C82" s="15" t="str">
        <f>Rooster!C83</f>
        <v/>
      </c>
      <c r="D82" s="11" t="str">
        <f>Rooster!D83</f>
        <v/>
      </c>
      <c r="E82" s="77"/>
      <c r="F82" s="327" t="str">
        <f>Rooster!E83</f>
        <v/>
      </c>
      <c r="G82" s="319" t="str">
        <f>IFERROR(VLOOKUP(F82, Docenten!$A$2:$G$30, 7, FALSE), "0")</f>
        <v>0</v>
      </c>
      <c r="H82" s="320">
        <f t="shared" si="7"/>
        <v>0</v>
      </c>
      <c r="I82" s="327" t="str">
        <f>Rooster!H83</f>
        <v/>
      </c>
      <c r="J82" s="321" t="str">
        <f>IFERROR(VLOOKUP(I82, Locaties!$A$2:$G$15, 7, FALSE), "0")</f>
        <v>0</v>
      </c>
      <c r="K82" s="42">
        <f t="shared" si="2"/>
        <v>0</v>
      </c>
      <c r="L82" s="427" t="str">
        <f>Maart!L82</f>
        <v/>
      </c>
      <c r="M82" s="428" t="str">
        <f>Maart!M82</f>
        <v/>
      </c>
      <c r="N82" s="325" t="str">
        <f>IFERROR(VLOOKUP(M82, Tarieven[], 10, FALSE), "0")</f>
        <v>0</v>
      </c>
      <c r="O82" s="427" t="str">
        <f>Maart!O82</f>
        <v/>
      </c>
      <c r="P82" s="428" t="str">
        <f>Maart!P82</f>
        <v/>
      </c>
      <c r="Q82" s="325" t="str">
        <f>IFERROR(VLOOKUP(P82, Tarieven!$A$2:$J$150, 10, FALSE), "0")</f>
        <v>0</v>
      </c>
      <c r="R82" s="444" t="str">
        <f>Maart!R82</f>
        <v/>
      </c>
      <c r="S82" s="428" t="str">
        <f>Maart!S82</f>
        <v/>
      </c>
      <c r="T82" s="325" t="str">
        <f>IFERROR(VLOOKUP(S82, Tarieven!$A$2:$J$150, 10, FALSE), "0")</f>
        <v>0</v>
      </c>
      <c r="U82" s="77" t="str">
        <f>Maart!U82</f>
        <v/>
      </c>
      <c r="V82" s="327" t="str">
        <f>Maart!V82</f>
        <v/>
      </c>
      <c r="W82" s="325" t="str">
        <f>IFERROR(VLOOKUP(V82, Tarieven!$A$2:$J$150, 10, FALSE), "0")</f>
        <v>0</v>
      </c>
      <c r="X82" s="138">
        <f>Maart!X82</f>
        <v>0</v>
      </c>
      <c r="Y82" s="398">
        <v>0.0</v>
      </c>
      <c r="Z82" s="329">
        <f t="shared" si="3"/>
        <v>0</v>
      </c>
      <c r="AA82" s="32">
        <f t="shared" si="4"/>
        <v>0</v>
      </c>
      <c r="AB82" s="32">
        <f t="shared" si="5"/>
        <v>0</v>
      </c>
      <c r="AC82" s="32">
        <f t="shared" si="6"/>
        <v>0</v>
      </c>
    </row>
    <row r="83" ht="22.5" customHeight="1">
      <c r="A83" s="331" t="str">
        <f>Rooster!A84</f>
        <v/>
      </c>
      <c r="B83" s="396" t="str">
        <f>Rooster!B84</f>
        <v/>
      </c>
      <c r="C83" s="15" t="str">
        <f>Rooster!C84</f>
        <v/>
      </c>
      <c r="D83" s="11" t="str">
        <f>Rooster!D84</f>
        <v/>
      </c>
      <c r="E83" s="77"/>
      <c r="F83" s="327" t="str">
        <f>Rooster!E84</f>
        <v/>
      </c>
      <c r="G83" s="319" t="str">
        <f>IFERROR(VLOOKUP(F83, Docenten!$A$2:$G$30, 7, FALSE), "0")</f>
        <v>0</v>
      </c>
      <c r="H83" s="320">
        <f t="shared" si="7"/>
        <v>0</v>
      </c>
      <c r="I83" s="327" t="str">
        <f>Rooster!H84</f>
        <v/>
      </c>
      <c r="J83" s="321" t="str">
        <f>IFERROR(VLOOKUP(I83, Locaties!$A$2:$G$15, 7, FALSE), "0")</f>
        <v>0</v>
      </c>
      <c r="K83" s="42">
        <f t="shared" si="2"/>
        <v>0</v>
      </c>
      <c r="L83" s="427" t="str">
        <f>Maart!L83</f>
        <v/>
      </c>
      <c r="M83" s="428" t="str">
        <f>Maart!M83</f>
        <v/>
      </c>
      <c r="N83" s="325" t="str">
        <f>IFERROR(VLOOKUP(M83, Tarieven[], 10, FALSE), "0")</f>
        <v>0</v>
      </c>
      <c r="O83" s="427" t="str">
        <f>Maart!O83</f>
        <v/>
      </c>
      <c r="P83" s="428" t="str">
        <f>Maart!P83</f>
        <v/>
      </c>
      <c r="Q83" s="325" t="str">
        <f>IFERROR(VLOOKUP(P83, Tarieven!$A$2:$J$150, 10, FALSE), "0")</f>
        <v>0</v>
      </c>
      <c r="R83" s="444" t="str">
        <f>Maart!R83</f>
        <v/>
      </c>
      <c r="S83" s="428" t="str">
        <f>Maart!S83</f>
        <v/>
      </c>
      <c r="T83" s="325" t="str">
        <f>IFERROR(VLOOKUP(S83, Tarieven!$A$2:$J$150, 10, FALSE), "0")</f>
        <v>0</v>
      </c>
      <c r="U83" s="77" t="str">
        <f>Maart!U83</f>
        <v/>
      </c>
      <c r="V83" s="327" t="str">
        <f>Maart!V83</f>
        <v/>
      </c>
      <c r="W83" s="325" t="str">
        <f>IFERROR(VLOOKUP(V83, Tarieven!$A$2:$J$150, 10, FALSE), "0")</f>
        <v>0</v>
      </c>
      <c r="X83" s="138">
        <f>Maart!X83</f>
        <v>0</v>
      </c>
      <c r="Y83" s="398">
        <v>0.0</v>
      </c>
      <c r="Z83" s="329">
        <f t="shared" si="3"/>
        <v>0</v>
      </c>
      <c r="AA83" s="32">
        <f t="shared" si="4"/>
        <v>0</v>
      </c>
      <c r="AB83" s="32">
        <f t="shared" si="5"/>
        <v>0</v>
      </c>
      <c r="AC83" s="32">
        <f t="shared" si="6"/>
        <v>0</v>
      </c>
    </row>
    <row r="84" ht="22.5" customHeight="1">
      <c r="A84" s="331" t="str">
        <f>Rooster!A85</f>
        <v/>
      </c>
      <c r="B84" s="396" t="str">
        <f>Rooster!B85</f>
        <v/>
      </c>
      <c r="C84" s="15" t="str">
        <f>Rooster!C85</f>
        <v/>
      </c>
      <c r="D84" s="11" t="str">
        <f>Rooster!D85</f>
        <v/>
      </c>
      <c r="E84" s="77"/>
      <c r="F84" s="327" t="str">
        <f>Rooster!E85</f>
        <v/>
      </c>
      <c r="G84" s="319" t="str">
        <f>IFERROR(VLOOKUP(F84, Docenten!$A$2:$G$30, 7, FALSE), "0")</f>
        <v>0</v>
      </c>
      <c r="H84" s="320">
        <f t="shared" si="7"/>
        <v>0</v>
      </c>
      <c r="I84" s="327" t="str">
        <f>Rooster!H85</f>
        <v/>
      </c>
      <c r="J84" s="321" t="str">
        <f>IFERROR(VLOOKUP(I84, Locaties!$A$2:$G$15, 7, FALSE), "0")</f>
        <v>0</v>
      </c>
      <c r="K84" s="42">
        <f t="shared" si="2"/>
        <v>0</v>
      </c>
      <c r="L84" s="427" t="str">
        <f>Maart!L84</f>
        <v/>
      </c>
      <c r="M84" s="428" t="str">
        <f>Maart!M84</f>
        <v/>
      </c>
      <c r="N84" s="325" t="str">
        <f>IFERROR(VLOOKUP(M84, Tarieven[], 10, FALSE), "0")</f>
        <v>0</v>
      </c>
      <c r="O84" s="427" t="str">
        <f>Maart!O84</f>
        <v/>
      </c>
      <c r="P84" s="428" t="str">
        <f>Maart!P84</f>
        <v/>
      </c>
      <c r="Q84" s="325" t="str">
        <f>IFERROR(VLOOKUP(P84, Tarieven!$A$2:$J$150, 10, FALSE), "0")</f>
        <v>0</v>
      </c>
      <c r="R84" s="444" t="str">
        <f>Maart!R84</f>
        <v/>
      </c>
      <c r="S84" s="428" t="str">
        <f>Maart!S84</f>
        <v/>
      </c>
      <c r="T84" s="325" t="str">
        <f>IFERROR(VLOOKUP(S84, Tarieven!$A$2:$J$150, 10, FALSE), "0")</f>
        <v>0</v>
      </c>
      <c r="U84" s="77" t="str">
        <f>Maart!U84</f>
        <v/>
      </c>
      <c r="V84" s="327" t="str">
        <f>Maart!V84</f>
        <v/>
      </c>
      <c r="W84" s="325" t="str">
        <f>IFERROR(VLOOKUP(V84, Tarieven!$A$2:$J$150, 10, FALSE), "0")</f>
        <v>0</v>
      </c>
      <c r="X84" s="138">
        <f>Maart!X84</f>
        <v>0</v>
      </c>
      <c r="Y84" s="398">
        <v>0.0</v>
      </c>
      <c r="Z84" s="329">
        <f t="shared" si="3"/>
        <v>0</v>
      </c>
      <c r="AA84" s="32">
        <f t="shared" si="4"/>
        <v>0</v>
      </c>
      <c r="AB84" s="32">
        <f t="shared" si="5"/>
        <v>0</v>
      </c>
      <c r="AC84" s="32">
        <f t="shared" si="6"/>
        <v>0</v>
      </c>
    </row>
    <row r="85" ht="22.5" customHeight="1">
      <c r="A85" s="331" t="str">
        <f>Rooster!A86</f>
        <v/>
      </c>
      <c r="B85" s="396" t="str">
        <f>Rooster!B86</f>
        <v/>
      </c>
      <c r="C85" s="15" t="str">
        <f>Rooster!C86</f>
        <v/>
      </c>
      <c r="D85" s="11" t="str">
        <f>Rooster!D86</f>
        <v/>
      </c>
      <c r="E85" s="77"/>
      <c r="F85" s="327" t="str">
        <f>Rooster!E86</f>
        <v/>
      </c>
      <c r="G85" s="319" t="str">
        <f>IFERROR(VLOOKUP(F85, Docenten!$A$2:$G$30, 7, FALSE), "0")</f>
        <v>0</v>
      </c>
      <c r="H85" s="320">
        <f t="shared" si="7"/>
        <v>0</v>
      </c>
      <c r="I85" s="327" t="str">
        <f>Rooster!H86</f>
        <v/>
      </c>
      <c r="J85" s="321" t="str">
        <f>IFERROR(VLOOKUP(I85, Locaties!$A$2:$G$15, 7, FALSE), "0")</f>
        <v>0</v>
      </c>
      <c r="K85" s="42">
        <f t="shared" si="2"/>
        <v>0</v>
      </c>
      <c r="L85" s="427" t="str">
        <f>Maart!L85</f>
        <v/>
      </c>
      <c r="M85" s="428" t="str">
        <f>Maart!M85</f>
        <v/>
      </c>
      <c r="N85" s="325" t="str">
        <f>IFERROR(VLOOKUP(M85, Tarieven[], 10, FALSE), "0")</f>
        <v>0</v>
      </c>
      <c r="O85" s="427" t="str">
        <f>Maart!O85</f>
        <v/>
      </c>
      <c r="P85" s="428" t="str">
        <f>Maart!P85</f>
        <v/>
      </c>
      <c r="Q85" s="325" t="str">
        <f>IFERROR(VLOOKUP(P85, Tarieven!$A$2:$J$150, 10, FALSE), "0")</f>
        <v>0</v>
      </c>
      <c r="R85" s="444" t="str">
        <f>Maart!R85</f>
        <v/>
      </c>
      <c r="S85" s="428" t="str">
        <f>Maart!S85</f>
        <v/>
      </c>
      <c r="T85" s="325" t="str">
        <f>IFERROR(VLOOKUP(S85, Tarieven!$A$2:$J$150, 10, FALSE), "0")</f>
        <v>0</v>
      </c>
      <c r="U85" s="77" t="str">
        <f>Maart!U85</f>
        <v/>
      </c>
      <c r="V85" s="327" t="str">
        <f>Maart!V85</f>
        <v/>
      </c>
      <c r="W85" s="325" t="str">
        <f>IFERROR(VLOOKUP(V85, Tarieven!$A$2:$J$150, 10, FALSE), "0")</f>
        <v>0</v>
      </c>
      <c r="X85" s="138">
        <f>Maart!X85</f>
        <v>0</v>
      </c>
      <c r="Y85" s="398">
        <v>0.0</v>
      </c>
      <c r="Z85" s="329">
        <f t="shared" si="3"/>
        <v>0</v>
      </c>
      <c r="AA85" s="32">
        <f t="shared" si="4"/>
        <v>0</v>
      </c>
      <c r="AB85" s="32">
        <f t="shared" si="5"/>
        <v>0</v>
      </c>
      <c r="AC85" s="32">
        <f t="shared" si="6"/>
        <v>0</v>
      </c>
    </row>
    <row r="86" ht="22.5" customHeight="1">
      <c r="A86" s="331" t="str">
        <f>Rooster!A87</f>
        <v/>
      </c>
      <c r="B86" s="396" t="str">
        <f>Rooster!B87</f>
        <v/>
      </c>
      <c r="C86" s="15" t="str">
        <f>Rooster!C87</f>
        <v/>
      </c>
      <c r="D86" s="11" t="str">
        <f>Rooster!D87</f>
        <v/>
      </c>
      <c r="E86" s="77"/>
      <c r="F86" s="327" t="str">
        <f>Rooster!E87</f>
        <v/>
      </c>
      <c r="G86" s="319" t="str">
        <f>IFERROR(VLOOKUP(F86, Docenten!$A$2:$G$30, 7, FALSE), "0")</f>
        <v>0</v>
      </c>
      <c r="H86" s="320">
        <f t="shared" si="7"/>
        <v>0</v>
      </c>
      <c r="I86" s="327" t="str">
        <f>Rooster!H87</f>
        <v/>
      </c>
      <c r="J86" s="321" t="str">
        <f>IFERROR(VLOOKUP(I86, Locaties!$A$2:$G$15, 7, FALSE), "0")</f>
        <v>0</v>
      </c>
      <c r="K86" s="42">
        <f t="shared" si="2"/>
        <v>0</v>
      </c>
      <c r="L86" s="427" t="str">
        <f>Maart!L86</f>
        <v/>
      </c>
      <c r="M86" s="428" t="str">
        <f>Maart!M86</f>
        <v/>
      </c>
      <c r="N86" s="325" t="str">
        <f>IFERROR(VLOOKUP(M86, Tarieven[], 10, FALSE), "0")</f>
        <v>0</v>
      </c>
      <c r="O86" s="427" t="str">
        <f>Maart!O86</f>
        <v/>
      </c>
      <c r="P86" s="428" t="str">
        <f>Maart!P86</f>
        <v/>
      </c>
      <c r="Q86" s="325" t="str">
        <f>IFERROR(VLOOKUP(P86, Tarieven!$A$2:$J$150, 10, FALSE), "0")</f>
        <v>0</v>
      </c>
      <c r="R86" s="444" t="str">
        <f>Maart!R86</f>
        <v/>
      </c>
      <c r="S86" s="428" t="str">
        <f>Maart!S86</f>
        <v/>
      </c>
      <c r="T86" s="325" t="str">
        <f>IFERROR(VLOOKUP(S86, Tarieven!$A$2:$J$150, 10, FALSE), "0")</f>
        <v>0</v>
      </c>
      <c r="U86" s="77" t="str">
        <f>Maart!U86</f>
        <v/>
      </c>
      <c r="V86" s="327" t="str">
        <f>Maart!V86</f>
        <v/>
      </c>
      <c r="W86" s="325" t="str">
        <f>IFERROR(VLOOKUP(V86, Tarieven!$A$2:$J$150, 10, FALSE), "0")</f>
        <v>0</v>
      </c>
      <c r="X86" s="138">
        <f>Maart!X86</f>
        <v>0</v>
      </c>
      <c r="Y86" s="398">
        <v>0.0</v>
      </c>
      <c r="Z86" s="329">
        <f t="shared" si="3"/>
        <v>0</v>
      </c>
      <c r="AA86" s="32">
        <f t="shared" si="4"/>
        <v>0</v>
      </c>
      <c r="AB86" s="32">
        <f t="shared" si="5"/>
        <v>0</v>
      </c>
      <c r="AC86" s="32">
        <f t="shared" si="6"/>
        <v>0</v>
      </c>
    </row>
    <row r="87" ht="22.5" customHeight="1">
      <c r="A87" s="331" t="str">
        <f>Rooster!A88</f>
        <v/>
      </c>
      <c r="B87" s="396" t="str">
        <f>Rooster!B88</f>
        <v/>
      </c>
      <c r="C87" s="15" t="str">
        <f>Rooster!C88</f>
        <v/>
      </c>
      <c r="D87" s="11" t="str">
        <f>Rooster!D88</f>
        <v/>
      </c>
      <c r="E87" s="77"/>
      <c r="F87" s="327" t="str">
        <f>Rooster!E88</f>
        <v/>
      </c>
      <c r="G87" s="319" t="str">
        <f>IFERROR(VLOOKUP(F87, Docenten!$A$2:$G$30, 7, FALSE), "0")</f>
        <v>0</v>
      </c>
      <c r="H87" s="320">
        <f t="shared" si="7"/>
        <v>0</v>
      </c>
      <c r="I87" s="327" t="str">
        <f>Rooster!H88</f>
        <v/>
      </c>
      <c r="J87" s="321" t="str">
        <f>IFERROR(VLOOKUP(I87, Locaties!$A$2:$G$15, 7, FALSE), "0")</f>
        <v>0</v>
      </c>
      <c r="K87" s="42">
        <f t="shared" si="2"/>
        <v>0</v>
      </c>
      <c r="L87" s="427" t="str">
        <f>Maart!L87</f>
        <v/>
      </c>
      <c r="M87" s="428" t="str">
        <f>Maart!M87</f>
        <v/>
      </c>
      <c r="N87" s="325" t="str">
        <f>IFERROR(VLOOKUP(M87, Tarieven[], 10, FALSE), "0")</f>
        <v>0</v>
      </c>
      <c r="O87" s="427" t="str">
        <f>Maart!O87</f>
        <v/>
      </c>
      <c r="P87" s="428" t="str">
        <f>Maart!P87</f>
        <v/>
      </c>
      <c r="Q87" s="325" t="str">
        <f>IFERROR(VLOOKUP(P87, Tarieven!$A$2:$J$150, 10, FALSE), "0")</f>
        <v>0</v>
      </c>
      <c r="R87" s="444" t="str">
        <f>Maart!R87</f>
        <v/>
      </c>
      <c r="S87" s="428" t="str">
        <f>Maart!S87</f>
        <v/>
      </c>
      <c r="T87" s="325" t="str">
        <f>IFERROR(VLOOKUP(S87, Tarieven!$A$2:$J$150, 10, FALSE), "0")</f>
        <v>0</v>
      </c>
      <c r="U87" s="77" t="str">
        <f>Maart!U87</f>
        <v/>
      </c>
      <c r="V87" s="327" t="str">
        <f>Maart!V87</f>
        <v/>
      </c>
      <c r="W87" s="325" t="str">
        <f>IFERROR(VLOOKUP(V87, Tarieven!$A$2:$J$150, 10, FALSE), "0")</f>
        <v>0</v>
      </c>
      <c r="X87" s="138">
        <f>Maart!X87</f>
        <v>0</v>
      </c>
      <c r="Y87" s="398">
        <v>0.0</v>
      </c>
      <c r="Z87" s="329">
        <f t="shared" si="3"/>
        <v>0</v>
      </c>
      <c r="AA87" s="32">
        <f t="shared" si="4"/>
        <v>0</v>
      </c>
      <c r="AB87" s="32">
        <f t="shared" si="5"/>
        <v>0</v>
      </c>
      <c r="AC87" s="32">
        <f t="shared" si="6"/>
        <v>0</v>
      </c>
    </row>
    <row r="88" ht="22.5" customHeight="1">
      <c r="A88" s="331" t="str">
        <f>Rooster!A89</f>
        <v/>
      </c>
      <c r="B88" s="396" t="str">
        <f>Rooster!B89</f>
        <v/>
      </c>
      <c r="C88" s="15" t="str">
        <f>Rooster!C89</f>
        <v/>
      </c>
      <c r="D88" s="11" t="str">
        <f>Rooster!D89</f>
        <v/>
      </c>
      <c r="E88" s="77"/>
      <c r="F88" s="327" t="str">
        <f>Rooster!E89</f>
        <v/>
      </c>
      <c r="G88" s="319" t="str">
        <f>IFERROR(VLOOKUP(F88, Docenten!$A$2:$G$30, 7, FALSE), "0")</f>
        <v>0</v>
      </c>
      <c r="H88" s="320">
        <f t="shared" si="7"/>
        <v>0</v>
      </c>
      <c r="I88" s="327" t="str">
        <f>Rooster!H89</f>
        <v/>
      </c>
      <c r="J88" s="321" t="str">
        <f>IFERROR(VLOOKUP(I88, Locaties!$A$2:$G$15, 7, FALSE), "0")</f>
        <v>0</v>
      </c>
      <c r="K88" s="42">
        <f t="shared" si="2"/>
        <v>0</v>
      </c>
      <c r="L88" s="427" t="str">
        <f>Maart!L88</f>
        <v/>
      </c>
      <c r="M88" s="428" t="str">
        <f>Maart!M88</f>
        <v/>
      </c>
      <c r="N88" s="325" t="str">
        <f>IFERROR(VLOOKUP(M88, Tarieven[], 10, FALSE), "0")</f>
        <v>0</v>
      </c>
      <c r="O88" s="427" t="str">
        <f>Maart!O88</f>
        <v/>
      </c>
      <c r="P88" s="428" t="str">
        <f>Maart!P88</f>
        <v/>
      </c>
      <c r="Q88" s="325" t="str">
        <f>IFERROR(VLOOKUP(P88, Tarieven!$A$2:$J$150, 10, FALSE), "0")</f>
        <v>0</v>
      </c>
      <c r="R88" s="444" t="str">
        <f>Maart!R88</f>
        <v/>
      </c>
      <c r="S88" s="428" t="str">
        <f>Maart!S88</f>
        <v/>
      </c>
      <c r="T88" s="325" t="str">
        <f>IFERROR(VLOOKUP(S88, Tarieven!$A$2:$J$150, 10, FALSE), "0")</f>
        <v>0</v>
      </c>
      <c r="U88" s="77" t="str">
        <f>Maart!U88</f>
        <v/>
      </c>
      <c r="V88" s="327" t="str">
        <f>Maart!V88</f>
        <v/>
      </c>
      <c r="W88" s="325" t="str">
        <f>IFERROR(VLOOKUP(V88, Tarieven!$A$2:$J$150, 10, FALSE), "0")</f>
        <v>0</v>
      </c>
      <c r="X88" s="138">
        <f>Maart!X88</f>
        <v>0</v>
      </c>
      <c r="Y88" s="398">
        <v>0.0</v>
      </c>
      <c r="Z88" s="329">
        <f t="shared" si="3"/>
        <v>0</v>
      </c>
      <c r="AA88" s="32">
        <f t="shared" si="4"/>
        <v>0</v>
      </c>
      <c r="AB88" s="32">
        <f t="shared" si="5"/>
        <v>0</v>
      </c>
      <c r="AC88" s="32">
        <f t="shared" si="6"/>
        <v>0</v>
      </c>
    </row>
    <row r="89" ht="22.5" customHeight="1">
      <c r="A89" s="331" t="str">
        <f>Rooster!A90</f>
        <v/>
      </c>
      <c r="B89" s="396" t="str">
        <f>Rooster!B90</f>
        <v/>
      </c>
      <c r="C89" s="15" t="str">
        <f>Rooster!C90</f>
        <v/>
      </c>
      <c r="D89" s="11" t="str">
        <f>Rooster!D90</f>
        <v/>
      </c>
      <c r="E89" s="77"/>
      <c r="F89" s="327" t="str">
        <f>Rooster!E90</f>
        <v/>
      </c>
      <c r="G89" s="319" t="str">
        <f>IFERROR(VLOOKUP(F89, Docenten!$A$2:$G$30, 7, FALSE), "0")</f>
        <v>0</v>
      </c>
      <c r="H89" s="320">
        <f t="shared" si="7"/>
        <v>0</v>
      </c>
      <c r="I89" s="327" t="str">
        <f>Rooster!H90</f>
        <v/>
      </c>
      <c r="J89" s="321" t="str">
        <f>IFERROR(VLOOKUP(I89, Locaties!$A$2:$G$15, 7, FALSE), "0")</f>
        <v>0</v>
      </c>
      <c r="K89" s="42">
        <f t="shared" si="2"/>
        <v>0</v>
      </c>
      <c r="L89" s="427" t="str">
        <f>Maart!L89</f>
        <v/>
      </c>
      <c r="M89" s="428" t="str">
        <f>Maart!M89</f>
        <v/>
      </c>
      <c r="N89" s="325" t="str">
        <f>IFERROR(VLOOKUP(M89, Tarieven[], 10, FALSE), "0")</f>
        <v>0</v>
      </c>
      <c r="O89" s="427" t="str">
        <f>Maart!O89</f>
        <v/>
      </c>
      <c r="P89" s="428" t="str">
        <f>Maart!P89</f>
        <v/>
      </c>
      <c r="Q89" s="325" t="str">
        <f>IFERROR(VLOOKUP(P89, Tarieven!$A$2:$J$150, 10, FALSE), "0")</f>
        <v>0</v>
      </c>
      <c r="R89" s="444" t="str">
        <f>Maart!R89</f>
        <v/>
      </c>
      <c r="S89" s="428" t="str">
        <f>Maart!S89</f>
        <v/>
      </c>
      <c r="T89" s="325" t="str">
        <f>IFERROR(VLOOKUP(S89, Tarieven!$A$2:$J$150, 10, FALSE), "0")</f>
        <v>0</v>
      </c>
      <c r="U89" s="77" t="str">
        <f>Maart!U89</f>
        <v/>
      </c>
      <c r="V89" s="327" t="str">
        <f>Maart!V89</f>
        <v/>
      </c>
      <c r="W89" s="325" t="str">
        <f>IFERROR(VLOOKUP(V89, Tarieven!$A$2:$J$150, 10, FALSE), "0")</f>
        <v>0</v>
      </c>
      <c r="X89" s="138">
        <f>Maart!X89</f>
        <v>0</v>
      </c>
      <c r="Y89" s="398">
        <v>0.0</v>
      </c>
      <c r="Z89" s="329">
        <f t="shared" si="3"/>
        <v>0</v>
      </c>
      <c r="AA89" s="32">
        <f t="shared" si="4"/>
        <v>0</v>
      </c>
      <c r="AB89" s="32">
        <f t="shared" si="5"/>
        <v>0</v>
      </c>
      <c r="AC89" s="32">
        <f t="shared" si="6"/>
        <v>0</v>
      </c>
    </row>
    <row r="90" ht="22.5" customHeight="1">
      <c r="A90" s="331" t="str">
        <f>Rooster!A91</f>
        <v/>
      </c>
      <c r="B90" s="396" t="str">
        <f>Rooster!B91</f>
        <v/>
      </c>
      <c r="C90" s="15" t="str">
        <f>Rooster!C91</f>
        <v/>
      </c>
      <c r="D90" s="11" t="str">
        <f>Rooster!D91</f>
        <v/>
      </c>
      <c r="E90" s="77"/>
      <c r="F90" s="327" t="str">
        <f>Rooster!E91</f>
        <v/>
      </c>
      <c r="G90" s="319" t="str">
        <f>IFERROR(VLOOKUP(F90, Docenten!$A$2:$G$30, 7, FALSE), "0")</f>
        <v>0</v>
      </c>
      <c r="H90" s="320">
        <f t="shared" si="7"/>
        <v>0</v>
      </c>
      <c r="I90" s="327" t="str">
        <f>Rooster!H91</f>
        <v/>
      </c>
      <c r="J90" s="321" t="str">
        <f>IFERROR(VLOOKUP(I90, Locaties!$A$2:$G$15, 7, FALSE), "0")</f>
        <v>0</v>
      </c>
      <c r="K90" s="42">
        <f t="shared" si="2"/>
        <v>0</v>
      </c>
      <c r="L90" s="427" t="str">
        <f>Maart!L90</f>
        <v/>
      </c>
      <c r="M90" s="428" t="str">
        <f>Maart!M90</f>
        <v/>
      </c>
      <c r="N90" s="325" t="str">
        <f>IFERROR(VLOOKUP(M90, Tarieven[], 10, FALSE), "0")</f>
        <v>0</v>
      </c>
      <c r="O90" s="427" t="str">
        <f>Maart!O90</f>
        <v/>
      </c>
      <c r="P90" s="428" t="str">
        <f>Maart!P90</f>
        <v/>
      </c>
      <c r="Q90" s="325" t="str">
        <f>IFERROR(VLOOKUP(P90, Tarieven!$A$2:$J$150, 10, FALSE), "0")</f>
        <v>0</v>
      </c>
      <c r="R90" s="444" t="str">
        <f>Maart!R90</f>
        <v/>
      </c>
      <c r="S90" s="428" t="str">
        <f>Maart!S90</f>
        <v/>
      </c>
      <c r="T90" s="325" t="str">
        <f>IFERROR(VLOOKUP(S90, Tarieven!$A$2:$J$150, 10, FALSE), "0")</f>
        <v>0</v>
      </c>
      <c r="U90" s="77" t="str">
        <f>Maart!U90</f>
        <v/>
      </c>
      <c r="V90" s="327" t="str">
        <f>Maart!V90</f>
        <v/>
      </c>
      <c r="W90" s="325" t="str">
        <f>IFERROR(VLOOKUP(V90, Tarieven!$A$2:$J$150, 10, FALSE), "0")</f>
        <v>0</v>
      </c>
      <c r="X90" s="138">
        <f>Maart!X90</f>
        <v>0</v>
      </c>
      <c r="Y90" s="398">
        <v>0.0</v>
      </c>
      <c r="Z90" s="329">
        <f t="shared" si="3"/>
        <v>0</v>
      </c>
      <c r="AA90" s="32">
        <f t="shared" si="4"/>
        <v>0</v>
      </c>
      <c r="AB90" s="32">
        <f t="shared" si="5"/>
        <v>0</v>
      </c>
      <c r="AC90" s="32">
        <f t="shared" si="6"/>
        <v>0</v>
      </c>
    </row>
    <row r="91" ht="22.5" customHeight="1">
      <c r="A91" s="331" t="str">
        <f>Rooster!A92</f>
        <v/>
      </c>
      <c r="B91" s="396" t="str">
        <f>Rooster!B92</f>
        <v/>
      </c>
      <c r="C91" s="15" t="str">
        <f>Rooster!C92</f>
        <v/>
      </c>
      <c r="D91" s="11" t="str">
        <f>Rooster!D92</f>
        <v/>
      </c>
      <c r="E91" s="77"/>
      <c r="F91" s="327" t="str">
        <f>Rooster!E92</f>
        <v/>
      </c>
      <c r="G91" s="319" t="str">
        <f>IFERROR(VLOOKUP(F91, Docenten!$A$2:$G$30, 7, FALSE), "0")</f>
        <v>0</v>
      </c>
      <c r="H91" s="320">
        <f t="shared" si="7"/>
        <v>0</v>
      </c>
      <c r="I91" s="327" t="str">
        <f>Rooster!H92</f>
        <v/>
      </c>
      <c r="J91" s="321" t="str">
        <f>IFERROR(VLOOKUP(I91, Locaties!$A$2:$G$15, 7, FALSE), "0")</f>
        <v>0</v>
      </c>
      <c r="K91" s="42">
        <f t="shared" si="2"/>
        <v>0</v>
      </c>
      <c r="L91" s="427" t="str">
        <f>Maart!L91</f>
        <v/>
      </c>
      <c r="M91" s="428" t="str">
        <f>Maart!M91</f>
        <v/>
      </c>
      <c r="N91" s="325" t="str">
        <f>IFERROR(VLOOKUP(M91, Tarieven[], 10, FALSE), "0")</f>
        <v>0</v>
      </c>
      <c r="O91" s="427" t="str">
        <f>Maart!O91</f>
        <v/>
      </c>
      <c r="P91" s="428" t="str">
        <f>Maart!P91</f>
        <v/>
      </c>
      <c r="Q91" s="325" t="str">
        <f>IFERROR(VLOOKUP(P91, Tarieven!$A$2:$J$150, 10, FALSE), "0")</f>
        <v>0</v>
      </c>
      <c r="R91" s="444" t="str">
        <f>Maart!R91</f>
        <v/>
      </c>
      <c r="S91" s="428" t="str">
        <f>Maart!S91</f>
        <v/>
      </c>
      <c r="T91" s="325" t="str">
        <f>IFERROR(VLOOKUP(S91, Tarieven!$A$2:$J$150, 10, FALSE), "0")</f>
        <v>0</v>
      </c>
      <c r="U91" s="77" t="str">
        <f>Maart!U91</f>
        <v/>
      </c>
      <c r="V91" s="327" t="str">
        <f>Maart!V91</f>
        <v/>
      </c>
      <c r="W91" s="325" t="str">
        <f>IFERROR(VLOOKUP(V91, Tarieven!$A$2:$J$150, 10, FALSE), "0")</f>
        <v>0</v>
      </c>
      <c r="X91" s="138">
        <f>Maart!X91</f>
        <v>0</v>
      </c>
      <c r="Y91" s="398">
        <v>0.0</v>
      </c>
      <c r="Z91" s="329">
        <f t="shared" si="3"/>
        <v>0</v>
      </c>
      <c r="AA91" s="32">
        <f t="shared" si="4"/>
        <v>0</v>
      </c>
      <c r="AB91" s="32">
        <f t="shared" si="5"/>
        <v>0</v>
      </c>
      <c r="AC91" s="32">
        <f t="shared" si="6"/>
        <v>0</v>
      </c>
    </row>
    <row r="92" ht="22.5" customHeight="1">
      <c r="A92" s="331" t="str">
        <f>Rooster!A93</f>
        <v/>
      </c>
      <c r="B92" s="396" t="str">
        <f>Rooster!B93</f>
        <v/>
      </c>
      <c r="C92" s="15" t="str">
        <f>Rooster!C93</f>
        <v/>
      </c>
      <c r="D92" s="11" t="str">
        <f>Rooster!D93</f>
        <v/>
      </c>
      <c r="E92" s="77"/>
      <c r="F92" s="327" t="str">
        <f>Rooster!E93</f>
        <v/>
      </c>
      <c r="G92" s="319" t="str">
        <f>IFERROR(VLOOKUP(F92, Docenten!$A$2:$G$30, 7, FALSE), "0")</f>
        <v>0</v>
      </c>
      <c r="H92" s="320">
        <f t="shared" si="7"/>
        <v>0</v>
      </c>
      <c r="I92" s="327" t="str">
        <f>Rooster!H93</f>
        <v/>
      </c>
      <c r="J92" s="321" t="str">
        <f>IFERROR(VLOOKUP(I92, Locaties!$A$2:$G$15, 7, FALSE), "0")</f>
        <v>0</v>
      </c>
      <c r="K92" s="42">
        <f t="shared" si="2"/>
        <v>0</v>
      </c>
      <c r="L92" s="427" t="str">
        <f>Maart!L92</f>
        <v/>
      </c>
      <c r="M92" s="428" t="str">
        <f>Maart!M92</f>
        <v/>
      </c>
      <c r="N92" s="325" t="str">
        <f>IFERROR(VLOOKUP(M92, Tarieven[], 10, FALSE), "0")</f>
        <v>0</v>
      </c>
      <c r="O92" s="427" t="str">
        <f>Maart!O92</f>
        <v/>
      </c>
      <c r="P92" s="428" t="str">
        <f>Maart!P92</f>
        <v/>
      </c>
      <c r="Q92" s="325" t="str">
        <f>IFERROR(VLOOKUP(P92, Tarieven!$A$2:$J$150, 10, FALSE), "0")</f>
        <v>0</v>
      </c>
      <c r="R92" s="444" t="str">
        <f>Maart!R92</f>
        <v/>
      </c>
      <c r="S92" s="428" t="str">
        <f>Maart!S92</f>
        <v/>
      </c>
      <c r="T92" s="325" t="str">
        <f>IFERROR(VLOOKUP(S92, Tarieven!$A$2:$J$150, 10, FALSE), "0")</f>
        <v>0</v>
      </c>
      <c r="U92" s="77" t="str">
        <f>Maart!U92</f>
        <v/>
      </c>
      <c r="V92" s="327" t="str">
        <f>Maart!V92</f>
        <v/>
      </c>
      <c r="W92" s="325" t="str">
        <f>IFERROR(VLOOKUP(V92, Tarieven!$A$2:$J$150, 10, FALSE), "0")</f>
        <v>0</v>
      </c>
      <c r="X92" s="138">
        <f>Maart!X92</f>
        <v>0</v>
      </c>
      <c r="Y92" s="398">
        <v>0.0</v>
      </c>
      <c r="Z92" s="329">
        <f t="shared" si="3"/>
        <v>0</v>
      </c>
      <c r="AA92" s="32">
        <f t="shared" si="4"/>
        <v>0</v>
      </c>
      <c r="AB92" s="32">
        <f t="shared" si="5"/>
        <v>0</v>
      </c>
      <c r="AC92" s="32">
        <f t="shared" si="6"/>
        <v>0</v>
      </c>
    </row>
    <row r="93" ht="22.5" customHeight="1">
      <c r="A93" s="331" t="str">
        <f>Rooster!A94</f>
        <v/>
      </c>
      <c r="B93" s="396" t="str">
        <f>Rooster!B94</f>
        <v/>
      </c>
      <c r="C93" s="15" t="str">
        <f>Rooster!C94</f>
        <v/>
      </c>
      <c r="D93" s="11" t="str">
        <f>Rooster!D94</f>
        <v/>
      </c>
      <c r="E93" s="77"/>
      <c r="F93" s="327" t="str">
        <f>Rooster!E94</f>
        <v/>
      </c>
      <c r="G93" s="319" t="str">
        <f>IFERROR(VLOOKUP(F93, Docenten!$A$2:$G$30, 7, FALSE), "0")</f>
        <v>0</v>
      </c>
      <c r="H93" s="320">
        <f t="shared" si="7"/>
        <v>0</v>
      </c>
      <c r="I93" s="327" t="str">
        <f>Rooster!H94</f>
        <v/>
      </c>
      <c r="J93" s="321" t="str">
        <f>IFERROR(VLOOKUP(I93, Locaties!$A$2:$G$15, 7, FALSE), "0")</f>
        <v>0</v>
      </c>
      <c r="K93" s="42">
        <f t="shared" si="2"/>
        <v>0</v>
      </c>
      <c r="L93" s="427" t="str">
        <f>Maart!L93</f>
        <v/>
      </c>
      <c r="M93" s="428" t="str">
        <f>Maart!M93</f>
        <v/>
      </c>
      <c r="N93" s="325" t="str">
        <f>IFERROR(VLOOKUP(M93, Tarieven[], 10, FALSE), "0")</f>
        <v>0</v>
      </c>
      <c r="O93" s="427" t="str">
        <f>Maart!O93</f>
        <v/>
      </c>
      <c r="P93" s="428" t="str">
        <f>Maart!P93</f>
        <v/>
      </c>
      <c r="Q93" s="325" t="str">
        <f>IFERROR(VLOOKUP(P93, Tarieven!$A$2:$J$150, 10, FALSE), "0")</f>
        <v>0</v>
      </c>
      <c r="R93" s="444" t="str">
        <f>Maart!R93</f>
        <v/>
      </c>
      <c r="S93" s="428" t="str">
        <f>Maart!S93</f>
        <v/>
      </c>
      <c r="T93" s="325" t="str">
        <f>IFERROR(VLOOKUP(S93, Tarieven!$A$2:$J$150, 10, FALSE), "0")</f>
        <v>0</v>
      </c>
      <c r="U93" s="77" t="str">
        <f>Maart!U93</f>
        <v/>
      </c>
      <c r="V93" s="327" t="str">
        <f>Maart!V93</f>
        <v/>
      </c>
      <c r="W93" s="325" t="str">
        <f>IFERROR(VLOOKUP(V93, Tarieven!$A$2:$J$150, 10, FALSE), "0")</f>
        <v>0</v>
      </c>
      <c r="X93" s="138">
        <f>Maart!X93</f>
        <v>0</v>
      </c>
      <c r="Y93" s="398">
        <v>0.0</v>
      </c>
      <c r="Z93" s="329">
        <f t="shared" si="3"/>
        <v>0</v>
      </c>
      <c r="AA93" s="32">
        <f t="shared" si="4"/>
        <v>0</v>
      </c>
      <c r="AB93" s="32">
        <f t="shared" si="5"/>
        <v>0</v>
      </c>
      <c r="AC93" s="32">
        <f t="shared" si="6"/>
        <v>0</v>
      </c>
    </row>
    <row r="94" ht="22.5" customHeight="1">
      <c r="A94" s="331" t="str">
        <f>Rooster!A95</f>
        <v/>
      </c>
      <c r="B94" s="396" t="str">
        <f>Rooster!B95</f>
        <v/>
      </c>
      <c r="C94" s="15" t="str">
        <f>Rooster!C95</f>
        <v/>
      </c>
      <c r="D94" s="11" t="str">
        <f>Rooster!D95</f>
        <v/>
      </c>
      <c r="E94" s="77"/>
      <c r="F94" s="327" t="str">
        <f>Rooster!E95</f>
        <v/>
      </c>
      <c r="G94" s="319" t="str">
        <f>IFERROR(VLOOKUP(F94, Docenten!$A$2:$G$30, 7, FALSE), "0")</f>
        <v>0</v>
      </c>
      <c r="H94" s="320">
        <f t="shared" si="7"/>
        <v>0</v>
      </c>
      <c r="I94" s="327" t="str">
        <f>Rooster!H95</f>
        <v/>
      </c>
      <c r="J94" s="321" t="str">
        <f>IFERROR(VLOOKUP(I94, Locaties!$A$2:$G$15, 7, FALSE), "0")</f>
        <v>0</v>
      </c>
      <c r="K94" s="42">
        <f t="shared" si="2"/>
        <v>0</v>
      </c>
      <c r="L94" s="427" t="str">
        <f>Maart!L94</f>
        <v/>
      </c>
      <c r="M94" s="428" t="str">
        <f>Maart!M94</f>
        <v/>
      </c>
      <c r="N94" s="325" t="str">
        <f>IFERROR(VLOOKUP(M94, Tarieven[], 10, FALSE), "0")</f>
        <v>0</v>
      </c>
      <c r="O94" s="427" t="str">
        <f>Maart!O94</f>
        <v/>
      </c>
      <c r="P94" s="428" t="str">
        <f>Maart!P94</f>
        <v/>
      </c>
      <c r="Q94" s="325" t="str">
        <f>IFERROR(VLOOKUP(P94, Tarieven!$A$2:$J$150, 10, FALSE), "0")</f>
        <v>0</v>
      </c>
      <c r="R94" s="444" t="str">
        <f>Maart!R94</f>
        <v/>
      </c>
      <c r="S94" s="428" t="str">
        <f>Maart!S94</f>
        <v/>
      </c>
      <c r="T94" s="325" t="str">
        <f>IFERROR(VLOOKUP(S94, Tarieven!$A$2:$J$150, 10, FALSE), "0")</f>
        <v>0</v>
      </c>
      <c r="U94" s="77" t="str">
        <f>Maart!U94</f>
        <v/>
      </c>
      <c r="V94" s="327" t="str">
        <f>Maart!V94</f>
        <v/>
      </c>
      <c r="W94" s="325" t="str">
        <f>IFERROR(VLOOKUP(V94, Tarieven!$A$2:$J$150, 10, FALSE), "0")</f>
        <v>0</v>
      </c>
      <c r="X94" s="138">
        <f>Maart!X94</f>
        <v>0</v>
      </c>
      <c r="Y94" s="398">
        <v>0.0</v>
      </c>
      <c r="Z94" s="329">
        <f t="shared" si="3"/>
        <v>0</v>
      </c>
      <c r="AA94" s="32">
        <f t="shared" si="4"/>
        <v>0</v>
      </c>
      <c r="AB94" s="32">
        <f t="shared" si="5"/>
        <v>0</v>
      </c>
      <c r="AC94" s="32">
        <f t="shared" si="6"/>
        <v>0</v>
      </c>
    </row>
    <row r="95" ht="22.5" customHeight="1">
      <c r="A95" s="331" t="str">
        <f>Rooster!A96</f>
        <v/>
      </c>
      <c r="B95" s="396" t="str">
        <f>Rooster!B96</f>
        <v/>
      </c>
      <c r="C95" s="15" t="str">
        <f>Rooster!C96</f>
        <v/>
      </c>
      <c r="D95" s="11" t="str">
        <f>Rooster!D96</f>
        <v/>
      </c>
      <c r="E95" s="77"/>
      <c r="F95" s="327" t="str">
        <f>Rooster!E96</f>
        <v/>
      </c>
      <c r="G95" s="319" t="str">
        <f>IFERROR(VLOOKUP(F95, Docenten!$A$2:$G$30, 7, FALSE), "0")</f>
        <v>0</v>
      </c>
      <c r="H95" s="320">
        <f t="shared" si="7"/>
        <v>0</v>
      </c>
      <c r="I95" s="327" t="str">
        <f>Rooster!H96</f>
        <v/>
      </c>
      <c r="J95" s="321" t="str">
        <f>IFERROR(VLOOKUP(I95, Locaties!$A$2:$G$15, 7, FALSE), "0")</f>
        <v>0</v>
      </c>
      <c r="K95" s="42">
        <f t="shared" si="2"/>
        <v>0</v>
      </c>
      <c r="L95" s="427" t="str">
        <f>Maart!L95</f>
        <v/>
      </c>
      <c r="M95" s="428" t="str">
        <f>Maart!M95</f>
        <v/>
      </c>
      <c r="N95" s="325" t="str">
        <f>IFERROR(VLOOKUP(M95, Tarieven[], 10, FALSE), "0")</f>
        <v>0</v>
      </c>
      <c r="O95" s="427" t="str">
        <f>Maart!O95</f>
        <v/>
      </c>
      <c r="P95" s="428" t="str">
        <f>Maart!P95</f>
        <v/>
      </c>
      <c r="Q95" s="325" t="str">
        <f>IFERROR(VLOOKUP(P95, Tarieven!$A$2:$J$150, 10, FALSE), "0")</f>
        <v>0</v>
      </c>
      <c r="R95" s="444" t="str">
        <f>Maart!R95</f>
        <v/>
      </c>
      <c r="S95" s="428" t="str">
        <f>Maart!S95</f>
        <v/>
      </c>
      <c r="T95" s="325" t="str">
        <f>IFERROR(VLOOKUP(S95, Tarieven!$A$2:$J$150, 10, FALSE), "0")</f>
        <v>0</v>
      </c>
      <c r="U95" s="77" t="str">
        <f>Maart!U95</f>
        <v/>
      </c>
      <c r="V95" s="327" t="str">
        <f>Maart!V95</f>
        <v/>
      </c>
      <c r="W95" s="325" t="str">
        <f>IFERROR(VLOOKUP(V95, Tarieven!$A$2:$J$150, 10, FALSE), "0")</f>
        <v>0</v>
      </c>
      <c r="X95" s="138">
        <f>Maart!X95</f>
        <v>0</v>
      </c>
      <c r="Y95" s="398">
        <v>0.0</v>
      </c>
      <c r="Z95" s="329">
        <f t="shared" si="3"/>
        <v>0</v>
      </c>
      <c r="AA95" s="32">
        <f t="shared" si="4"/>
        <v>0</v>
      </c>
      <c r="AB95" s="32">
        <f t="shared" si="5"/>
        <v>0</v>
      </c>
      <c r="AC95" s="32">
        <f t="shared" si="6"/>
        <v>0</v>
      </c>
    </row>
    <row r="96" ht="22.5" customHeight="1">
      <c r="A96" s="331" t="str">
        <f>Rooster!A97</f>
        <v/>
      </c>
      <c r="B96" s="396" t="str">
        <f>Rooster!B97</f>
        <v/>
      </c>
      <c r="C96" s="15" t="str">
        <f>Rooster!C97</f>
        <v/>
      </c>
      <c r="D96" s="11" t="str">
        <f>Rooster!D97</f>
        <v/>
      </c>
      <c r="E96" s="77"/>
      <c r="F96" s="327" t="str">
        <f>Rooster!E97</f>
        <v/>
      </c>
      <c r="G96" s="319" t="str">
        <f>IFERROR(VLOOKUP(F96, Docenten!$A$2:$G$30, 7, FALSE), "0")</f>
        <v>0</v>
      </c>
      <c r="H96" s="320">
        <f t="shared" si="7"/>
        <v>0</v>
      </c>
      <c r="I96" s="327" t="str">
        <f>Rooster!H97</f>
        <v/>
      </c>
      <c r="J96" s="321" t="str">
        <f>IFERROR(VLOOKUP(I96, Locaties!$A$2:$G$15, 7, FALSE), "0")</f>
        <v>0</v>
      </c>
      <c r="K96" s="42">
        <f t="shared" si="2"/>
        <v>0</v>
      </c>
      <c r="L96" s="427" t="str">
        <f>Maart!L96</f>
        <v/>
      </c>
      <c r="M96" s="428" t="str">
        <f>Maart!M96</f>
        <v/>
      </c>
      <c r="N96" s="325" t="str">
        <f>IFERROR(VLOOKUP(M96, Tarieven[], 10, FALSE), "0")</f>
        <v>0</v>
      </c>
      <c r="O96" s="427" t="str">
        <f>Maart!O96</f>
        <v/>
      </c>
      <c r="P96" s="428" t="str">
        <f>Maart!P96</f>
        <v/>
      </c>
      <c r="Q96" s="325" t="str">
        <f>IFERROR(VLOOKUP(P96, Tarieven!$A$2:$J$150, 10, FALSE), "0")</f>
        <v>0</v>
      </c>
      <c r="R96" s="444" t="str">
        <f>Maart!R96</f>
        <v/>
      </c>
      <c r="S96" s="428" t="str">
        <f>Maart!S96</f>
        <v/>
      </c>
      <c r="T96" s="325" t="str">
        <f>IFERROR(VLOOKUP(S96, Tarieven!$A$2:$J$150, 10, FALSE), "0")</f>
        <v>0</v>
      </c>
      <c r="U96" s="77" t="str">
        <f>Maart!U96</f>
        <v/>
      </c>
      <c r="V96" s="327" t="str">
        <f>Maart!V96</f>
        <v/>
      </c>
      <c r="W96" s="325" t="str">
        <f>IFERROR(VLOOKUP(V96, Tarieven!$A$2:$J$150, 10, FALSE), "0")</f>
        <v>0</v>
      </c>
      <c r="X96" s="138">
        <f>Maart!X96</f>
        <v>0</v>
      </c>
      <c r="Y96" s="398">
        <v>0.0</v>
      </c>
      <c r="Z96" s="329">
        <f t="shared" si="3"/>
        <v>0</v>
      </c>
      <c r="AA96" s="32">
        <f t="shared" si="4"/>
        <v>0</v>
      </c>
      <c r="AB96" s="32">
        <f t="shared" si="5"/>
        <v>0</v>
      </c>
      <c r="AC96" s="32">
        <f t="shared" si="6"/>
        <v>0</v>
      </c>
    </row>
    <row r="97" ht="22.5" customHeight="1">
      <c r="A97" s="331" t="str">
        <f>Rooster!A98</f>
        <v/>
      </c>
      <c r="B97" s="396" t="str">
        <f>Rooster!B98</f>
        <v/>
      </c>
      <c r="C97" s="15" t="str">
        <f>Rooster!C98</f>
        <v/>
      </c>
      <c r="D97" s="11" t="str">
        <f>Rooster!D98</f>
        <v/>
      </c>
      <c r="E97" s="77"/>
      <c r="F97" s="327" t="str">
        <f>Rooster!E98</f>
        <v/>
      </c>
      <c r="G97" s="319" t="str">
        <f>IFERROR(VLOOKUP(F97, Docenten!$A$2:$G$30, 7, FALSE), "0")</f>
        <v>0</v>
      </c>
      <c r="H97" s="320">
        <f t="shared" si="7"/>
        <v>0</v>
      </c>
      <c r="I97" s="327" t="str">
        <f>Rooster!H98</f>
        <v/>
      </c>
      <c r="J97" s="321" t="str">
        <f>IFERROR(VLOOKUP(I97, Locaties!$A$2:$G$15, 7, FALSE), "0")</f>
        <v>0</v>
      </c>
      <c r="K97" s="42">
        <f t="shared" si="2"/>
        <v>0</v>
      </c>
      <c r="L97" s="427" t="str">
        <f>Maart!L97</f>
        <v/>
      </c>
      <c r="M97" s="428" t="str">
        <f>Maart!M97</f>
        <v/>
      </c>
      <c r="N97" s="325" t="str">
        <f>IFERROR(VLOOKUP(M97, Tarieven[], 10, FALSE), "0")</f>
        <v>0</v>
      </c>
      <c r="O97" s="427" t="str">
        <f>Maart!O97</f>
        <v/>
      </c>
      <c r="P97" s="428" t="str">
        <f>Maart!P97</f>
        <v/>
      </c>
      <c r="Q97" s="325" t="str">
        <f>IFERROR(VLOOKUP(P97, Tarieven!$A$2:$J$150, 10, FALSE), "0")</f>
        <v>0</v>
      </c>
      <c r="R97" s="444" t="str">
        <f>Maart!R97</f>
        <v/>
      </c>
      <c r="S97" s="428" t="str">
        <f>Maart!S97</f>
        <v/>
      </c>
      <c r="T97" s="325" t="str">
        <f>IFERROR(VLOOKUP(S97, Tarieven!$A$2:$J$150, 10, FALSE), "0")</f>
        <v>0</v>
      </c>
      <c r="U97" s="77" t="str">
        <f>Maart!U97</f>
        <v/>
      </c>
      <c r="V97" s="327" t="str">
        <f>Maart!V97</f>
        <v/>
      </c>
      <c r="W97" s="325" t="str">
        <f>IFERROR(VLOOKUP(V97, Tarieven!$A$2:$J$150, 10, FALSE), "0")</f>
        <v>0</v>
      </c>
      <c r="X97" s="138">
        <f>Maart!X97</f>
        <v>0</v>
      </c>
      <c r="Y97" s="398">
        <v>0.0</v>
      </c>
      <c r="Z97" s="329">
        <f t="shared" si="3"/>
        <v>0</v>
      </c>
      <c r="AA97" s="32">
        <f t="shared" si="4"/>
        <v>0</v>
      </c>
      <c r="AB97" s="32">
        <f t="shared" si="5"/>
        <v>0</v>
      </c>
      <c r="AC97" s="32">
        <f t="shared" si="6"/>
        <v>0</v>
      </c>
    </row>
    <row r="98" ht="22.5" customHeight="1">
      <c r="A98" s="331" t="str">
        <f>Rooster!A99</f>
        <v/>
      </c>
      <c r="B98" s="396" t="str">
        <f>Rooster!B99</f>
        <v/>
      </c>
      <c r="C98" s="15" t="str">
        <f>Rooster!C99</f>
        <v/>
      </c>
      <c r="D98" s="11" t="str">
        <f>Rooster!D99</f>
        <v/>
      </c>
      <c r="E98" s="77"/>
      <c r="F98" s="327" t="str">
        <f>Rooster!E99</f>
        <v/>
      </c>
      <c r="G98" s="319" t="str">
        <f>IFERROR(VLOOKUP(F98, Docenten!$A$2:$G$30, 7, FALSE), "0")</f>
        <v>0</v>
      </c>
      <c r="H98" s="320">
        <f t="shared" si="7"/>
        <v>0</v>
      </c>
      <c r="I98" s="327" t="str">
        <f>Rooster!H99</f>
        <v/>
      </c>
      <c r="J98" s="321" t="str">
        <f>IFERROR(VLOOKUP(I98, Locaties!$A$2:$G$15, 7, FALSE), "0")</f>
        <v>0</v>
      </c>
      <c r="K98" s="42">
        <f t="shared" si="2"/>
        <v>0</v>
      </c>
      <c r="L98" s="427" t="str">
        <f>Maart!L98</f>
        <v/>
      </c>
      <c r="M98" s="428" t="str">
        <f>Maart!M98</f>
        <v/>
      </c>
      <c r="N98" s="325" t="str">
        <f>IFERROR(VLOOKUP(M98, Tarieven[], 10, FALSE), "0")</f>
        <v>0</v>
      </c>
      <c r="O98" s="427" t="str">
        <f>Maart!O98</f>
        <v/>
      </c>
      <c r="P98" s="428" t="str">
        <f>Maart!P98</f>
        <v/>
      </c>
      <c r="Q98" s="325" t="str">
        <f>IFERROR(VLOOKUP(P98, Tarieven!$A$2:$J$150, 10, FALSE), "0")</f>
        <v>0</v>
      </c>
      <c r="R98" s="444" t="str">
        <f>Maart!R98</f>
        <v/>
      </c>
      <c r="S98" s="428" t="str">
        <f>Maart!S98</f>
        <v/>
      </c>
      <c r="T98" s="325" t="str">
        <f>IFERROR(VLOOKUP(S98, Tarieven!$A$2:$J$150, 10, FALSE), "0")</f>
        <v>0</v>
      </c>
      <c r="U98" s="77" t="str">
        <f>Maart!U98</f>
        <v/>
      </c>
      <c r="V98" s="327" t="str">
        <f>Maart!V98</f>
        <v/>
      </c>
      <c r="W98" s="325" t="str">
        <f>IFERROR(VLOOKUP(V98, Tarieven!$A$2:$J$150, 10, FALSE), "0")</f>
        <v>0</v>
      </c>
      <c r="X98" s="138">
        <f>Maart!X98</f>
        <v>0</v>
      </c>
      <c r="Y98" s="398">
        <v>0.0</v>
      </c>
      <c r="Z98" s="329">
        <f t="shared" si="3"/>
        <v>0</v>
      </c>
      <c r="AA98" s="32">
        <f t="shared" si="4"/>
        <v>0</v>
      </c>
      <c r="AB98" s="32">
        <f t="shared" si="5"/>
        <v>0</v>
      </c>
      <c r="AC98" s="32">
        <f t="shared" si="6"/>
        <v>0</v>
      </c>
    </row>
    <row r="99" ht="22.5" customHeight="1">
      <c r="A99" s="331" t="str">
        <f>Rooster!A100</f>
        <v/>
      </c>
      <c r="B99" s="396" t="str">
        <f>Rooster!B100</f>
        <v/>
      </c>
      <c r="C99" s="15" t="str">
        <f>Rooster!C100</f>
        <v/>
      </c>
      <c r="D99" s="11" t="str">
        <f>Rooster!D100</f>
        <v/>
      </c>
      <c r="E99" s="77"/>
      <c r="F99" s="327" t="str">
        <f>Rooster!E100</f>
        <v/>
      </c>
      <c r="G99" s="319" t="str">
        <f>IFERROR(VLOOKUP(F99, Docenten!$A$2:$G$30, 7, FALSE), "0")</f>
        <v>0</v>
      </c>
      <c r="H99" s="320">
        <f t="shared" si="7"/>
        <v>0</v>
      </c>
      <c r="I99" s="327" t="str">
        <f>Rooster!H100</f>
        <v/>
      </c>
      <c r="J99" s="321" t="str">
        <f>IFERROR(VLOOKUP(I99, Locaties!$A$2:$G$15, 7, FALSE), "0")</f>
        <v>0</v>
      </c>
      <c r="K99" s="42">
        <f t="shared" si="2"/>
        <v>0</v>
      </c>
      <c r="L99" s="427" t="str">
        <f>Maart!L99</f>
        <v/>
      </c>
      <c r="M99" s="428" t="str">
        <f>Maart!M99</f>
        <v/>
      </c>
      <c r="N99" s="325" t="str">
        <f>IFERROR(VLOOKUP(M99, Tarieven[], 10, FALSE), "0")</f>
        <v>0</v>
      </c>
      <c r="O99" s="427" t="str">
        <f>Maart!O99</f>
        <v/>
      </c>
      <c r="P99" s="428" t="str">
        <f>Maart!P99</f>
        <v/>
      </c>
      <c r="Q99" s="325" t="str">
        <f>IFERROR(VLOOKUP(P99, Tarieven!$A$2:$J$150, 10, FALSE), "0")</f>
        <v>0</v>
      </c>
      <c r="R99" s="444" t="str">
        <f>Maart!R99</f>
        <v/>
      </c>
      <c r="S99" s="428" t="str">
        <f>Maart!S99</f>
        <v/>
      </c>
      <c r="T99" s="325" t="str">
        <f>IFERROR(VLOOKUP(S99, Tarieven!$A$2:$J$150, 10, FALSE), "0")</f>
        <v>0</v>
      </c>
      <c r="U99" s="77" t="str">
        <f>Maart!U99</f>
        <v/>
      </c>
      <c r="V99" s="327" t="str">
        <f>Maart!V99</f>
        <v/>
      </c>
      <c r="W99" s="325" t="str">
        <f>IFERROR(VLOOKUP(V99, Tarieven!$A$2:$J$150, 10, FALSE), "0")</f>
        <v>0</v>
      </c>
      <c r="X99" s="138">
        <f>Maart!X99</f>
        <v>0</v>
      </c>
      <c r="Y99" s="398">
        <v>0.0</v>
      </c>
      <c r="Z99" s="329">
        <f t="shared" si="3"/>
        <v>0</v>
      </c>
      <c r="AA99" s="32">
        <f t="shared" si="4"/>
        <v>0</v>
      </c>
      <c r="AB99" s="32">
        <f t="shared" si="5"/>
        <v>0</v>
      </c>
      <c r="AC99" s="32">
        <f t="shared" si="6"/>
        <v>0</v>
      </c>
    </row>
    <row r="100" ht="22.5" customHeight="1">
      <c r="A100" s="331" t="str">
        <f>Rooster!A101</f>
        <v/>
      </c>
      <c r="B100" s="396" t="str">
        <f>Rooster!B101</f>
        <v/>
      </c>
      <c r="C100" s="15" t="str">
        <f>Rooster!C101</f>
        <v/>
      </c>
      <c r="D100" s="11" t="str">
        <f>Rooster!D101</f>
        <v/>
      </c>
      <c r="E100" s="77"/>
      <c r="F100" s="327" t="str">
        <f>Rooster!E101</f>
        <v/>
      </c>
      <c r="G100" s="319" t="str">
        <f>IFERROR(VLOOKUP(F100, Docenten!$A$2:$G$30, 7, FALSE), "0")</f>
        <v>0</v>
      </c>
      <c r="H100" s="320">
        <f t="shared" si="7"/>
        <v>0</v>
      </c>
      <c r="I100" s="327" t="str">
        <f>Rooster!H101</f>
        <v/>
      </c>
      <c r="J100" s="321" t="str">
        <f>IFERROR(VLOOKUP(I100, Locaties!$A$2:$G$15, 7, FALSE), "0")</f>
        <v>0</v>
      </c>
      <c r="K100" s="42">
        <f t="shared" si="2"/>
        <v>0</v>
      </c>
      <c r="L100" s="427" t="str">
        <f>Maart!L100</f>
        <v/>
      </c>
      <c r="M100" s="428" t="str">
        <f>Maart!M100</f>
        <v/>
      </c>
      <c r="N100" s="325" t="str">
        <f>IFERROR(VLOOKUP(M100, Tarieven[], 10, FALSE), "0")</f>
        <v>0</v>
      </c>
      <c r="O100" s="427" t="str">
        <f>Maart!O100</f>
        <v/>
      </c>
      <c r="P100" s="428" t="str">
        <f>Maart!P100</f>
        <v/>
      </c>
      <c r="Q100" s="325" t="str">
        <f>IFERROR(VLOOKUP(P100, Tarieven!$A$2:$J$150, 10, FALSE), "0")</f>
        <v>0</v>
      </c>
      <c r="R100" s="444" t="str">
        <f>Maart!R100</f>
        <v/>
      </c>
      <c r="S100" s="428" t="str">
        <f>Maart!S100</f>
        <v/>
      </c>
      <c r="T100" s="325" t="str">
        <f>IFERROR(VLOOKUP(S100, Tarieven!$A$2:$J$150, 10, FALSE), "0")</f>
        <v>0</v>
      </c>
      <c r="U100" s="77" t="str">
        <f>Maart!U100</f>
        <v/>
      </c>
      <c r="V100" s="327" t="str">
        <f>Maart!V100</f>
        <v/>
      </c>
      <c r="W100" s="325" t="str">
        <f>IFERROR(VLOOKUP(V100, Tarieven!$A$2:$J$150, 10, FALSE), "0")</f>
        <v>0</v>
      </c>
      <c r="X100" s="138">
        <f>Maart!X100</f>
        <v>0</v>
      </c>
      <c r="Y100" s="398">
        <v>0.0</v>
      </c>
      <c r="Z100" s="329">
        <f t="shared" si="3"/>
        <v>0</v>
      </c>
      <c r="AA100" s="32">
        <f t="shared" si="4"/>
        <v>0</v>
      </c>
      <c r="AB100" s="32">
        <f t="shared" si="5"/>
        <v>0</v>
      </c>
      <c r="AC100" s="32">
        <f t="shared" si="6"/>
        <v>0</v>
      </c>
    </row>
    <row r="101" ht="22.5" customHeight="1">
      <c r="A101" s="331" t="str">
        <f>Rooster!A102</f>
        <v/>
      </c>
      <c r="B101" s="396" t="str">
        <f>Rooster!B102</f>
        <v/>
      </c>
      <c r="C101" s="15" t="str">
        <f>Rooster!C102</f>
        <v/>
      </c>
      <c r="D101" s="11" t="str">
        <f>Rooster!D102</f>
        <v/>
      </c>
      <c r="E101" s="426"/>
      <c r="F101" s="331" t="str">
        <f>Rooster!E102</f>
        <v/>
      </c>
      <c r="G101" s="319" t="str">
        <f>IFERROR(VLOOKUP(F101, Docenten!$A$2:$G$30, 7, FALSE), "0")</f>
        <v>0</v>
      </c>
      <c r="H101" s="320">
        <f t="shared" si="7"/>
        <v>0</v>
      </c>
      <c r="I101" s="331" t="str">
        <f>Rooster!H102</f>
        <v/>
      </c>
      <c r="J101" s="321" t="str">
        <f>IFERROR(VLOOKUP(I101, Locaties!$A$2:$G$15, 7, FALSE), "0")</f>
        <v>0</v>
      </c>
      <c r="K101" s="42">
        <f t="shared" si="2"/>
        <v>0</v>
      </c>
      <c r="L101" s="450">
        <f>SUM(L2:L100)</f>
        <v>140</v>
      </c>
      <c r="M101" s="486"/>
      <c r="N101" s="487"/>
      <c r="O101" s="450">
        <f>SUM(O2:O100)</f>
        <v>70</v>
      </c>
      <c r="P101" s="451"/>
      <c r="Q101" s="325" t="str">
        <f>IFERROR(VLOOKUP(P101, Tarieven!$A$2:$J$150, 10, FALSE), "0")</f>
        <v>0</v>
      </c>
      <c r="R101" s="452">
        <f>SUM(R2:R100)</f>
        <v>24</v>
      </c>
      <c r="S101" s="451"/>
      <c r="T101" s="325" t="str">
        <f>IFERROR(VLOOKUP(S101, Tarieven!$A$2:$J$150, 10, FALSE), "0")</f>
        <v>0</v>
      </c>
      <c r="U101" s="413">
        <f>SUM(U2:U100)</f>
        <v>14</v>
      </c>
      <c r="V101" s="85"/>
      <c r="W101" s="325" t="str">
        <f>IFERROR(VLOOKUP(V101, Tarieven!$A$2:$J$150, 10, FALSE), "0")</f>
        <v>0</v>
      </c>
      <c r="X101" s="413">
        <f>SUM(X2:X100)</f>
        <v>220</v>
      </c>
      <c r="Y101" s="398">
        <v>0.0</v>
      </c>
      <c r="Z101" s="329">
        <f>SUM(Z2:Z100)</f>
        <v>468</v>
      </c>
      <c r="AA101" s="32">
        <f t="shared" si="4"/>
        <v>0</v>
      </c>
      <c r="AB101" s="32">
        <f t="shared" si="5"/>
        <v>0</v>
      </c>
      <c r="AC101" s="32">
        <f t="shared" si="6"/>
        <v>0</v>
      </c>
    </row>
  </sheetData>
  <conditionalFormatting sqref="AG7">
    <cfRule type="cellIs" dxfId="7" priority="1" operator="lessThan">
      <formula>0</formula>
    </cfRule>
  </conditionalFormatting>
  <conditionalFormatting sqref="AC2:AC101">
    <cfRule type="cellIs" dxfId="7" priority="2" operator="lessThan">
      <formula>0</formula>
    </cfRule>
  </conditionalFormatting>
  <dataValidations>
    <dataValidation type="list" allowBlank="1" sqref="A2:A101">
      <formula1>"Maandag,Dinsdag,Woensdag,Donderdag,Vrijdag,Zaterdag,Zondag"</formula1>
    </dataValidation>
    <dataValidation type="custom" allowBlank="1" showDropDown="1" sqref="B2:B101">
      <formula1>OR(TIMEVALUE(TEXT(B2, "hh:mm:ss"))=B2, AND(ISNUMBER(B2), LEFT(CELL("format", B2))="D"))</formula1>
    </dataValidation>
    <dataValidation type="custom" allowBlank="1" showDropDown="1" sqref="L2:L101 N2:N101 AA2:AB101">
      <formula1>AND(ISNUMBER(L2),(NOT(OR(NOT(ISERROR(DATEVALUE(L2))), AND(ISNUMBER(L2), LEFT(CELL("format", L2))="D")))))</formula1>
    </dataValidation>
    <dataValidation type="list" allowBlank="1" sqref="F2:F101 I2:I101 M2:M101 P2:P101 S2:S101 V2:V101">
      <formula1>#REF!</formula1>
    </dataValidation>
    <dataValidation allowBlank="1" showDropDown="1" sqref="D2:D101"/>
    <dataValidation type="custom" allowBlank="1" showDropDown="1" sqref="C2:C101 E2:E101 G2:H101 J2:K101 O2:O101 Q2:R101 T2:U101 W2:Z101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5.33"/>
    <col customWidth="1" min="2" max="2" width="13.67"/>
    <col customWidth="1" min="3" max="3" width="14.22"/>
    <col customWidth="1" min="4" max="4" width="22.0"/>
    <col customWidth="1" min="5" max="5" width="17.11"/>
    <col customWidth="1" min="6" max="6" width="15.11"/>
    <col customWidth="1" hidden="1" min="7" max="7" width="15.11"/>
    <col customWidth="1" min="8" max="9" width="15.11"/>
    <col customWidth="1" hidden="1" min="10" max="10" width="15.44"/>
    <col customWidth="1" min="11" max="11" width="15.44"/>
    <col customWidth="1" min="12" max="12" width="17.56"/>
    <col customWidth="1" min="13" max="13" width="20.0"/>
    <col customWidth="1" min="14" max="14" width="16.78"/>
    <col customWidth="1" min="15" max="15" width="17.56"/>
    <col customWidth="1" min="16" max="16" width="20.0"/>
    <col customWidth="1" min="17" max="17" width="14.78"/>
    <col customWidth="1" min="18" max="18" width="13.78"/>
    <col customWidth="1" min="19" max="19" width="20.0"/>
    <col customWidth="1" min="20" max="20" width="13.78"/>
    <col customWidth="1" min="21" max="21" width="16.67"/>
    <col customWidth="1" min="22" max="22" width="18.56"/>
    <col customWidth="1" min="23" max="23" width="13.78"/>
    <col customWidth="1" min="24" max="24" width="21.22"/>
    <col customWidth="1" min="25" max="25" width="20.56"/>
    <col customWidth="1" min="26" max="26" width="18.0"/>
    <col customWidth="1" min="27" max="27" width="16.33"/>
    <col customWidth="1" min="28" max="28" width="19.22"/>
    <col customWidth="1" min="29" max="30" width="16.89"/>
    <col customWidth="1" min="31" max="31" width="16.78"/>
    <col customWidth="1" min="32" max="32" width="16.89"/>
    <col customWidth="1" min="33" max="34" width="17.0"/>
  </cols>
  <sheetData>
    <row r="1" ht="22.5" customHeight="1">
      <c r="A1" s="1" t="s">
        <v>94</v>
      </c>
      <c r="B1" s="1" t="s">
        <v>95</v>
      </c>
      <c r="C1" s="1" t="s">
        <v>273</v>
      </c>
      <c r="D1" s="1" t="s">
        <v>98</v>
      </c>
      <c r="E1" s="302" t="s">
        <v>274</v>
      </c>
      <c r="F1" s="302" t="s">
        <v>99</v>
      </c>
      <c r="G1" s="303" t="s">
        <v>100</v>
      </c>
      <c r="H1" s="303" t="s">
        <v>275</v>
      </c>
      <c r="I1" s="304" t="s">
        <v>102</v>
      </c>
      <c r="J1" s="304" t="s">
        <v>103</v>
      </c>
      <c r="K1" s="304" t="s">
        <v>104</v>
      </c>
      <c r="L1" s="422" t="s">
        <v>276</v>
      </c>
      <c r="M1" s="422" t="s">
        <v>298</v>
      </c>
      <c r="N1" s="306" t="s">
        <v>278</v>
      </c>
      <c r="O1" s="423" t="s">
        <v>279</v>
      </c>
      <c r="P1" s="392" t="s">
        <v>300</v>
      </c>
      <c r="Q1" s="308" t="s">
        <v>281</v>
      </c>
      <c r="R1" s="424" t="s">
        <v>282</v>
      </c>
      <c r="S1" s="424" t="s">
        <v>302</v>
      </c>
      <c r="T1" s="310" t="s">
        <v>284</v>
      </c>
      <c r="U1" s="393" t="s">
        <v>285</v>
      </c>
      <c r="V1" s="393" t="s">
        <v>304</v>
      </c>
      <c r="W1" s="311" t="s">
        <v>305</v>
      </c>
      <c r="X1" s="394" t="s">
        <v>306</v>
      </c>
      <c r="Y1" s="395" t="s">
        <v>307</v>
      </c>
      <c r="Z1" s="314" t="s">
        <v>294</v>
      </c>
      <c r="AA1" s="314" t="s">
        <v>295</v>
      </c>
      <c r="AB1" s="1" t="s">
        <v>308</v>
      </c>
      <c r="AC1" s="1" t="s">
        <v>297</v>
      </c>
    </row>
    <row r="2" ht="22.5" customHeight="1">
      <c r="A2" s="331" t="str">
        <f>Rooster!A3</f>
        <v/>
      </c>
      <c r="B2" s="396" t="str">
        <f>Rooster!B3</f>
        <v/>
      </c>
      <c r="C2" s="15" t="str">
        <f>Rooster!C3</f>
        <v/>
      </c>
      <c r="D2" s="11" t="str">
        <f>Rooster!D3</f>
        <v/>
      </c>
      <c r="E2" s="77"/>
      <c r="F2" s="327" t="str">
        <f>Rooster!E3</f>
        <v/>
      </c>
      <c r="G2" s="319" t="str">
        <f>IFERROR(VLOOKUP(F2, Docenten!$A$2:$G$30, 7, FALSE), "0")</f>
        <v>0</v>
      </c>
      <c r="H2" s="320">
        <f t="shared" ref="H2:H42" si="1">SUM(G2/60)*C2</f>
        <v>0</v>
      </c>
      <c r="I2" s="327" t="str">
        <f>Rooster!H3</f>
        <v/>
      </c>
      <c r="J2" s="321" t="str">
        <f>IFERROR(VLOOKUP(I2, Locaties!$A$2:$G$15, 7, FALSE), "0")</f>
        <v>0</v>
      </c>
      <c r="K2" s="42">
        <f t="shared" ref="K2:K101" si="2">SUM(J2/60)*C2</f>
        <v>0</v>
      </c>
      <c r="L2" s="427" t="str">
        <f>April!L2</f>
        <v/>
      </c>
      <c r="M2" s="428" t="str">
        <f>April!M2</f>
        <v/>
      </c>
      <c r="N2" s="321" t="str">
        <f>IFERROR(VLOOKUP(M2, Tarieven!$A$1:$J$150, 10, FALSE), "0")</f>
        <v>0</v>
      </c>
      <c r="O2" s="427" t="str">
        <f>April!O2</f>
        <v/>
      </c>
      <c r="P2" s="428" t="str">
        <f>April!P2</f>
        <v/>
      </c>
      <c r="Q2" s="325" t="str">
        <f>IFERROR(VLOOKUP(P2, Tarieven!$A$2:$J$150, 10, FALSE), "0")</f>
        <v>0</v>
      </c>
      <c r="R2" s="444" t="str">
        <f>April!R2</f>
        <v/>
      </c>
      <c r="S2" s="428" t="str">
        <f>April!S2</f>
        <v/>
      </c>
      <c r="T2" s="325" t="str">
        <f>IFERROR(VLOOKUP(S2, Tarieven!$A$2:$J$150, 10, FALSE), "0")</f>
        <v>0</v>
      </c>
      <c r="U2" s="77" t="str">
        <f>April!U2</f>
        <v/>
      </c>
      <c r="V2" s="327" t="str">
        <f>April!V2</f>
        <v/>
      </c>
      <c r="W2" s="325" t="str">
        <f>IFERROR(VLOOKUP(V2, Tarieven!$A$2:$J$150, 10, FALSE), "0")</f>
        <v>0</v>
      </c>
      <c r="X2" s="138">
        <f>April!X2</f>
        <v>0</v>
      </c>
      <c r="Y2" s="398">
        <v>0.0</v>
      </c>
      <c r="Z2" s="329">
        <f t="shared" ref="Z2:Z100" si="3">SUM(L2+O2+R2+U2+X2)</f>
        <v>0</v>
      </c>
      <c r="AA2" s="32">
        <f t="shared" ref="AA2:AA101" si="4">SUM(H2+K2)*E2</f>
        <v>0</v>
      </c>
      <c r="AB2" s="32">
        <f t="shared" ref="AB2:AB101" si="5">SUM((L2*N2)+(O2*Q2)+(R2*T2)+(U2*W2)+Y2)</f>
        <v>0</v>
      </c>
      <c r="AC2" s="32">
        <f t="shared" ref="AC2:AC101" si="6">SUM(AB2-AA2)</f>
        <v>0</v>
      </c>
      <c r="AE2" s="154" t="s">
        <v>309</v>
      </c>
      <c r="AF2" s="154" t="s">
        <v>310</v>
      </c>
      <c r="AG2" s="109" t="s">
        <v>311</v>
      </c>
    </row>
    <row r="3" ht="22.5" customHeight="1">
      <c r="A3" s="331" t="str">
        <f>Rooster!A4</f>
        <v/>
      </c>
      <c r="B3" s="396" t="str">
        <f>Rooster!B4</f>
        <v/>
      </c>
      <c r="C3" s="15" t="str">
        <f>Rooster!C4</f>
        <v/>
      </c>
      <c r="D3" s="11" t="str">
        <f>Rooster!D4</f>
        <v/>
      </c>
      <c r="E3" s="77"/>
      <c r="F3" s="327" t="str">
        <f>Rooster!E4</f>
        <v/>
      </c>
      <c r="G3" s="319" t="str">
        <f>IFERROR(VLOOKUP(F3, Docenten!$A$2:$G$30, 7, FALSE), "0")</f>
        <v>0</v>
      </c>
      <c r="H3" s="320">
        <f t="shared" si="1"/>
        <v>0</v>
      </c>
      <c r="I3" s="327" t="str">
        <f>Rooster!H4</f>
        <v/>
      </c>
      <c r="J3" s="321" t="str">
        <f>IFERROR(VLOOKUP(I3, Locaties!$A$2:$G$15, 7, FALSE), "0")</f>
        <v>0</v>
      </c>
      <c r="K3" s="42">
        <f t="shared" si="2"/>
        <v>0</v>
      </c>
      <c r="L3" s="427" t="str">
        <f>April!L3</f>
        <v/>
      </c>
      <c r="M3" s="428" t="str">
        <f>April!M3</f>
        <v/>
      </c>
      <c r="N3" s="321" t="str">
        <f>IFERROR(VLOOKUP(M3, Tarieven!$A$1:$J$150, 10, FALSE), "0")</f>
        <v>0</v>
      </c>
      <c r="O3" s="427" t="str">
        <f>April!O3</f>
        <v/>
      </c>
      <c r="P3" s="428" t="str">
        <f>April!P3</f>
        <v/>
      </c>
      <c r="Q3" s="325" t="str">
        <f>IFERROR(VLOOKUP(P3, Tarieven!$A$2:$J$150, 10, FALSE), "0")</f>
        <v>0</v>
      </c>
      <c r="R3" s="444" t="str">
        <f>April!R3</f>
        <v/>
      </c>
      <c r="S3" s="428" t="str">
        <f>April!S3</f>
        <v/>
      </c>
      <c r="T3" s="325" t="str">
        <f>IFERROR(VLOOKUP(S3, Tarieven!$A$2:$J$150, 10, FALSE), "0")</f>
        <v>0</v>
      </c>
      <c r="U3" s="77" t="str">
        <f>April!U3</f>
        <v/>
      </c>
      <c r="V3" s="327" t="str">
        <f>April!V3</f>
        <v/>
      </c>
      <c r="W3" s="325" t="str">
        <f>IFERROR(VLOOKUP(V3, Tarieven!$A$2:$J$150, 10, FALSE), "0")</f>
        <v>0</v>
      </c>
      <c r="X3" s="138">
        <f>April!X3</f>
        <v>0</v>
      </c>
      <c r="Y3" s="398">
        <v>0.0</v>
      </c>
      <c r="Z3" s="329">
        <f t="shared" si="3"/>
        <v>0</v>
      </c>
      <c r="AA3" s="32">
        <f t="shared" si="4"/>
        <v>0</v>
      </c>
      <c r="AB3" s="32">
        <f t="shared" si="5"/>
        <v>0</v>
      </c>
      <c r="AC3" s="32">
        <f t="shared" si="6"/>
        <v>0</v>
      </c>
      <c r="AD3" s="130"/>
      <c r="AE3" s="159" t="s">
        <v>312</v>
      </c>
      <c r="AF3" s="32">
        <f>SUM(AB2:AB101)</f>
        <v>8131.350333</v>
      </c>
      <c r="AG3" s="160"/>
    </row>
    <row r="4" ht="22.5" customHeight="1">
      <c r="A4" s="331" t="str">
        <f>Rooster!A5</f>
        <v>Maandag</v>
      </c>
      <c r="B4" s="396">
        <f>Rooster!B5</f>
        <v>0.625</v>
      </c>
      <c r="C4" s="15">
        <f>Rooster!C5</f>
        <v>60</v>
      </c>
      <c r="D4" s="11" t="str">
        <f>Rooster!D5</f>
        <v>Kleuterdans</v>
      </c>
      <c r="E4" s="77"/>
      <c r="F4" s="327"/>
      <c r="G4" s="319" t="str">
        <f>IFERROR(VLOOKUP(F4, Docenten!$A$2:$G$30, 7, FALSE), "0")</f>
        <v>0</v>
      </c>
      <c r="H4" s="320">
        <f t="shared" si="1"/>
        <v>0</v>
      </c>
      <c r="I4" s="327"/>
      <c r="J4" s="321" t="str">
        <f>IFERROR(VLOOKUP(I4, Locaties!$A$2:$G$15, 7, FALSE), "0")</f>
        <v>0</v>
      </c>
      <c r="K4" s="42">
        <f t="shared" si="2"/>
        <v>0</v>
      </c>
      <c r="L4" s="427" t="str">
        <f>April!L4</f>
        <v/>
      </c>
      <c r="M4" s="428" t="str">
        <f>April!M4</f>
        <v/>
      </c>
      <c r="N4" s="321" t="str">
        <f>IFERROR(VLOOKUP(M4, Tarieven!$A$1:$J$150, 10, FALSE), "0")</f>
        <v>0</v>
      </c>
      <c r="O4" s="427" t="str">
        <f>April!O4</f>
        <v/>
      </c>
      <c r="P4" s="428" t="str">
        <f>April!P4</f>
        <v/>
      </c>
      <c r="Q4" s="325" t="str">
        <f>IFERROR(VLOOKUP(P4, Tarieven!$A$2:$J$150, 10, FALSE), "0")</f>
        <v>0</v>
      </c>
      <c r="R4" s="444" t="str">
        <f>April!R4</f>
        <v/>
      </c>
      <c r="S4" s="428" t="str">
        <f>April!S4</f>
        <v/>
      </c>
      <c r="T4" s="325" t="str">
        <f>IFERROR(VLOOKUP(S4, Tarieven!$A$2:$J$150, 10, FALSE), "0")</f>
        <v>0</v>
      </c>
      <c r="U4" s="77" t="str">
        <f>April!U4</f>
        <v/>
      </c>
      <c r="V4" s="327" t="str">
        <f>April!V4</f>
        <v/>
      </c>
      <c r="W4" s="325" t="str">
        <f>IFERROR(VLOOKUP(V4, Tarieven!$A$2:$J$150, 10, FALSE), "0")</f>
        <v>0</v>
      </c>
      <c r="X4" s="138">
        <f>April!X4</f>
        <v>0</v>
      </c>
      <c r="Y4" s="398">
        <v>0.0</v>
      </c>
      <c r="Z4" s="329">
        <f t="shared" si="3"/>
        <v>0</v>
      </c>
      <c r="AA4" s="32">
        <f t="shared" si="4"/>
        <v>0</v>
      </c>
      <c r="AB4" s="32">
        <f t="shared" si="5"/>
        <v>0</v>
      </c>
      <c r="AC4" s="32">
        <f t="shared" si="6"/>
        <v>0</v>
      </c>
      <c r="AD4" s="130"/>
      <c r="AE4" s="159" t="s">
        <v>313</v>
      </c>
      <c r="AF4" s="32">
        <f>'Extra activiteiten'!K11</f>
        <v>41040</v>
      </c>
      <c r="AG4" s="159"/>
    </row>
    <row r="5" ht="22.5" customHeight="1">
      <c r="A5" s="17" t="s">
        <v>112</v>
      </c>
      <c r="B5" s="396">
        <v>0.625</v>
      </c>
      <c r="C5" s="15">
        <v>60.0</v>
      </c>
      <c r="D5" s="11" t="s">
        <v>130</v>
      </c>
      <c r="E5" s="77">
        <v>0.0</v>
      </c>
      <c r="F5" s="70" t="s">
        <v>56</v>
      </c>
      <c r="G5" s="319">
        <f>IFERROR(VLOOKUP(F5, Docenten!$A$2:$G$30, 7, FALSE), "0")</f>
        <v>22.5</v>
      </c>
      <c r="H5" s="320">
        <f t="shared" si="1"/>
        <v>22.5</v>
      </c>
      <c r="I5" s="327" t="str">
        <f>Rooster!H6</f>
        <v>Santpoort Zuid</v>
      </c>
      <c r="J5" s="321"/>
      <c r="K5" s="42">
        <f t="shared" si="2"/>
        <v>0</v>
      </c>
      <c r="L5" s="427" t="str">
        <f>April!L5</f>
        <v/>
      </c>
      <c r="M5" s="428" t="str">
        <f>April!M5</f>
        <v/>
      </c>
      <c r="N5" s="321" t="str">
        <f>IFERROR(VLOOKUP(M5, Tarieven!$A$1:$J$150, 10, FALSE), "0")</f>
        <v>0</v>
      </c>
      <c r="O5" s="427" t="str">
        <f>April!O5</f>
        <v/>
      </c>
      <c r="P5" s="428" t="str">
        <f>April!P5</f>
        <v/>
      </c>
      <c r="Q5" s="325" t="str">
        <f>IFERROR(VLOOKUP(P5, Tarieven!$A$2:$J$150, 10, FALSE), "0")</f>
        <v>0</v>
      </c>
      <c r="R5" s="444" t="str">
        <f>April!R5</f>
        <v/>
      </c>
      <c r="S5" s="428" t="str">
        <f>April!S5</f>
        <v/>
      </c>
      <c r="T5" s="325" t="str">
        <f>IFERROR(VLOOKUP(S5, Tarieven!$A$2:$J$150, 10, FALSE), "0")</f>
        <v>0</v>
      </c>
      <c r="U5" s="77" t="str">
        <f>April!U5</f>
        <v/>
      </c>
      <c r="V5" s="327" t="str">
        <f>April!V5</f>
        <v/>
      </c>
      <c r="W5" s="325" t="str">
        <f>IFERROR(VLOOKUP(V5, Tarieven!$A$2:$J$150, 10, FALSE), "0")</f>
        <v>0</v>
      </c>
      <c r="X5" s="138">
        <f>April!X5</f>
        <v>0</v>
      </c>
      <c r="Y5" s="398">
        <v>0.0</v>
      </c>
      <c r="Z5" s="329">
        <f t="shared" si="3"/>
        <v>0</v>
      </c>
      <c r="AA5" s="32">
        <f t="shared" si="4"/>
        <v>0</v>
      </c>
      <c r="AB5" s="32">
        <f t="shared" si="5"/>
        <v>0</v>
      </c>
      <c r="AC5" s="32">
        <f t="shared" si="6"/>
        <v>0</v>
      </c>
      <c r="AE5" s="159" t="s">
        <v>314</v>
      </c>
      <c r="AF5" s="32">
        <f>SUM(Mei[Kosten per maand])</f>
        <v>3103.95</v>
      </c>
      <c r="AG5" s="159"/>
    </row>
    <row r="6" ht="22.5" customHeight="1">
      <c r="A6" s="331" t="str">
        <f>Rooster!A7</f>
        <v>Maandag</v>
      </c>
      <c r="B6" s="396">
        <f>Rooster!B7</f>
        <v>0.6666666667</v>
      </c>
      <c r="C6" s="15">
        <f>Rooster!C7</f>
        <v>60</v>
      </c>
      <c r="D6" s="11" t="str">
        <f>Rooster!D7</f>
        <v>Urban-Pop-Show 10+</v>
      </c>
      <c r="E6" s="77">
        <v>3.0</v>
      </c>
      <c r="F6" s="70" t="s">
        <v>318</v>
      </c>
      <c r="G6" s="319" t="str">
        <f>IFERROR(VLOOKUP(F6, Docenten!$A$2:$G$30, 7, FALSE), "0")</f>
        <v>0</v>
      </c>
      <c r="H6" s="320">
        <f t="shared" si="1"/>
        <v>0</v>
      </c>
      <c r="I6" s="327" t="str">
        <f>Rooster!H7</f>
        <v>Santpoort Zuid</v>
      </c>
      <c r="J6" s="321">
        <f>IFERROR(VLOOKUP(I6, Locaties!$A$2:$G$15, 7, FALSE), "0")</f>
        <v>18.9</v>
      </c>
      <c r="K6" s="42">
        <f t="shared" si="2"/>
        <v>18.9</v>
      </c>
      <c r="L6" s="427">
        <f>April!L6</f>
        <v>7</v>
      </c>
      <c r="M6" s="428" t="str">
        <f>April!M6</f>
        <v>1x per week abbo</v>
      </c>
      <c r="N6" s="321">
        <f>IFERROR(VLOOKUP(M6, Tarieven!$A$1:$J$150, 10, FALSE), "0")</f>
        <v>31</v>
      </c>
      <c r="O6" s="427">
        <f>April!O6</f>
        <v>1</v>
      </c>
      <c r="P6" s="428" t="str">
        <f>April!P6</f>
        <v>Cheer regulier +1 abbo</v>
      </c>
      <c r="Q6" s="325">
        <f>IFERROR(VLOOKUP(P6, Tarieven!$A$2:$J$150, 10, FALSE), "0")</f>
        <v>32.25</v>
      </c>
      <c r="R6" s="444">
        <f>April!R6</f>
        <v>1</v>
      </c>
      <c r="S6" s="428" t="str">
        <f>April!S6</f>
        <v>2x per week abbo</v>
      </c>
      <c r="T6" s="325">
        <f>IFERROR(VLOOKUP(S6, Tarieven!$A$2:$J$150, 10, FALSE), "0")</f>
        <v>28.55</v>
      </c>
      <c r="U6" s="77">
        <f>April!U6</f>
        <v>1</v>
      </c>
      <c r="V6" s="327" t="str">
        <f>April!V6</f>
        <v>Cheer regulier + onbeperkt abbo</v>
      </c>
      <c r="W6" s="325">
        <f>IFERROR(VLOOKUP(V6, Tarieven!$A$2:$J$150, 10, FALSE), "0")</f>
        <v>44.45</v>
      </c>
      <c r="X6" s="138">
        <f>April!X6</f>
        <v>4</v>
      </c>
      <c r="Y6" s="398">
        <v>0.0</v>
      </c>
      <c r="Z6" s="329">
        <f t="shared" si="3"/>
        <v>14</v>
      </c>
      <c r="AA6" s="32">
        <f t="shared" si="4"/>
        <v>56.7</v>
      </c>
      <c r="AB6" s="32">
        <f t="shared" si="5"/>
        <v>322.25</v>
      </c>
      <c r="AC6" s="32">
        <f t="shared" si="6"/>
        <v>265.55</v>
      </c>
      <c r="AD6" s="130"/>
      <c r="AE6" s="159" t="s">
        <v>315</v>
      </c>
      <c r="AF6" s="408">
        <f>Kosten!K69</f>
        <v>28554.99</v>
      </c>
      <c r="AG6" s="159" t="s">
        <v>316</v>
      </c>
    </row>
    <row r="7" ht="22.5" customHeight="1">
      <c r="A7" s="331" t="str">
        <f>Rooster!A8</f>
        <v>Maandag</v>
      </c>
      <c r="B7" s="396">
        <f>Rooster!B8</f>
        <v>0.7083333333</v>
      </c>
      <c r="C7" s="15">
        <f>Rooster!C8</f>
        <v>60</v>
      </c>
      <c r="D7" s="11" t="str">
        <f>Rooster!D8</f>
        <v>Urban-Pop-Show 12+</v>
      </c>
      <c r="E7" s="77">
        <v>3.0</v>
      </c>
      <c r="F7" s="327" t="str">
        <f>Rooster!E8</f>
        <v>Nova</v>
      </c>
      <c r="G7" s="319">
        <f>IFERROR(VLOOKUP(F7, Docenten!$A$2:$G$30, 7, FALSE), "0")</f>
        <v>22.5</v>
      </c>
      <c r="H7" s="320">
        <f t="shared" si="1"/>
        <v>22.5</v>
      </c>
      <c r="I7" s="327" t="str">
        <f>Rooster!H8</f>
        <v>Santpoort Zuid</v>
      </c>
      <c r="J7" s="321">
        <f>IFERROR(VLOOKUP(I7, Locaties!$A$2:$G$15, 7, FALSE), "0")</f>
        <v>18.9</v>
      </c>
      <c r="K7" s="42">
        <f t="shared" si="2"/>
        <v>18.9</v>
      </c>
      <c r="L7" s="427">
        <f>April!L7</f>
        <v>3</v>
      </c>
      <c r="M7" s="428" t="str">
        <f>April!M7</f>
        <v>2x per week abbo</v>
      </c>
      <c r="N7" s="321">
        <f>IFERROR(VLOOKUP(M7, Tarieven!$A$1:$J$150, 10, FALSE), "0")</f>
        <v>28.55</v>
      </c>
      <c r="O7" s="427">
        <f>April!O7</f>
        <v>1</v>
      </c>
      <c r="P7" s="428" t="str">
        <f>April!P7</f>
        <v>1x per week </v>
      </c>
      <c r="Q7" s="325">
        <f>IFERROR(VLOOKUP(P7, Tarieven!$A$2:$J$150, 10, FALSE), "0")</f>
        <v>279</v>
      </c>
      <c r="R7" s="444">
        <f>April!R7</f>
        <v>1</v>
      </c>
      <c r="S7" s="428" t="str">
        <f>April!S7</f>
        <v>Cheer regulier +1 abbo</v>
      </c>
      <c r="T7" s="325">
        <f>IFERROR(VLOOKUP(S7, Tarieven!$A$2:$J$150, 10, FALSE), "0")</f>
        <v>32.25</v>
      </c>
      <c r="U7" s="77" t="str">
        <f>April!U7</f>
        <v/>
      </c>
      <c r="V7" s="327" t="str">
        <f>April!V7</f>
        <v/>
      </c>
      <c r="W7" s="325" t="str">
        <f>IFERROR(VLOOKUP(V7, Tarieven!$A$2:$J$150, 10, FALSE), "0")</f>
        <v>0</v>
      </c>
      <c r="X7" s="138">
        <f>April!X7</f>
        <v>11</v>
      </c>
      <c r="Y7" s="398">
        <v>0.0</v>
      </c>
      <c r="Z7" s="329">
        <f t="shared" si="3"/>
        <v>16</v>
      </c>
      <c r="AA7" s="32">
        <f t="shared" si="4"/>
        <v>124.2</v>
      </c>
      <c r="AB7" s="32">
        <f t="shared" si="5"/>
        <v>396.9</v>
      </c>
      <c r="AC7" s="32">
        <f t="shared" si="6"/>
        <v>272.7</v>
      </c>
      <c r="AD7" s="409"/>
      <c r="AE7" s="410" t="s">
        <v>317</v>
      </c>
      <c r="AF7" s="411">
        <f>SUM(AF3+AF4)-AF5-AF6</f>
        <v>17512.41033</v>
      </c>
      <c r="AG7" s="412">
        <f>'Doel vs Werkelijkheid'!B2</f>
        <v>3000</v>
      </c>
    </row>
    <row r="8" ht="22.5" customHeight="1">
      <c r="A8" s="331" t="str">
        <f>Rooster!A9</f>
        <v>Maandag</v>
      </c>
      <c r="B8" s="396">
        <f>Rooster!B9</f>
        <v>0.75</v>
      </c>
      <c r="C8" s="15">
        <f>Rooster!C9</f>
        <v>60</v>
      </c>
      <c r="D8" s="11" t="str">
        <f>Rooster!D9</f>
        <v>Selectie Show</v>
      </c>
      <c r="E8" s="77">
        <v>3.0</v>
      </c>
      <c r="F8" s="327" t="str">
        <f>Rooster!E9</f>
        <v>Nova</v>
      </c>
      <c r="G8" s="319">
        <f>IFERROR(VLOOKUP(F8, Docenten!$A$2:$G$30, 7, FALSE), "0")</f>
        <v>22.5</v>
      </c>
      <c r="H8" s="320">
        <f t="shared" si="1"/>
        <v>22.5</v>
      </c>
      <c r="I8" s="327" t="str">
        <f>Rooster!H9</f>
        <v>Santpoort Zuid</v>
      </c>
      <c r="J8" s="321">
        <f>IFERROR(VLOOKUP(I8, Locaties!$A$2:$G$15, 7, FALSE), "0")</f>
        <v>18.9</v>
      </c>
      <c r="K8" s="42">
        <f t="shared" si="2"/>
        <v>18.9</v>
      </c>
      <c r="L8" s="427" t="str">
        <f>April!L8</f>
        <v/>
      </c>
      <c r="M8" s="428" t="str">
        <f>April!M8</f>
        <v/>
      </c>
      <c r="N8" s="321" t="str">
        <f>IFERROR(VLOOKUP(M8, Tarieven!$A$1:$J$150, 10, FALSE), "0")</f>
        <v>0</v>
      </c>
      <c r="O8" s="427">
        <f>April!O8</f>
        <v>3</v>
      </c>
      <c r="P8" s="428" t="str">
        <f>April!P8</f>
        <v>2x per week abbo</v>
      </c>
      <c r="Q8" s="325">
        <f>IFERROR(VLOOKUP(P8, Tarieven!$A$2:$J$150, 10, FALSE), "0")</f>
        <v>28.55</v>
      </c>
      <c r="R8" s="444">
        <f>April!R8</f>
        <v>2</v>
      </c>
      <c r="S8" s="428" t="str">
        <f>April!S8</f>
        <v>3x per week abbo</v>
      </c>
      <c r="T8" s="325">
        <f>IFERROR(VLOOKUP(S8, Tarieven!$A$2:$J$150, 10, FALSE), "0")</f>
        <v>28.93333333</v>
      </c>
      <c r="U8" s="77">
        <f>April!U8</f>
        <v>3</v>
      </c>
      <c r="V8" s="327" t="str">
        <f>April!V8</f>
        <v>Onbeperkt abbo</v>
      </c>
      <c r="W8" s="325">
        <f>IFERROR(VLOOKUP(V8, Tarieven!$A$2:$J$150, 10, FALSE), "0")</f>
        <v>27</v>
      </c>
      <c r="X8" s="138">
        <f>April!X8</f>
        <v>4</v>
      </c>
      <c r="Y8" s="398">
        <v>0.0</v>
      </c>
      <c r="Z8" s="329">
        <f t="shared" si="3"/>
        <v>12</v>
      </c>
      <c r="AA8" s="32">
        <f t="shared" si="4"/>
        <v>124.2</v>
      </c>
      <c r="AB8" s="32">
        <f t="shared" si="5"/>
        <v>224.5166667</v>
      </c>
      <c r="AC8" s="32">
        <f t="shared" si="6"/>
        <v>100.3166667</v>
      </c>
      <c r="AE8" s="160"/>
      <c r="AF8" s="160"/>
      <c r="AG8" s="160"/>
    </row>
    <row r="9" ht="22.5" customHeight="1">
      <c r="A9" s="331" t="str">
        <f>Rooster!A10</f>
        <v>Maandag</v>
      </c>
      <c r="B9" s="396">
        <f>Rooster!B10</f>
        <v>0.7916666667</v>
      </c>
      <c r="C9" s="15">
        <f>Rooster!C10</f>
        <v>60</v>
      </c>
      <c r="D9" s="11" t="str">
        <f>Rooster!D10</f>
        <v>Commercial 16+</v>
      </c>
      <c r="E9" s="77">
        <v>3.0</v>
      </c>
      <c r="F9" s="327" t="str">
        <f>Rooster!E10</f>
        <v>Nova</v>
      </c>
      <c r="G9" s="319">
        <f>IFERROR(VLOOKUP(F9, Docenten!$A$2:$G$30, 7, FALSE), "0")</f>
        <v>22.5</v>
      </c>
      <c r="H9" s="320">
        <f t="shared" si="1"/>
        <v>22.5</v>
      </c>
      <c r="I9" s="327" t="str">
        <f>Rooster!H10</f>
        <v>Santpoort Zuid</v>
      </c>
      <c r="J9" s="321">
        <f>IFERROR(VLOOKUP(I9, Locaties!$A$2:$G$15, 7, FALSE), "0")</f>
        <v>18.9</v>
      </c>
      <c r="K9" s="42">
        <f t="shared" si="2"/>
        <v>18.9</v>
      </c>
      <c r="L9" s="427">
        <f>April!L9</f>
        <v>2</v>
      </c>
      <c r="M9" s="428" t="str">
        <f>April!M9</f>
        <v>3x per week abbo</v>
      </c>
      <c r="N9" s="321">
        <f>IFERROR(VLOOKUP(M9, Tarieven!$A$1:$J$150, 10, FALSE), "0")</f>
        <v>28.93333333</v>
      </c>
      <c r="O9" s="427">
        <f>April!O9</f>
        <v>3</v>
      </c>
      <c r="P9" s="428" t="str">
        <f>April!P9</f>
        <v>2x per week abbo</v>
      </c>
      <c r="Q9" s="325">
        <f>IFERROR(VLOOKUP(P9, Tarieven!$A$2:$J$150, 10, FALSE), "0")</f>
        <v>28.55</v>
      </c>
      <c r="R9" s="444">
        <f>April!R9</f>
        <v>2</v>
      </c>
      <c r="S9" s="428" t="str">
        <f>April!S9</f>
        <v>Onbeperkt abbo</v>
      </c>
      <c r="T9" s="325">
        <f>IFERROR(VLOOKUP(S9, Tarieven!$A$2:$J$150, 10, FALSE), "0")</f>
        <v>27</v>
      </c>
      <c r="U9" s="77">
        <f>April!U9</f>
        <v>2</v>
      </c>
      <c r="V9" s="327" t="str">
        <f>April!V9</f>
        <v>1x per week abbo</v>
      </c>
      <c r="W9" s="325">
        <f>IFERROR(VLOOKUP(V9, Tarieven!$A$2:$J$150, 10, FALSE), "0")</f>
        <v>31</v>
      </c>
      <c r="X9" s="138">
        <f>April!X9</f>
        <v>5</v>
      </c>
      <c r="Y9" s="398">
        <v>0.0</v>
      </c>
      <c r="Z9" s="329">
        <f t="shared" si="3"/>
        <v>14</v>
      </c>
      <c r="AA9" s="32">
        <f t="shared" si="4"/>
        <v>124.2</v>
      </c>
      <c r="AB9" s="32">
        <f t="shared" si="5"/>
        <v>259.5166667</v>
      </c>
      <c r="AC9" s="32">
        <f t="shared" si="6"/>
        <v>135.3166667</v>
      </c>
      <c r="AE9" s="159" t="s">
        <v>19</v>
      </c>
      <c r="AF9" s="413">
        <f>Z101</f>
        <v>461</v>
      </c>
      <c r="AG9" s="160"/>
    </row>
    <row r="10" ht="22.5" customHeight="1">
      <c r="A10" s="331" t="str">
        <f>Rooster!A11</f>
        <v>Maandag</v>
      </c>
      <c r="B10" s="396">
        <f>Rooster!B11</f>
        <v>0.8333333333</v>
      </c>
      <c r="C10" s="15">
        <f>Rooster!C11</f>
        <v>60</v>
      </c>
      <c r="D10" s="11" t="str">
        <f>Rooster!D11</f>
        <v>Commercial 20+</v>
      </c>
      <c r="E10" s="77">
        <v>3.0</v>
      </c>
      <c r="F10" s="327" t="str">
        <f>Rooster!E11</f>
        <v>Nova</v>
      </c>
      <c r="G10" s="319">
        <f>IFERROR(VLOOKUP(F10, Docenten!$A$2:$G$30, 7, FALSE), "0")</f>
        <v>22.5</v>
      </c>
      <c r="H10" s="320">
        <f t="shared" si="1"/>
        <v>22.5</v>
      </c>
      <c r="I10" s="327" t="str">
        <f>Rooster!H11</f>
        <v>Santpoort Zuid</v>
      </c>
      <c r="J10" s="321">
        <f>IFERROR(VLOOKUP(I10, Locaties!$A$2:$G$15, 7, FALSE), "0")</f>
        <v>18.9</v>
      </c>
      <c r="K10" s="42">
        <f t="shared" si="2"/>
        <v>18.9</v>
      </c>
      <c r="L10" s="427">
        <f>April!L10</f>
        <v>5</v>
      </c>
      <c r="M10" s="428" t="str">
        <f>April!M10</f>
        <v>Volwassenen 2x abbo</v>
      </c>
      <c r="N10" s="321">
        <f>IFERROR(VLOOKUP(M10, Tarieven!$A$1:$J$150, 10, FALSE), "0")</f>
        <v>27.255</v>
      </c>
      <c r="O10" s="427">
        <f>April!O10</f>
        <v>2</v>
      </c>
      <c r="P10" s="428" t="str">
        <f>April!P10</f>
        <v>Volwassenen 1x abbo</v>
      </c>
      <c r="Q10" s="325">
        <f>IFERROR(VLOOKUP(P10, Tarieven!$A$2:$J$150, 10, FALSE), "0")</f>
        <v>25.596</v>
      </c>
      <c r="R10" s="444" t="str">
        <f>April!R10</f>
        <v/>
      </c>
      <c r="S10" s="428" t="str">
        <f>April!S10</f>
        <v/>
      </c>
      <c r="T10" s="325" t="str">
        <f>IFERROR(VLOOKUP(S10, Tarieven!$A$2:$J$150, 10, FALSE), "0")</f>
        <v>0</v>
      </c>
      <c r="U10" s="77" t="str">
        <f>April!U10</f>
        <v/>
      </c>
      <c r="V10" s="327" t="str">
        <f>April!V10</f>
        <v/>
      </c>
      <c r="W10" s="325" t="str">
        <f>IFERROR(VLOOKUP(V10, Tarieven!$A$2:$J$150, 10, FALSE), "0")</f>
        <v>0</v>
      </c>
      <c r="X10" s="138">
        <f>April!X10</f>
        <v>8</v>
      </c>
      <c r="Y10" s="398">
        <v>0.0</v>
      </c>
      <c r="Z10" s="329">
        <f t="shared" si="3"/>
        <v>15</v>
      </c>
      <c r="AA10" s="32">
        <f t="shared" si="4"/>
        <v>124.2</v>
      </c>
      <c r="AB10" s="32">
        <f t="shared" si="5"/>
        <v>187.467</v>
      </c>
      <c r="AC10" s="32">
        <f t="shared" si="6"/>
        <v>63.267</v>
      </c>
      <c r="AE10" s="330"/>
      <c r="AF10" s="330"/>
    </row>
    <row r="11" ht="22.5" customHeight="1">
      <c r="A11" s="331" t="str">
        <f>Rooster!A12</f>
        <v>Maandag</v>
      </c>
      <c r="B11" s="396">
        <f>Rooster!B12</f>
        <v>0.875</v>
      </c>
      <c r="C11" s="15">
        <f>Rooster!C12</f>
        <v>60</v>
      </c>
      <c r="D11" s="11" t="str">
        <f>Rooster!D12</f>
        <v>Jazz 20+</v>
      </c>
      <c r="E11" s="77">
        <v>3.0</v>
      </c>
      <c r="F11" s="327" t="str">
        <f>Rooster!E12</f>
        <v>Nova</v>
      </c>
      <c r="G11" s="319">
        <f>IFERROR(VLOOKUP(F11, Docenten!$A$2:$G$30, 7, FALSE), "0")</f>
        <v>22.5</v>
      </c>
      <c r="H11" s="320">
        <f t="shared" si="1"/>
        <v>22.5</v>
      </c>
      <c r="I11" s="327" t="str">
        <f>Rooster!H12</f>
        <v>Santpoort Zuid</v>
      </c>
      <c r="J11" s="321">
        <f>IFERROR(VLOOKUP(I11, Locaties!$A$2:$G$15, 7, FALSE), "0")</f>
        <v>18.9</v>
      </c>
      <c r="K11" s="42">
        <f t="shared" si="2"/>
        <v>18.9</v>
      </c>
      <c r="L11" s="427">
        <f>April!L11</f>
        <v>4</v>
      </c>
      <c r="M11" s="428" t="str">
        <f>April!M11</f>
        <v>Volwassenen 2x abbo</v>
      </c>
      <c r="N11" s="321">
        <f>IFERROR(VLOOKUP(M11, Tarieven!$A$1:$J$150, 10, FALSE), "0")</f>
        <v>27.255</v>
      </c>
      <c r="O11" s="427">
        <f>April!O11</f>
        <v>1</v>
      </c>
      <c r="P11" s="428" t="str">
        <f>April!P11</f>
        <v>Volwassenen 1x</v>
      </c>
      <c r="Q11" s="325">
        <f>IFERROR(VLOOKUP(P11, Tarieven!$A$2:$J$150, 10, FALSE), "0")</f>
        <v>266.23</v>
      </c>
      <c r="R11" s="444" t="str">
        <f>April!R11</f>
        <v/>
      </c>
      <c r="S11" s="428" t="str">
        <f>April!S11</f>
        <v/>
      </c>
      <c r="T11" s="325" t="str">
        <f>IFERROR(VLOOKUP(S11, Tarieven!$A$2:$J$150, 10, FALSE), "0")</f>
        <v>0</v>
      </c>
      <c r="U11" s="77" t="str">
        <f>April!U11</f>
        <v/>
      </c>
      <c r="V11" s="327" t="str">
        <f>April!V11</f>
        <v/>
      </c>
      <c r="W11" s="325" t="str">
        <f>IFERROR(VLOOKUP(V11, Tarieven!$A$2:$J$150, 10, FALSE), "0")</f>
        <v>0</v>
      </c>
      <c r="X11" s="138">
        <f>April!X11</f>
        <v>4</v>
      </c>
      <c r="Y11" s="398">
        <v>0.0</v>
      </c>
      <c r="Z11" s="329">
        <f t="shared" si="3"/>
        <v>9</v>
      </c>
      <c r="AA11" s="32">
        <f t="shared" si="4"/>
        <v>124.2</v>
      </c>
      <c r="AB11" s="32">
        <f t="shared" si="5"/>
        <v>375.25</v>
      </c>
      <c r="AC11" s="32">
        <f t="shared" si="6"/>
        <v>251.05</v>
      </c>
      <c r="AE11" s="330"/>
      <c r="AF11" s="330"/>
    </row>
    <row r="12" ht="22.5" customHeight="1">
      <c r="A12" s="331" t="str">
        <f>Rooster!A13</f>
        <v>Maandag</v>
      </c>
      <c r="B12" s="396">
        <f>Rooster!B13</f>
        <v>0.6666666667</v>
      </c>
      <c r="C12" s="15">
        <f>Rooster!C13</f>
        <v>60</v>
      </c>
      <c r="D12" s="11" t="str">
        <f>Rooster!D13</f>
        <v>Streetdance 6+</v>
      </c>
      <c r="E12" s="77">
        <v>3.0</v>
      </c>
      <c r="F12" s="327" t="str">
        <f>Rooster!E13</f>
        <v>Julia</v>
      </c>
      <c r="G12" s="319">
        <f>IFERROR(VLOOKUP(F12, Docenten!$A$2:$G$30, 7, FALSE), "0")</f>
        <v>15</v>
      </c>
      <c r="H12" s="320">
        <f t="shared" si="1"/>
        <v>15</v>
      </c>
      <c r="I12" s="327" t="str">
        <f>Rooster!H13</f>
        <v>Santpoort Noord</v>
      </c>
      <c r="J12" s="321">
        <f>IFERROR(VLOOKUP(I12, Locaties!$A$2:$G$15, 7, FALSE), "0")</f>
        <v>14.2</v>
      </c>
      <c r="K12" s="42">
        <f t="shared" si="2"/>
        <v>14.2</v>
      </c>
      <c r="L12" s="427">
        <f>April!L12</f>
        <v>2</v>
      </c>
      <c r="M12" s="428" t="str">
        <f>April!M12</f>
        <v>2x per week abbo</v>
      </c>
      <c r="N12" s="321">
        <f>IFERROR(VLOOKUP(M12, Tarieven!$A$1:$J$150, 10, FALSE), "0")</f>
        <v>28.55</v>
      </c>
      <c r="O12" s="427">
        <f>April!O12</f>
        <v>8</v>
      </c>
      <c r="P12" s="428" t="str">
        <f>April!P12</f>
        <v>1x per week abbo</v>
      </c>
      <c r="Q12" s="325">
        <f>IFERROR(VLOOKUP(P12, Tarieven!$A$2:$J$150, 10, FALSE), "0")</f>
        <v>31</v>
      </c>
      <c r="R12" s="444" t="str">
        <f>April!R12</f>
        <v/>
      </c>
      <c r="S12" s="428" t="str">
        <f>April!S12</f>
        <v/>
      </c>
      <c r="T12" s="325" t="str">
        <f>IFERROR(VLOOKUP(S12, Tarieven!$A$2:$J$150, 10, FALSE), "0")</f>
        <v>0</v>
      </c>
      <c r="U12" s="77" t="str">
        <f>April!U12</f>
        <v/>
      </c>
      <c r="V12" s="327" t="str">
        <f>April!V12</f>
        <v/>
      </c>
      <c r="W12" s="325" t="str">
        <f>IFERROR(VLOOKUP(V12, Tarieven!$A$2:$J$150, 10, FALSE), "0")</f>
        <v>0</v>
      </c>
      <c r="X12" s="138">
        <f>April!X12</f>
        <v>2</v>
      </c>
      <c r="Y12" s="398">
        <v>0.0</v>
      </c>
      <c r="Z12" s="329">
        <f t="shared" si="3"/>
        <v>12</v>
      </c>
      <c r="AA12" s="32">
        <f t="shared" si="4"/>
        <v>87.6</v>
      </c>
      <c r="AB12" s="32">
        <f t="shared" si="5"/>
        <v>305.1</v>
      </c>
      <c r="AC12" s="32">
        <f t="shared" si="6"/>
        <v>217.5</v>
      </c>
      <c r="AE12" s="330"/>
      <c r="AF12" s="330"/>
    </row>
    <row r="13" ht="22.5" customHeight="1">
      <c r="A13" s="331" t="str">
        <f>Rooster!A14</f>
        <v>Maandag</v>
      </c>
      <c r="B13" s="396">
        <f>Rooster!B14</f>
        <v>0.7083333333</v>
      </c>
      <c r="C13" s="15">
        <f>Rooster!C14</f>
        <v>60</v>
      </c>
      <c r="D13" s="11" t="str">
        <f>Rooster!D14</f>
        <v>Streetdance 8+</v>
      </c>
      <c r="E13" s="77">
        <v>3.0</v>
      </c>
      <c r="F13" s="327" t="str">
        <f>Rooster!E14</f>
        <v>Julia</v>
      </c>
      <c r="G13" s="319">
        <f>IFERROR(VLOOKUP(F13, Docenten!$A$2:$G$30, 7, FALSE), "0")</f>
        <v>15</v>
      </c>
      <c r="H13" s="320">
        <f t="shared" si="1"/>
        <v>15</v>
      </c>
      <c r="I13" s="327" t="str">
        <f>Rooster!H14</f>
        <v>Santpoort Noord</v>
      </c>
      <c r="J13" s="321">
        <f>IFERROR(VLOOKUP(I13, Locaties!$A$2:$G$15, 7, FALSE), "0")</f>
        <v>14.2</v>
      </c>
      <c r="K13" s="42">
        <f t="shared" si="2"/>
        <v>14.2</v>
      </c>
      <c r="L13" s="427">
        <f>April!L13</f>
        <v>1</v>
      </c>
      <c r="M13" s="428" t="str">
        <f>April!M13</f>
        <v>1x per week abbo</v>
      </c>
      <c r="N13" s="321">
        <f>IFERROR(VLOOKUP(M13, Tarieven!$A$1:$J$150, 10, FALSE), "0")</f>
        <v>31</v>
      </c>
      <c r="O13" s="427">
        <f>April!O13</f>
        <v>5</v>
      </c>
      <c r="P13" s="428" t="str">
        <f>April!P13</f>
        <v>2x per week abbo</v>
      </c>
      <c r="Q13" s="325">
        <f>IFERROR(VLOOKUP(P13, Tarieven!$A$2:$J$150, 10, FALSE), "0")</f>
        <v>28.55</v>
      </c>
      <c r="R13" s="444">
        <f>April!R13</f>
        <v>1</v>
      </c>
      <c r="S13" s="428" t="str">
        <f>April!S13</f>
        <v>Aangepast tarief</v>
      </c>
      <c r="T13" s="325">
        <f>IFERROR(VLOOKUP(S13, Tarieven!$A$2:$J$150, 10, FALSE), "0")</f>
        <v>0</v>
      </c>
      <c r="U13" s="77" t="str">
        <f>April!U13</f>
        <v/>
      </c>
      <c r="V13" s="327" t="str">
        <f>April!V13</f>
        <v/>
      </c>
      <c r="W13" s="325" t="str">
        <f>IFERROR(VLOOKUP(V13, Tarieven!$A$2:$J$150, 10, FALSE), "0")</f>
        <v>0</v>
      </c>
      <c r="X13" s="138">
        <f>April!X13</f>
        <v>13</v>
      </c>
      <c r="Y13" s="398">
        <v>0.0</v>
      </c>
      <c r="Z13" s="329">
        <f t="shared" si="3"/>
        <v>20</v>
      </c>
      <c r="AA13" s="32">
        <f t="shared" si="4"/>
        <v>87.6</v>
      </c>
      <c r="AB13" s="32">
        <f t="shared" si="5"/>
        <v>173.75</v>
      </c>
      <c r="AC13" s="32">
        <f t="shared" si="6"/>
        <v>86.15</v>
      </c>
      <c r="AE13" s="330"/>
      <c r="AF13" s="330"/>
    </row>
    <row r="14" ht="22.5" customHeight="1">
      <c r="A14" s="331" t="str">
        <f>Rooster!A15</f>
        <v>Dinsdag</v>
      </c>
      <c r="B14" s="396">
        <f>Rooster!B15</f>
        <v>0.6666666667</v>
      </c>
      <c r="C14" s="15">
        <f>Rooster!C15</f>
        <v>60</v>
      </c>
      <c r="D14" s="11" t="str">
        <f>Rooster!D15</f>
        <v>Modern 8+</v>
      </c>
      <c r="E14" s="77">
        <v>3.0</v>
      </c>
      <c r="F14" s="327" t="str">
        <f>Rooster!E15</f>
        <v>Eigenaar</v>
      </c>
      <c r="G14" s="319">
        <f>IFERROR(VLOOKUP(F14, Docenten!$A$2:$G$30, 7, FALSE), "0")</f>
        <v>0</v>
      </c>
      <c r="H14" s="320">
        <f t="shared" si="1"/>
        <v>0</v>
      </c>
      <c r="I14" s="327" t="str">
        <f>Rooster!H15</f>
        <v>Santpoort Zuid</v>
      </c>
      <c r="J14" s="321">
        <f>IFERROR(VLOOKUP(I14, Locaties!$A$2:$G$15, 7, FALSE), "0")</f>
        <v>18.9</v>
      </c>
      <c r="K14" s="42">
        <f t="shared" si="2"/>
        <v>18.9</v>
      </c>
      <c r="L14" s="427">
        <f>April!L14</f>
        <v>5</v>
      </c>
      <c r="M14" s="428" t="str">
        <f>April!M14</f>
        <v>2x per week abbo</v>
      </c>
      <c r="N14" s="321">
        <f>IFERROR(VLOOKUP(M14, Tarieven!$A$1:$J$150, 10, FALSE), "0")</f>
        <v>28.55</v>
      </c>
      <c r="O14" s="427">
        <f>April!O14</f>
        <v>1</v>
      </c>
      <c r="P14" s="428" t="str">
        <f>April!P14</f>
        <v>1x per week abbo</v>
      </c>
      <c r="Q14" s="325">
        <f>IFERROR(VLOOKUP(P14, Tarieven!$A$2:$J$150, 10, FALSE), "0")</f>
        <v>31</v>
      </c>
      <c r="R14" s="444">
        <f>April!R14</f>
        <v>2</v>
      </c>
      <c r="S14" s="428" t="str">
        <f>April!S14</f>
        <v>Cheer regulier + onbeperkt abbo</v>
      </c>
      <c r="T14" s="325">
        <f>IFERROR(VLOOKUP(S14, Tarieven!$A$2:$J$150, 10, FALSE), "0")</f>
        <v>44.45</v>
      </c>
      <c r="U14" s="77">
        <f>April!U14</f>
        <v>1</v>
      </c>
      <c r="V14" s="327" t="str">
        <f>April!V14</f>
        <v>Cheer regulier +1 abbo</v>
      </c>
      <c r="W14" s="325">
        <f>IFERROR(VLOOKUP(V14, Tarieven!$A$2:$J$150, 10, FALSE), "0")</f>
        <v>32.25</v>
      </c>
      <c r="X14" s="138">
        <f>April!X14</f>
        <v>8</v>
      </c>
      <c r="Y14" s="398">
        <v>0.0</v>
      </c>
      <c r="Z14" s="329">
        <f t="shared" si="3"/>
        <v>17</v>
      </c>
      <c r="AA14" s="32">
        <f t="shared" si="4"/>
        <v>56.7</v>
      </c>
      <c r="AB14" s="32">
        <f t="shared" si="5"/>
        <v>294.9</v>
      </c>
      <c r="AC14" s="32">
        <f t="shared" si="6"/>
        <v>238.2</v>
      </c>
    </row>
    <row r="15" ht="22.5" customHeight="1">
      <c r="A15" s="331" t="str">
        <f>Rooster!A16</f>
        <v>Dinsdag</v>
      </c>
      <c r="B15" s="396">
        <f>Rooster!B16</f>
        <v>0.7083333333</v>
      </c>
      <c r="C15" s="15">
        <f>Rooster!C16</f>
        <v>60</v>
      </c>
      <c r="D15" s="11" t="str">
        <f>Rooster!D16</f>
        <v>Selectie show 8+</v>
      </c>
      <c r="E15" s="77">
        <v>3.0</v>
      </c>
      <c r="F15" s="327" t="str">
        <f>Rooster!E16</f>
        <v>Eigenaar</v>
      </c>
      <c r="G15" s="319">
        <f>IFERROR(VLOOKUP(F15, Docenten!$A$2:$G$30, 7, FALSE), "0")</f>
        <v>0</v>
      </c>
      <c r="H15" s="320">
        <f t="shared" si="1"/>
        <v>0</v>
      </c>
      <c r="I15" s="327" t="str">
        <f>Rooster!H16</f>
        <v>Santpoort Zuid</v>
      </c>
      <c r="J15" s="321">
        <f>IFERROR(VLOOKUP(I15, Locaties!$A$2:$G$15, 7, FALSE), "0")</f>
        <v>18.9</v>
      </c>
      <c r="K15" s="42">
        <f t="shared" si="2"/>
        <v>18.9</v>
      </c>
      <c r="L15" s="427">
        <f>April!L15</f>
        <v>2</v>
      </c>
      <c r="M15" s="428" t="str">
        <f>April!M15</f>
        <v>Cheer regulier + onbeperkt abbo</v>
      </c>
      <c r="N15" s="321">
        <f>IFERROR(VLOOKUP(M15, Tarieven!$A$1:$J$150, 10, FALSE), "0")</f>
        <v>44.45</v>
      </c>
      <c r="O15" s="427">
        <f>April!O15</f>
        <v>2</v>
      </c>
      <c r="P15" s="428" t="str">
        <f>April!P15</f>
        <v>2x per week abbo</v>
      </c>
      <c r="Q15" s="325">
        <f>IFERROR(VLOOKUP(P15, Tarieven!$A$2:$J$150, 10, FALSE), "0")</f>
        <v>28.55</v>
      </c>
      <c r="R15" s="444" t="str">
        <f>April!R15</f>
        <v/>
      </c>
      <c r="S15" s="428" t="str">
        <f>April!S15</f>
        <v/>
      </c>
      <c r="T15" s="325" t="str">
        <f>IFERROR(VLOOKUP(S15, Tarieven!$A$2:$J$150, 10, FALSE), "0")</f>
        <v>0</v>
      </c>
      <c r="U15" s="77">
        <f>April!U15</f>
        <v>1</v>
      </c>
      <c r="V15" s="327" t="str">
        <f>April!V15</f>
        <v>Cheer regulier +2 abbo</v>
      </c>
      <c r="W15" s="325">
        <f>IFERROR(VLOOKUP(V15, Tarieven!$A$2:$J$150, 10, FALSE), "0")</f>
        <v>29.03333333</v>
      </c>
      <c r="X15" s="138">
        <f>April!X15</f>
        <v>7</v>
      </c>
      <c r="Y15" s="398">
        <v>0.0</v>
      </c>
      <c r="Z15" s="329">
        <f t="shared" si="3"/>
        <v>12</v>
      </c>
      <c r="AA15" s="32">
        <f t="shared" si="4"/>
        <v>56.7</v>
      </c>
      <c r="AB15" s="32">
        <f t="shared" si="5"/>
        <v>175.0333333</v>
      </c>
      <c r="AC15" s="32">
        <f t="shared" si="6"/>
        <v>118.3333333</v>
      </c>
    </row>
    <row r="16" ht="22.5" customHeight="1">
      <c r="A16" s="331" t="str">
        <f>Rooster!A17</f>
        <v>Dinsdag</v>
      </c>
      <c r="B16" s="396">
        <f>Rooster!B17</f>
        <v>0.75</v>
      </c>
      <c r="C16" s="15">
        <f>Rooster!C17</f>
        <v>90</v>
      </c>
      <c r="D16" s="11" t="str">
        <f>Rooster!D17</f>
        <v>Selectie Cheer</v>
      </c>
      <c r="E16" s="77">
        <v>3.0</v>
      </c>
      <c r="F16" s="327" t="str">
        <f>Rooster!E17</f>
        <v>Eigenaar</v>
      </c>
      <c r="G16" s="319">
        <f>IFERROR(VLOOKUP(F16, Docenten!$A$2:$G$30, 7, FALSE), "0")</f>
        <v>0</v>
      </c>
      <c r="H16" s="320">
        <f t="shared" si="1"/>
        <v>0</v>
      </c>
      <c r="I16" s="327" t="str">
        <f>Rooster!H17</f>
        <v>Santpoort Zuid</v>
      </c>
      <c r="J16" s="321">
        <f>IFERROR(VLOOKUP(I16, Locaties!$A$2:$G$15, 7, FALSE), "0")</f>
        <v>18.9</v>
      </c>
      <c r="K16" s="42">
        <f t="shared" si="2"/>
        <v>28.35</v>
      </c>
      <c r="L16" s="427">
        <f>April!L16</f>
        <v>2</v>
      </c>
      <c r="M16" s="428" t="str">
        <f>April!M16</f>
        <v>Cheer selectie +2 abbo</v>
      </c>
      <c r="N16" s="321">
        <f>IFERROR(VLOOKUP(M16, Tarieven!$A$1:$J$150, 10, FALSE), "0")</f>
        <v>31.53333333</v>
      </c>
      <c r="O16" s="427">
        <f>April!O16</f>
        <v>1</v>
      </c>
      <c r="P16" s="428" t="str">
        <f>April!P16</f>
        <v>Cheer selectie +1 abbo</v>
      </c>
      <c r="Q16" s="325">
        <f>IFERROR(VLOOKUP(P16, Tarieven!$A$2:$J$150, 10, FALSE), "0")</f>
        <v>34.25</v>
      </c>
      <c r="R16" s="444" t="str">
        <f>April!R16</f>
        <v/>
      </c>
      <c r="S16" s="428" t="str">
        <f>April!S16</f>
        <v/>
      </c>
      <c r="T16" s="325" t="str">
        <f>IFERROR(VLOOKUP(S16, Tarieven!$A$2:$J$150, 10, FALSE), "0")</f>
        <v>0</v>
      </c>
      <c r="U16" s="77" t="str">
        <f>April!U16</f>
        <v/>
      </c>
      <c r="V16" s="327" t="str">
        <f>April!V16</f>
        <v/>
      </c>
      <c r="W16" s="325" t="str">
        <f>IFERROR(VLOOKUP(V16, Tarieven!$A$2:$J$150, 10, FALSE), "0")</f>
        <v>0</v>
      </c>
      <c r="X16" s="138">
        <f>April!X16</f>
        <v>8</v>
      </c>
      <c r="Y16" s="398">
        <v>0.0</v>
      </c>
      <c r="Z16" s="329">
        <f t="shared" si="3"/>
        <v>11</v>
      </c>
      <c r="AA16" s="32">
        <f t="shared" si="4"/>
        <v>85.05</v>
      </c>
      <c r="AB16" s="32">
        <f t="shared" si="5"/>
        <v>97.31666667</v>
      </c>
      <c r="AC16" s="32">
        <f t="shared" si="6"/>
        <v>12.26666667</v>
      </c>
    </row>
    <row r="17" ht="22.5" customHeight="1">
      <c r="A17" s="331" t="str">
        <f>Rooster!A18</f>
        <v>Dinsdag</v>
      </c>
      <c r="B17" s="396">
        <f>Rooster!B18</f>
        <v>0.8125</v>
      </c>
      <c r="C17" s="15">
        <f>Rooster!C18</f>
        <v>60</v>
      </c>
      <c r="D17" s="11" t="str">
        <f>Rooster!D18</f>
        <v>Hiphop 15+</v>
      </c>
      <c r="E17" s="77">
        <v>3.0</v>
      </c>
      <c r="F17" s="327" t="str">
        <f>Rooster!E18</f>
        <v>Eigenaar</v>
      </c>
      <c r="G17" s="319">
        <f>IFERROR(VLOOKUP(F17, Docenten!$A$2:$G$30, 7, FALSE), "0")</f>
        <v>0</v>
      </c>
      <c r="H17" s="320">
        <f t="shared" si="1"/>
        <v>0</v>
      </c>
      <c r="I17" s="327" t="str">
        <f>Rooster!H18</f>
        <v>Santpoort Zuid</v>
      </c>
      <c r="J17" s="321">
        <f>IFERROR(VLOOKUP(I17, Locaties!$A$2:$G$15, 7, FALSE), "0")</f>
        <v>18.9</v>
      </c>
      <c r="K17" s="42">
        <f t="shared" si="2"/>
        <v>18.9</v>
      </c>
      <c r="L17" s="427">
        <f>April!L17</f>
        <v>4</v>
      </c>
      <c r="M17" s="428" t="str">
        <f>April!M17</f>
        <v>3x per week abbo</v>
      </c>
      <c r="N17" s="321">
        <f>IFERROR(VLOOKUP(M17, Tarieven!$A$1:$J$150, 10, FALSE), "0")</f>
        <v>28.93333333</v>
      </c>
      <c r="O17" s="427">
        <f>April!O17</f>
        <v>1</v>
      </c>
      <c r="P17" s="428" t="str">
        <f>April!P17</f>
        <v>2x per week abbo</v>
      </c>
      <c r="Q17" s="325">
        <f>IFERROR(VLOOKUP(P17, Tarieven!$A$2:$J$150, 10, FALSE), "0")</f>
        <v>28.55</v>
      </c>
      <c r="R17" s="444">
        <f>April!R17</f>
        <v>2</v>
      </c>
      <c r="S17" s="428" t="str">
        <f>April!S17</f>
        <v>1x per week abbo</v>
      </c>
      <c r="T17" s="325">
        <f>IFERROR(VLOOKUP(S17, Tarieven!$A$2:$J$150, 10, FALSE), "0")</f>
        <v>31</v>
      </c>
      <c r="U17" s="77" t="str">
        <f>April!U17</f>
        <v/>
      </c>
      <c r="V17" s="327" t="str">
        <f>April!V17</f>
        <v/>
      </c>
      <c r="W17" s="325" t="str">
        <f>IFERROR(VLOOKUP(V17, Tarieven!$A$2:$J$150, 10, FALSE), "0")</f>
        <v>0</v>
      </c>
      <c r="X17" s="138">
        <f>April!X17</f>
        <v>9</v>
      </c>
      <c r="Y17" s="398">
        <v>0.0</v>
      </c>
      <c r="Z17" s="329">
        <f t="shared" si="3"/>
        <v>16</v>
      </c>
      <c r="AA17" s="32">
        <f t="shared" si="4"/>
        <v>56.7</v>
      </c>
      <c r="AB17" s="32">
        <f t="shared" si="5"/>
        <v>206.2833333</v>
      </c>
      <c r="AC17" s="32">
        <f t="shared" si="6"/>
        <v>149.5833333</v>
      </c>
    </row>
    <row r="18" ht="22.5" customHeight="1">
      <c r="A18" s="331" t="str">
        <f>Rooster!A19</f>
        <v>Woensdag</v>
      </c>
      <c r="B18" s="396">
        <f>Rooster!B19</f>
        <v>0.6041666667</v>
      </c>
      <c r="C18" s="15">
        <f>Rooster!C19</f>
        <v>60</v>
      </c>
      <c r="D18" s="11" t="str">
        <f>Rooster!D19</f>
        <v>Streetdance 6+</v>
      </c>
      <c r="E18" s="77">
        <v>3.0</v>
      </c>
      <c r="F18" s="327" t="str">
        <f>Rooster!E19</f>
        <v>Julia</v>
      </c>
      <c r="G18" s="319">
        <f>IFERROR(VLOOKUP(F18, Docenten!$A$2:$G$30, 7, FALSE), "0")</f>
        <v>15</v>
      </c>
      <c r="H18" s="320">
        <f t="shared" si="1"/>
        <v>15</v>
      </c>
      <c r="I18" s="327" t="str">
        <f>Rooster!H19</f>
        <v>Santpoort Noord</v>
      </c>
      <c r="J18" s="321">
        <f>IFERROR(VLOOKUP(I18, Locaties!$A$2:$G$15, 7, FALSE), "0")</f>
        <v>14.2</v>
      </c>
      <c r="K18" s="42">
        <f t="shared" si="2"/>
        <v>14.2</v>
      </c>
      <c r="L18" s="427">
        <f>April!L18</f>
        <v>1</v>
      </c>
      <c r="M18" s="428" t="str">
        <f>April!M18</f>
        <v>2x per week abbo</v>
      </c>
      <c r="N18" s="321">
        <f>IFERROR(VLOOKUP(M18, Tarieven!$A$1:$J$150, 10, FALSE), "0")</f>
        <v>28.55</v>
      </c>
      <c r="O18" s="427">
        <f>April!O18</f>
        <v>3</v>
      </c>
      <c r="P18" s="428" t="str">
        <f>April!P18</f>
        <v>1x per week abbo</v>
      </c>
      <c r="Q18" s="325">
        <f>IFERROR(VLOOKUP(P18, Tarieven!$A$2:$J$150, 10, FALSE), "0")</f>
        <v>31</v>
      </c>
      <c r="R18" s="444" t="str">
        <f>April!R18</f>
        <v/>
      </c>
      <c r="S18" s="428" t="str">
        <f>April!S18</f>
        <v/>
      </c>
      <c r="T18" s="325" t="str">
        <f>IFERROR(VLOOKUP(S18, Tarieven!$A$2:$J$150, 10, FALSE), "0")</f>
        <v>0</v>
      </c>
      <c r="U18" s="77" t="str">
        <f>April!U18</f>
        <v/>
      </c>
      <c r="V18" s="327" t="str">
        <f>April!V18</f>
        <v/>
      </c>
      <c r="W18" s="325" t="str">
        <f>IFERROR(VLOOKUP(V18, Tarieven!$A$2:$J$150, 10, FALSE), "0")</f>
        <v>0</v>
      </c>
      <c r="X18" s="138">
        <f>April!X18</f>
        <v>9</v>
      </c>
      <c r="Y18" s="398">
        <v>0.0</v>
      </c>
      <c r="Z18" s="329">
        <f t="shared" si="3"/>
        <v>13</v>
      </c>
      <c r="AA18" s="32">
        <f t="shared" si="4"/>
        <v>87.6</v>
      </c>
      <c r="AB18" s="32">
        <f t="shared" si="5"/>
        <v>121.55</v>
      </c>
      <c r="AC18" s="32">
        <f t="shared" si="6"/>
        <v>33.95</v>
      </c>
    </row>
    <row r="19" ht="22.5" customHeight="1">
      <c r="A19" s="331" t="str">
        <f>Rooster!A20</f>
        <v>Woensdag</v>
      </c>
      <c r="B19" s="396">
        <f>Rooster!B20</f>
        <v>0.6458333333</v>
      </c>
      <c r="C19" s="15">
        <f>Rooster!C20</f>
        <v>60</v>
      </c>
      <c r="D19" s="11" t="str">
        <f>Rooster!D20</f>
        <v>Streetdance 8+</v>
      </c>
      <c r="E19" s="77">
        <v>3.0</v>
      </c>
      <c r="F19" s="327" t="str">
        <f>Rooster!E20</f>
        <v>Julia</v>
      </c>
      <c r="G19" s="319">
        <f>IFERROR(VLOOKUP(F19, Docenten!$A$2:$G$30, 7, FALSE), "0")</f>
        <v>15</v>
      </c>
      <c r="H19" s="320">
        <f t="shared" si="1"/>
        <v>15</v>
      </c>
      <c r="I19" s="327" t="str">
        <f>Rooster!H20</f>
        <v>Santpoort Noord</v>
      </c>
      <c r="J19" s="321">
        <f>IFERROR(VLOOKUP(I19, Locaties!$A$2:$G$15, 7, FALSE), "0")</f>
        <v>14.2</v>
      </c>
      <c r="K19" s="42">
        <f t="shared" si="2"/>
        <v>14.2</v>
      </c>
      <c r="L19" s="427">
        <f>April!L19</f>
        <v>4</v>
      </c>
      <c r="M19" s="428" t="str">
        <f>April!M19</f>
        <v>1x per week abbo</v>
      </c>
      <c r="N19" s="321">
        <f>IFERROR(VLOOKUP(M19, Tarieven!$A$1:$J$150, 10, FALSE), "0")</f>
        <v>31</v>
      </c>
      <c r="O19" s="427">
        <f>April!O19</f>
        <v>1</v>
      </c>
      <c r="P19" s="428" t="str">
        <f>April!P19</f>
        <v>Cheer regulier +1 abbo</v>
      </c>
      <c r="Q19" s="325">
        <f>IFERROR(VLOOKUP(P19, Tarieven!$A$2:$J$150, 10, FALSE), "0")</f>
        <v>32.25</v>
      </c>
      <c r="R19" s="444">
        <f>April!R19</f>
        <v>1</v>
      </c>
      <c r="S19" s="428" t="str">
        <f>April!S19</f>
        <v>Cheer regulier + onbeperkt abbo</v>
      </c>
      <c r="T19" s="325">
        <f>IFERROR(VLOOKUP(S19, Tarieven!$A$2:$J$150, 10, FALSE), "0")</f>
        <v>44.45</v>
      </c>
      <c r="U19" s="77">
        <f>April!U19</f>
        <v>1</v>
      </c>
      <c r="V19" s="327" t="str">
        <f>April!V19</f>
        <v>1x per week </v>
      </c>
      <c r="W19" s="325">
        <f>IFERROR(VLOOKUP(V19, Tarieven!$A$2:$J$150, 10, FALSE), "0")</f>
        <v>279</v>
      </c>
      <c r="X19" s="138">
        <f>April!X19</f>
        <v>11</v>
      </c>
      <c r="Y19" s="398">
        <v>0.0</v>
      </c>
      <c r="Z19" s="329">
        <f t="shared" si="3"/>
        <v>18</v>
      </c>
      <c r="AA19" s="32">
        <f t="shared" si="4"/>
        <v>87.6</v>
      </c>
      <c r="AB19" s="32">
        <f t="shared" si="5"/>
        <v>479.7</v>
      </c>
      <c r="AC19" s="32">
        <f t="shared" si="6"/>
        <v>392.1</v>
      </c>
    </row>
    <row r="20" ht="22.5" customHeight="1">
      <c r="A20" s="331" t="str">
        <f>Rooster!A21</f>
        <v>Woensdag</v>
      </c>
      <c r="B20" s="396">
        <f>Rooster!B21</f>
        <v>0.6875</v>
      </c>
      <c r="C20" s="15">
        <f>Rooster!C21</f>
        <v>60</v>
      </c>
      <c r="D20" s="11" t="str">
        <f>Rooster!D21</f>
        <v>Modern 11+</v>
      </c>
      <c r="E20" s="77">
        <v>3.0</v>
      </c>
      <c r="F20" s="327" t="str">
        <f>Rooster!E21</f>
        <v>Julia</v>
      </c>
      <c r="G20" s="319">
        <f>IFERROR(VLOOKUP(F20, Docenten!$A$2:$G$30, 7, FALSE), "0")</f>
        <v>15</v>
      </c>
      <c r="H20" s="320">
        <f t="shared" si="1"/>
        <v>15</v>
      </c>
      <c r="I20" s="327" t="str">
        <f>Rooster!H21</f>
        <v>Santpoort Noord</v>
      </c>
      <c r="J20" s="321">
        <f>IFERROR(VLOOKUP(I20, Locaties!$A$2:$G$15, 7, FALSE), "0")</f>
        <v>14.2</v>
      </c>
      <c r="K20" s="42">
        <f t="shared" si="2"/>
        <v>14.2</v>
      </c>
      <c r="L20" s="427">
        <f>April!L20</f>
        <v>3</v>
      </c>
      <c r="M20" s="428" t="str">
        <f>April!M20</f>
        <v>1x per week abbo</v>
      </c>
      <c r="N20" s="321">
        <f>IFERROR(VLOOKUP(M20, Tarieven!$A$1:$J$150, 10, FALSE), "0")</f>
        <v>31</v>
      </c>
      <c r="O20" s="427">
        <f>April!O20</f>
        <v>1</v>
      </c>
      <c r="P20" s="428" t="str">
        <f>April!P20</f>
        <v>Cheer regulier +1 abbo</v>
      </c>
      <c r="Q20" s="325">
        <f>IFERROR(VLOOKUP(P20, Tarieven!$A$2:$J$150, 10, FALSE), "0")</f>
        <v>32.25</v>
      </c>
      <c r="R20" s="444">
        <f>April!R20</f>
        <v>1</v>
      </c>
      <c r="S20" s="428" t="str">
        <f>April!S20</f>
        <v>Cheer regulier + onbeperkt abbo</v>
      </c>
      <c r="T20" s="325">
        <f>IFERROR(VLOOKUP(S20, Tarieven!$A$2:$J$150, 10, FALSE), "0")</f>
        <v>44.45</v>
      </c>
      <c r="U20" s="77" t="str">
        <f>April!U20</f>
        <v/>
      </c>
      <c r="V20" s="327" t="str">
        <f>April!V20</f>
        <v/>
      </c>
      <c r="W20" s="325" t="str">
        <f>IFERROR(VLOOKUP(V20, Tarieven!$A$2:$J$150, 10, FALSE), "0")</f>
        <v>0</v>
      </c>
      <c r="X20" s="138">
        <f>April!X20</f>
        <v>9</v>
      </c>
      <c r="Y20" s="398">
        <v>0.0</v>
      </c>
      <c r="Z20" s="329">
        <f t="shared" si="3"/>
        <v>14</v>
      </c>
      <c r="AA20" s="32">
        <f t="shared" si="4"/>
        <v>87.6</v>
      </c>
      <c r="AB20" s="32">
        <f t="shared" si="5"/>
        <v>169.7</v>
      </c>
      <c r="AC20" s="32">
        <f t="shared" si="6"/>
        <v>82.1</v>
      </c>
    </row>
    <row r="21" ht="22.5" customHeight="1">
      <c r="A21" s="331" t="str">
        <f>Rooster!A22</f>
        <v>Woensdag</v>
      </c>
      <c r="B21" s="396">
        <f>Rooster!B22</f>
        <v>0.7291666667</v>
      </c>
      <c r="C21" s="15">
        <f>Rooster!C22</f>
        <v>60</v>
      </c>
      <c r="D21" s="11" t="str">
        <f>Rooster!D22</f>
        <v>Selectie Hiphop 11+</v>
      </c>
      <c r="E21" s="77">
        <v>3.0</v>
      </c>
      <c r="F21" s="327" t="str">
        <f>Rooster!E22</f>
        <v>Eigenaar</v>
      </c>
      <c r="G21" s="319">
        <f>IFERROR(VLOOKUP(F21, Docenten!$A$2:$G$30, 7, FALSE), "0")</f>
        <v>0</v>
      </c>
      <c r="H21" s="320">
        <f t="shared" si="1"/>
        <v>0</v>
      </c>
      <c r="I21" s="327" t="str">
        <f>Rooster!H22</f>
        <v>Santpoort Noord</v>
      </c>
      <c r="J21" s="321">
        <f>IFERROR(VLOOKUP(I21, Locaties!$A$2:$G$15, 7, FALSE), "0")</f>
        <v>14.2</v>
      </c>
      <c r="K21" s="42">
        <f t="shared" si="2"/>
        <v>14.2</v>
      </c>
      <c r="L21" s="427">
        <f>April!L21</f>
        <v>1</v>
      </c>
      <c r="M21" s="428" t="str">
        <f>April!M21</f>
        <v>1x per week abbo</v>
      </c>
      <c r="N21" s="321">
        <f>IFERROR(VLOOKUP(M21, Tarieven!$A$1:$J$150, 10, FALSE), "0")</f>
        <v>31</v>
      </c>
      <c r="O21" s="427">
        <f>April!O21</f>
        <v>3</v>
      </c>
      <c r="P21" s="428" t="str">
        <f>April!P21</f>
        <v>2x per week abbo</v>
      </c>
      <c r="Q21" s="325">
        <f>IFERROR(VLOOKUP(P21, Tarieven!$A$2:$J$150, 10, FALSE), "0")</f>
        <v>28.55</v>
      </c>
      <c r="R21" s="444">
        <f>April!R21</f>
        <v>1</v>
      </c>
      <c r="S21" s="428" t="str">
        <f>April!S21</f>
        <v>Cheer regulier +1 abbo</v>
      </c>
      <c r="T21" s="325">
        <f>IFERROR(VLOOKUP(S21, Tarieven!$A$2:$J$150, 10, FALSE), "0")</f>
        <v>32.25</v>
      </c>
      <c r="U21" s="77" t="str">
        <f>April!U21</f>
        <v/>
      </c>
      <c r="V21" s="327" t="str">
        <f>April!V21</f>
        <v/>
      </c>
      <c r="W21" s="325" t="str">
        <f>IFERROR(VLOOKUP(V21, Tarieven!$A$2:$J$150, 10, FALSE), "0")</f>
        <v>0</v>
      </c>
      <c r="X21" s="138">
        <f>April!X21</f>
        <v>11</v>
      </c>
      <c r="Y21" s="398">
        <v>0.0</v>
      </c>
      <c r="Z21" s="329">
        <f t="shared" si="3"/>
        <v>16</v>
      </c>
      <c r="AA21" s="32">
        <f t="shared" si="4"/>
        <v>42.6</v>
      </c>
      <c r="AB21" s="32">
        <f t="shared" si="5"/>
        <v>148.9</v>
      </c>
      <c r="AC21" s="32">
        <f t="shared" si="6"/>
        <v>106.3</v>
      </c>
    </row>
    <row r="22" ht="22.5" customHeight="1">
      <c r="A22" s="331" t="str">
        <f>Rooster!A23</f>
        <v>Woensdag</v>
      </c>
      <c r="B22" s="396">
        <f>Rooster!B23</f>
        <v>0.7708333333</v>
      </c>
      <c r="C22" s="15">
        <f>Rooster!C23</f>
        <v>60</v>
      </c>
      <c r="D22" s="11" t="str">
        <f>Rooster!D23</f>
        <v>Show 12+</v>
      </c>
      <c r="E22" s="77">
        <v>3.0</v>
      </c>
      <c r="F22" s="327" t="str">
        <f>Rooster!E23</f>
        <v>Eigenaar</v>
      </c>
      <c r="G22" s="319">
        <f>IFERROR(VLOOKUP(F22, Docenten!$A$2:$G$30, 7, FALSE), "0")</f>
        <v>0</v>
      </c>
      <c r="H22" s="320">
        <f t="shared" si="1"/>
        <v>0</v>
      </c>
      <c r="I22" s="327" t="str">
        <f>Rooster!H23</f>
        <v>Santpoort Noord</v>
      </c>
      <c r="J22" s="321">
        <f>IFERROR(VLOOKUP(I22, Locaties!$A$2:$G$15, 7, FALSE), "0")</f>
        <v>14.2</v>
      </c>
      <c r="K22" s="42">
        <f t="shared" si="2"/>
        <v>14.2</v>
      </c>
      <c r="L22" s="427">
        <f>April!L22</f>
        <v>1</v>
      </c>
      <c r="M22" s="428" t="str">
        <f>April!M22</f>
        <v>Cheer selectie +1 abbo</v>
      </c>
      <c r="N22" s="321">
        <f>IFERROR(VLOOKUP(M22, Tarieven!$A$1:$J$150, 10, FALSE), "0")</f>
        <v>34.25</v>
      </c>
      <c r="O22" s="427" t="str">
        <f>April!O22</f>
        <v/>
      </c>
      <c r="P22" s="428" t="str">
        <f>April!P22</f>
        <v/>
      </c>
      <c r="Q22" s="325" t="str">
        <f>IFERROR(VLOOKUP(P22, Tarieven!$A$2:$J$150, 10, FALSE), "0")</f>
        <v>0</v>
      </c>
      <c r="R22" s="444" t="str">
        <f>April!R22</f>
        <v/>
      </c>
      <c r="S22" s="428" t="str">
        <f>April!S22</f>
        <v/>
      </c>
      <c r="T22" s="325" t="str">
        <f>IFERROR(VLOOKUP(S22, Tarieven!$A$2:$J$150, 10, FALSE), "0")</f>
        <v>0</v>
      </c>
      <c r="U22" s="77" t="str">
        <f>April!U22</f>
        <v/>
      </c>
      <c r="V22" s="327" t="str">
        <f>April!V22</f>
        <v/>
      </c>
      <c r="W22" s="325" t="str">
        <f>IFERROR(VLOOKUP(V22, Tarieven!$A$2:$J$150, 10, FALSE), "0")</f>
        <v>0</v>
      </c>
      <c r="X22" s="138">
        <f>April!X22</f>
        <v>9</v>
      </c>
      <c r="Y22" s="398">
        <v>0.0</v>
      </c>
      <c r="Z22" s="329">
        <f t="shared" si="3"/>
        <v>10</v>
      </c>
      <c r="AA22" s="32">
        <f t="shared" si="4"/>
        <v>42.6</v>
      </c>
      <c r="AB22" s="32">
        <f t="shared" si="5"/>
        <v>34.25</v>
      </c>
      <c r="AC22" s="32">
        <f t="shared" si="6"/>
        <v>-8.35</v>
      </c>
    </row>
    <row r="23" ht="22.5" customHeight="1">
      <c r="A23" s="331" t="str">
        <f>Rooster!A24</f>
        <v/>
      </c>
      <c r="B23" s="396" t="str">
        <f>Rooster!B24</f>
        <v/>
      </c>
      <c r="C23" s="15" t="str">
        <f>Rooster!C24</f>
        <v/>
      </c>
      <c r="D23" s="11" t="str">
        <f>Rooster!D24</f>
        <v/>
      </c>
      <c r="E23" s="77"/>
      <c r="F23" s="327" t="str">
        <f>Rooster!E24</f>
        <v/>
      </c>
      <c r="G23" s="319" t="str">
        <f>IFERROR(VLOOKUP(F23, Docenten!$A$2:$G$30, 7, FALSE), "0")</f>
        <v>0</v>
      </c>
      <c r="H23" s="320">
        <f t="shared" si="1"/>
        <v>0</v>
      </c>
      <c r="I23" s="327" t="str">
        <f>Rooster!H24</f>
        <v/>
      </c>
      <c r="J23" s="321" t="str">
        <f>IFERROR(VLOOKUP(I23, Locaties!$A$2:$G$15, 7, FALSE), "0")</f>
        <v>0</v>
      </c>
      <c r="K23" s="42">
        <f t="shared" si="2"/>
        <v>0</v>
      </c>
      <c r="L23" s="427" t="str">
        <f>April!L23</f>
        <v/>
      </c>
      <c r="M23" s="428" t="str">
        <f>April!M23</f>
        <v/>
      </c>
      <c r="N23" s="321" t="str">
        <f>IFERROR(VLOOKUP(M23, Tarieven!$A$1:$J$150, 10, FALSE), "0")</f>
        <v>0</v>
      </c>
      <c r="O23" s="427" t="str">
        <f>April!O23</f>
        <v/>
      </c>
      <c r="P23" s="428" t="str">
        <f>April!P23</f>
        <v/>
      </c>
      <c r="Q23" s="325" t="str">
        <f>IFERROR(VLOOKUP(P23, Tarieven!$A$2:$J$150, 10, FALSE), "0")</f>
        <v>0</v>
      </c>
      <c r="R23" s="444" t="str">
        <f>April!R23</f>
        <v/>
      </c>
      <c r="S23" s="428" t="str">
        <f>April!S23</f>
        <v/>
      </c>
      <c r="T23" s="325" t="str">
        <f>IFERROR(VLOOKUP(S23, Tarieven!$A$2:$J$150, 10, FALSE), "0")</f>
        <v>0</v>
      </c>
      <c r="U23" s="77" t="str">
        <f>April!U23</f>
        <v/>
      </c>
      <c r="V23" s="327" t="str">
        <f>April!V23</f>
        <v/>
      </c>
      <c r="W23" s="325" t="str">
        <f>IFERROR(VLOOKUP(V23, Tarieven!$A$2:$J$150, 10, FALSE), "0")</f>
        <v>0</v>
      </c>
      <c r="X23" s="138">
        <f>April!X23</f>
        <v>0</v>
      </c>
      <c r="Y23" s="398">
        <v>0.0</v>
      </c>
      <c r="Z23" s="329">
        <f t="shared" si="3"/>
        <v>0</v>
      </c>
      <c r="AA23" s="32">
        <f t="shared" si="4"/>
        <v>0</v>
      </c>
      <c r="AB23" s="32">
        <f t="shared" si="5"/>
        <v>0</v>
      </c>
      <c r="AC23" s="32">
        <f t="shared" si="6"/>
        <v>0</v>
      </c>
    </row>
    <row r="24" ht="22.5" customHeight="1">
      <c r="A24" s="331" t="str">
        <f>Rooster!A25</f>
        <v>Donderdag</v>
      </c>
      <c r="B24" s="396">
        <f>Rooster!B25</f>
        <v>0.6458333333</v>
      </c>
      <c r="C24" s="15">
        <f>Rooster!C25</f>
        <v>60</v>
      </c>
      <c r="D24" s="11" t="str">
        <f>Rooster!D25</f>
        <v>Showdance 6+</v>
      </c>
      <c r="E24" s="77">
        <v>3.0</v>
      </c>
      <c r="F24" s="70" t="s">
        <v>59</v>
      </c>
      <c r="G24" s="319">
        <f>IFERROR(VLOOKUP(F24, Docenten!$A$2:$G$30, 7, FALSE), "0")</f>
        <v>20</v>
      </c>
      <c r="H24" s="320">
        <f t="shared" si="1"/>
        <v>20</v>
      </c>
      <c r="I24" s="327" t="str">
        <f>Rooster!H25</f>
        <v>Santpoort Zuid</v>
      </c>
      <c r="J24" s="321">
        <f>IFERROR(VLOOKUP(I24, Locaties!$A$2:$G$15, 7, FALSE), "0")</f>
        <v>18.9</v>
      </c>
      <c r="K24" s="42">
        <f t="shared" si="2"/>
        <v>18.9</v>
      </c>
      <c r="L24" s="427">
        <f>April!L24</f>
        <v>6</v>
      </c>
      <c r="M24" s="428" t="str">
        <f>April!M24</f>
        <v>1x per week abbo</v>
      </c>
      <c r="N24" s="321">
        <f>IFERROR(VLOOKUP(M24, Tarieven!$A$1:$J$150, 10, FALSE), "0")</f>
        <v>31</v>
      </c>
      <c r="O24" s="427">
        <f>April!O24</f>
        <v>3</v>
      </c>
      <c r="P24" s="428" t="str">
        <f>April!P24</f>
        <v>2x per week abbo</v>
      </c>
      <c r="Q24" s="325">
        <f>IFERROR(VLOOKUP(P24, Tarieven!$A$2:$J$150, 10, FALSE), "0")</f>
        <v>28.55</v>
      </c>
      <c r="R24" s="444" t="str">
        <f>April!R24</f>
        <v/>
      </c>
      <c r="S24" s="428" t="str">
        <f>April!S24</f>
        <v/>
      </c>
      <c r="T24" s="325" t="str">
        <f>IFERROR(VLOOKUP(S24, Tarieven!$A$2:$J$150, 10, FALSE), "0")</f>
        <v>0</v>
      </c>
      <c r="U24" s="77" t="str">
        <f>April!U24</f>
        <v/>
      </c>
      <c r="V24" s="327" t="str">
        <f>April!V24</f>
        <v/>
      </c>
      <c r="W24" s="325" t="str">
        <f>IFERROR(VLOOKUP(V24, Tarieven!$A$2:$J$150, 10, FALSE), "0")</f>
        <v>0</v>
      </c>
      <c r="X24" s="138">
        <f>April!X24</f>
        <v>4</v>
      </c>
      <c r="Y24" s="398">
        <v>0.0</v>
      </c>
      <c r="Z24" s="329">
        <f t="shared" si="3"/>
        <v>13</v>
      </c>
      <c r="AA24" s="32">
        <f t="shared" si="4"/>
        <v>116.7</v>
      </c>
      <c r="AB24" s="32">
        <f t="shared" si="5"/>
        <v>271.65</v>
      </c>
      <c r="AC24" s="32">
        <f t="shared" si="6"/>
        <v>154.95</v>
      </c>
    </row>
    <row r="25" ht="22.5" customHeight="1">
      <c r="A25" s="331" t="str">
        <f>Rooster!A26</f>
        <v>Donderdag</v>
      </c>
      <c r="B25" s="396">
        <f>Rooster!B26</f>
        <v>0.6875</v>
      </c>
      <c r="C25" s="15">
        <f>Rooster!C26</f>
        <v>60</v>
      </c>
      <c r="D25" s="11" t="str">
        <f>Rooster!D26</f>
        <v>Showdance 8+</v>
      </c>
      <c r="E25" s="77">
        <v>3.0</v>
      </c>
      <c r="F25" s="70" t="s">
        <v>59</v>
      </c>
      <c r="G25" s="319">
        <f>IFERROR(VLOOKUP(F25, Docenten!$A$2:$G$30, 7, FALSE), "0")</f>
        <v>20</v>
      </c>
      <c r="H25" s="320">
        <f t="shared" si="1"/>
        <v>20</v>
      </c>
      <c r="I25" s="327" t="str">
        <f>Rooster!H26</f>
        <v>Santpoort Zuid</v>
      </c>
      <c r="J25" s="321">
        <f>IFERROR(VLOOKUP(I25, Locaties!$A$2:$G$15, 7, FALSE), "0")</f>
        <v>18.9</v>
      </c>
      <c r="K25" s="42">
        <f t="shared" si="2"/>
        <v>18.9</v>
      </c>
      <c r="L25" s="427">
        <f>April!L25</f>
        <v>5</v>
      </c>
      <c r="M25" s="428" t="str">
        <f>April!M25</f>
        <v>1x per week abbo</v>
      </c>
      <c r="N25" s="321">
        <f>IFERROR(VLOOKUP(M25, Tarieven!$A$1:$J$150, 10, FALSE), "0")</f>
        <v>31</v>
      </c>
      <c r="O25" s="427">
        <f>April!O25</f>
        <v>2</v>
      </c>
      <c r="P25" s="428" t="str">
        <f>April!P25</f>
        <v>2x per week abbo</v>
      </c>
      <c r="Q25" s="325">
        <f>IFERROR(VLOOKUP(P25, Tarieven!$A$2:$J$150, 10, FALSE), "0")</f>
        <v>28.55</v>
      </c>
      <c r="R25" s="444" t="str">
        <f>April!R25</f>
        <v/>
      </c>
      <c r="S25" s="428" t="str">
        <f>April!S25</f>
        <v/>
      </c>
      <c r="T25" s="325" t="str">
        <f>IFERROR(VLOOKUP(S25, Tarieven!$A$2:$J$150, 10, FALSE), "0")</f>
        <v>0</v>
      </c>
      <c r="U25" s="77" t="str">
        <f>April!U25</f>
        <v/>
      </c>
      <c r="V25" s="327" t="str">
        <f>April!V25</f>
        <v/>
      </c>
      <c r="W25" s="325" t="str">
        <f>IFERROR(VLOOKUP(V25, Tarieven!$A$2:$J$150, 10, FALSE), "0")</f>
        <v>0</v>
      </c>
      <c r="X25" s="138">
        <f>April!X25</f>
        <v>4</v>
      </c>
      <c r="Y25" s="398">
        <v>0.0</v>
      </c>
      <c r="Z25" s="329">
        <f t="shared" si="3"/>
        <v>11</v>
      </c>
      <c r="AA25" s="32">
        <f t="shared" si="4"/>
        <v>116.7</v>
      </c>
      <c r="AB25" s="32">
        <f t="shared" si="5"/>
        <v>212.1</v>
      </c>
      <c r="AC25" s="32">
        <f t="shared" si="6"/>
        <v>95.4</v>
      </c>
    </row>
    <row r="26" ht="22.5" customHeight="1">
      <c r="A26" s="331" t="str">
        <f>Rooster!A27</f>
        <v>Donderdag</v>
      </c>
      <c r="B26" s="396">
        <f>Rooster!B27</f>
        <v>0.7291666667</v>
      </c>
      <c r="C26" s="15">
        <f>Rooster!C27</f>
        <v>60</v>
      </c>
      <c r="D26" s="11" t="str">
        <f>Rooster!D27</f>
        <v>Modern 14+</v>
      </c>
      <c r="E26" s="77">
        <v>3.0</v>
      </c>
      <c r="F26" s="70" t="s">
        <v>59</v>
      </c>
      <c r="G26" s="319">
        <f>IFERROR(VLOOKUP(F26, Docenten!$A$2:$G$30, 7, FALSE), "0")</f>
        <v>20</v>
      </c>
      <c r="H26" s="320">
        <f t="shared" si="1"/>
        <v>20</v>
      </c>
      <c r="I26" s="327" t="str">
        <f>Rooster!H27</f>
        <v>Santpoort Zuid</v>
      </c>
      <c r="J26" s="321">
        <f>IFERROR(VLOOKUP(I26, Locaties!$A$2:$G$15, 7, FALSE), "0")</f>
        <v>18.9</v>
      </c>
      <c r="K26" s="42">
        <f t="shared" si="2"/>
        <v>18.9</v>
      </c>
      <c r="L26" s="427">
        <f>April!L26</f>
        <v>3</v>
      </c>
      <c r="M26" s="428" t="str">
        <f>April!M26</f>
        <v>3x per week abbo</v>
      </c>
      <c r="N26" s="321">
        <f>IFERROR(VLOOKUP(M26, Tarieven!$A$1:$J$150, 10, FALSE), "0")</f>
        <v>28.93333333</v>
      </c>
      <c r="O26" s="427">
        <f>April!O26</f>
        <v>1</v>
      </c>
      <c r="P26" s="428" t="str">
        <f>April!P26</f>
        <v>2x per week abbo</v>
      </c>
      <c r="Q26" s="325">
        <f>IFERROR(VLOOKUP(P26, Tarieven!$A$2:$J$150, 10, FALSE), "0")</f>
        <v>28.55</v>
      </c>
      <c r="R26" s="444">
        <f>April!R26</f>
        <v>2</v>
      </c>
      <c r="S26" s="428" t="str">
        <f>April!S26</f>
        <v>Cheer selectie +2 abbo</v>
      </c>
      <c r="T26" s="325">
        <f>IFERROR(VLOOKUP(S26, Tarieven!$A$2:$J$150, 10, FALSE), "0")</f>
        <v>31.53333333</v>
      </c>
      <c r="U26" s="77" t="str">
        <f>April!U26</f>
        <v/>
      </c>
      <c r="V26" s="327" t="str">
        <f>April!V26</f>
        <v/>
      </c>
      <c r="W26" s="325" t="str">
        <f>IFERROR(VLOOKUP(V26, Tarieven!$A$2:$J$150, 10, FALSE), "0")</f>
        <v>0</v>
      </c>
      <c r="X26" s="138">
        <f>April!X26</f>
        <v>7</v>
      </c>
      <c r="Y26" s="398">
        <v>0.0</v>
      </c>
      <c r="Z26" s="329">
        <f t="shared" si="3"/>
        <v>13</v>
      </c>
      <c r="AA26" s="32">
        <f t="shared" si="4"/>
        <v>116.7</v>
      </c>
      <c r="AB26" s="32">
        <f t="shared" si="5"/>
        <v>178.4166667</v>
      </c>
      <c r="AC26" s="32">
        <f t="shared" si="6"/>
        <v>61.71666667</v>
      </c>
    </row>
    <row r="27" ht="22.5" customHeight="1">
      <c r="A27" s="331" t="str">
        <f>Rooster!A28</f>
        <v>Donderdag</v>
      </c>
      <c r="B27" s="396">
        <f>Rooster!B28</f>
        <v>0.7708333333</v>
      </c>
      <c r="C27" s="15">
        <f>Rooster!C28</f>
        <v>60</v>
      </c>
      <c r="D27" s="11" t="str">
        <f>Rooster!D28</f>
        <v>Commercial 14+</v>
      </c>
      <c r="E27" s="77">
        <v>3.0</v>
      </c>
      <c r="F27" s="327" t="str">
        <f>Rooster!E28</f>
        <v>Nova</v>
      </c>
      <c r="G27" s="319">
        <f>IFERROR(VLOOKUP(F27, Docenten!$A$2:$G$30, 7, FALSE), "0")</f>
        <v>22.5</v>
      </c>
      <c r="H27" s="320">
        <f t="shared" si="1"/>
        <v>22.5</v>
      </c>
      <c r="I27" s="327" t="str">
        <f>Rooster!H28</f>
        <v>Santpoort Zuid</v>
      </c>
      <c r="J27" s="321">
        <f>IFERROR(VLOOKUP(I27, Locaties!$A$2:$G$15, 7, FALSE), "0")</f>
        <v>18.9</v>
      </c>
      <c r="K27" s="42">
        <f t="shared" si="2"/>
        <v>18.9</v>
      </c>
      <c r="L27" s="427">
        <f>April!L27</f>
        <v>5</v>
      </c>
      <c r="M27" s="428" t="str">
        <f>April!M27</f>
        <v>3x per week abbo</v>
      </c>
      <c r="N27" s="321">
        <f>IFERROR(VLOOKUP(M27, Tarieven!$A$1:$J$150, 10, FALSE), "0")</f>
        <v>28.93333333</v>
      </c>
      <c r="O27" s="427">
        <f>April!O27</f>
        <v>2</v>
      </c>
      <c r="P27" s="428" t="str">
        <f>April!P27</f>
        <v>2x per week abbo</v>
      </c>
      <c r="Q27" s="325">
        <f>IFERROR(VLOOKUP(P27, Tarieven!$A$2:$J$150, 10, FALSE), "0")</f>
        <v>28.55</v>
      </c>
      <c r="R27" s="444">
        <f>April!R27</f>
        <v>2</v>
      </c>
      <c r="S27" s="428" t="str">
        <f>April!S27</f>
        <v>Cheer selectie +2 abbo</v>
      </c>
      <c r="T27" s="325">
        <f>IFERROR(VLOOKUP(S27, Tarieven!$A$2:$J$150, 10, FALSE), "0")</f>
        <v>31.53333333</v>
      </c>
      <c r="U27" s="77">
        <f>April!U27</f>
        <v>1</v>
      </c>
      <c r="V27" s="327" t="str">
        <f>April!V27</f>
        <v>1x per week abbo</v>
      </c>
      <c r="W27" s="325">
        <f>IFERROR(VLOOKUP(V27, Tarieven!$A$2:$J$150, 10, FALSE), "0")</f>
        <v>31</v>
      </c>
      <c r="X27" s="138">
        <f>April!X27</f>
        <v>10</v>
      </c>
      <c r="Y27" s="398">
        <v>0.0</v>
      </c>
      <c r="Z27" s="329">
        <f t="shared" si="3"/>
        <v>20</v>
      </c>
      <c r="AA27" s="32">
        <f t="shared" si="4"/>
        <v>124.2</v>
      </c>
      <c r="AB27" s="32">
        <f t="shared" si="5"/>
        <v>295.8333333</v>
      </c>
      <c r="AC27" s="32">
        <f t="shared" si="6"/>
        <v>171.6333333</v>
      </c>
    </row>
    <row r="28" ht="22.5" customHeight="1">
      <c r="A28" s="331" t="str">
        <f>Rooster!A29</f>
        <v>Donderdag</v>
      </c>
      <c r="B28" s="396">
        <f>Rooster!B29</f>
        <v>0.8125</v>
      </c>
      <c r="C28" s="15">
        <f>Rooster!C29</f>
        <v>60</v>
      </c>
      <c r="D28" s="11" t="str">
        <f>Rooster!D29</f>
        <v>Selectie Hiphop 16+</v>
      </c>
      <c r="E28" s="77">
        <v>3.0</v>
      </c>
      <c r="F28" s="327" t="str">
        <f>Rooster!E29</f>
        <v>Nova</v>
      </c>
      <c r="G28" s="319">
        <f>IFERROR(VLOOKUP(F28, Docenten!$A$2:$G$30, 7, FALSE), "0")</f>
        <v>22.5</v>
      </c>
      <c r="H28" s="320">
        <f t="shared" si="1"/>
        <v>22.5</v>
      </c>
      <c r="I28" s="327" t="str">
        <f>Rooster!H29</f>
        <v>Santpoort Zuid</v>
      </c>
      <c r="J28" s="321">
        <f>IFERROR(VLOOKUP(I28, Locaties!$A$2:$G$15, 7, FALSE), "0")</f>
        <v>18.9</v>
      </c>
      <c r="K28" s="42">
        <f t="shared" si="2"/>
        <v>18.9</v>
      </c>
      <c r="L28" s="427">
        <f>April!L28</f>
        <v>2</v>
      </c>
      <c r="M28" s="428" t="str">
        <f>April!M28</f>
        <v>Cheer selectie +2 abbo</v>
      </c>
      <c r="N28" s="321">
        <f>IFERROR(VLOOKUP(M28, Tarieven!$A$1:$J$150, 10, FALSE), "0")</f>
        <v>31.53333333</v>
      </c>
      <c r="O28" s="427">
        <f>April!O28</f>
        <v>3</v>
      </c>
      <c r="P28" s="428" t="str">
        <f>April!P28</f>
        <v>3x per week abbo</v>
      </c>
      <c r="Q28" s="325">
        <f>IFERROR(VLOOKUP(P28, Tarieven!$A$2:$J$150, 10, FALSE), "0")</f>
        <v>28.93333333</v>
      </c>
      <c r="R28" s="444">
        <f>April!R28</f>
        <v>2</v>
      </c>
      <c r="S28" s="428" t="str">
        <f>April!S28</f>
        <v>2x per week abbo</v>
      </c>
      <c r="T28" s="325">
        <f>IFERROR(VLOOKUP(S28, Tarieven!$A$2:$J$150, 10, FALSE), "0")</f>
        <v>28.55</v>
      </c>
      <c r="U28" s="77" t="str">
        <f>April!U28</f>
        <v/>
      </c>
      <c r="V28" s="327" t="str">
        <f>April!V28</f>
        <v/>
      </c>
      <c r="W28" s="325" t="str">
        <f>IFERROR(VLOOKUP(V28, Tarieven!$A$2:$J$150, 10, FALSE), "0")</f>
        <v>0</v>
      </c>
      <c r="X28" s="138">
        <f>April!X28</f>
        <v>8</v>
      </c>
      <c r="Y28" s="398">
        <v>0.0</v>
      </c>
      <c r="Z28" s="329">
        <f t="shared" si="3"/>
        <v>15</v>
      </c>
      <c r="AA28" s="32">
        <f t="shared" si="4"/>
        <v>124.2</v>
      </c>
      <c r="AB28" s="32">
        <f t="shared" si="5"/>
        <v>206.9666667</v>
      </c>
      <c r="AC28" s="32">
        <f t="shared" si="6"/>
        <v>82.76666667</v>
      </c>
    </row>
    <row r="29" ht="22.5" customHeight="1">
      <c r="A29" s="331" t="str">
        <f>Rooster!A30</f>
        <v>Donderdag</v>
      </c>
      <c r="B29" s="396">
        <f>Rooster!B30</f>
        <v>0.8541666667</v>
      </c>
      <c r="C29" s="15">
        <f>Rooster!C30</f>
        <v>60</v>
      </c>
      <c r="D29" s="11" t="str">
        <f>Rooster!D30</f>
        <v>Modern 16+</v>
      </c>
      <c r="E29" s="77">
        <v>3.0</v>
      </c>
      <c r="F29" s="327" t="str">
        <f>Rooster!E30</f>
        <v>Nova</v>
      </c>
      <c r="G29" s="319">
        <f>IFERROR(VLOOKUP(F29, Docenten!$A$2:$G$30, 7, FALSE), "0")</f>
        <v>22.5</v>
      </c>
      <c r="H29" s="320">
        <f t="shared" si="1"/>
        <v>22.5</v>
      </c>
      <c r="I29" s="327" t="str">
        <f>Rooster!H30</f>
        <v>Santpoort Zuid</v>
      </c>
      <c r="J29" s="321">
        <f>IFERROR(VLOOKUP(I29, Locaties!$A$2:$G$15, 7, FALSE), "0")</f>
        <v>18.9</v>
      </c>
      <c r="K29" s="42">
        <f t="shared" si="2"/>
        <v>18.9</v>
      </c>
      <c r="L29" s="427">
        <f>April!L29</f>
        <v>1</v>
      </c>
      <c r="M29" s="428" t="str">
        <f>April!M29</f>
        <v>1x per week abbo</v>
      </c>
      <c r="N29" s="321">
        <f>IFERROR(VLOOKUP(M29, Tarieven!$A$1:$J$150, 10, FALSE), "0")</f>
        <v>31</v>
      </c>
      <c r="O29" s="427">
        <f>April!O29</f>
        <v>2</v>
      </c>
      <c r="P29" s="428" t="str">
        <f>April!P29</f>
        <v>3x per week abbo</v>
      </c>
      <c r="Q29" s="325">
        <f>IFERROR(VLOOKUP(P29, Tarieven!$A$2:$J$150, 10, FALSE), "0")</f>
        <v>28.93333333</v>
      </c>
      <c r="R29" s="444" t="str">
        <f>April!R29</f>
        <v/>
      </c>
      <c r="S29" s="428" t="str">
        <f>April!S29</f>
        <v/>
      </c>
      <c r="T29" s="325" t="str">
        <f>IFERROR(VLOOKUP(S29, Tarieven!$A$2:$J$150, 10, FALSE), "0")</f>
        <v>0</v>
      </c>
      <c r="U29" s="77" t="str">
        <f>April!U29</f>
        <v/>
      </c>
      <c r="V29" s="327" t="str">
        <f>April!V29</f>
        <v/>
      </c>
      <c r="W29" s="325" t="str">
        <f>IFERROR(VLOOKUP(V29, Tarieven!$A$2:$J$150, 10, FALSE), "0")</f>
        <v>0</v>
      </c>
      <c r="X29" s="138">
        <f>April!X29</f>
        <v>5</v>
      </c>
      <c r="Y29" s="398">
        <v>0.0</v>
      </c>
      <c r="Z29" s="329">
        <f t="shared" si="3"/>
        <v>8</v>
      </c>
      <c r="AA29" s="32">
        <f t="shared" si="4"/>
        <v>124.2</v>
      </c>
      <c r="AB29" s="32">
        <f t="shared" si="5"/>
        <v>88.86666667</v>
      </c>
      <c r="AC29" s="32">
        <f t="shared" si="6"/>
        <v>-35.33333333</v>
      </c>
    </row>
    <row r="30" ht="22.5" customHeight="1">
      <c r="A30" s="331" t="str">
        <f>Rooster!A31</f>
        <v>Vrijdag</v>
      </c>
      <c r="B30" s="396">
        <f>Rooster!B31</f>
        <v>0.625</v>
      </c>
      <c r="C30" s="15">
        <f>Rooster!C31</f>
        <v>60</v>
      </c>
      <c r="D30" s="11" t="str">
        <f>Rooster!D31</f>
        <v>Selectie Hiphop 8+</v>
      </c>
      <c r="E30" s="77">
        <v>2.0</v>
      </c>
      <c r="F30" s="327" t="str">
        <f>Rooster!E31</f>
        <v>Eigenaar</v>
      </c>
      <c r="G30" s="319">
        <f>IFERROR(VLOOKUP(F30, Docenten!$A$2:$G$30, 7, FALSE), "0")</f>
        <v>0</v>
      </c>
      <c r="H30" s="320">
        <f t="shared" si="1"/>
        <v>0</v>
      </c>
      <c r="I30" s="327" t="str">
        <f>Rooster!H31</f>
        <v>Santpoort Zuid</v>
      </c>
      <c r="J30" s="321">
        <f>IFERROR(VLOOKUP(I30, Locaties!$A$2:$G$15, 7, FALSE), "0")</f>
        <v>18.9</v>
      </c>
      <c r="K30" s="42">
        <f t="shared" si="2"/>
        <v>18.9</v>
      </c>
      <c r="L30" s="427">
        <f>April!L30</f>
        <v>5</v>
      </c>
      <c r="M30" s="428" t="str">
        <f>April!M30</f>
        <v>2x per week abbo</v>
      </c>
      <c r="N30" s="321">
        <f>IFERROR(VLOOKUP(M30, Tarieven!$A$1:$J$150, 10, FALSE), "0")</f>
        <v>28.55</v>
      </c>
      <c r="O30" s="427">
        <f>April!O30</f>
        <v>3</v>
      </c>
      <c r="P30" s="428" t="str">
        <f>April!P30</f>
        <v>Cheer regulier + onbeperkt abbo</v>
      </c>
      <c r="Q30" s="325">
        <f>IFERROR(VLOOKUP(P30, Tarieven!$A$2:$J$150, 10, FALSE), "0")</f>
        <v>44.45</v>
      </c>
      <c r="R30" s="444">
        <f>April!R30</f>
        <v>1</v>
      </c>
      <c r="S30" s="428" t="str">
        <f>April!S30</f>
        <v>Cheer regulier +2 abbo</v>
      </c>
      <c r="T30" s="325">
        <f>IFERROR(VLOOKUP(S30, Tarieven!$A$2:$J$150, 10, FALSE), "0")</f>
        <v>29.03333333</v>
      </c>
      <c r="U30" s="77" t="str">
        <f>April!U30</f>
        <v/>
      </c>
      <c r="V30" s="327" t="str">
        <f>April!V30</f>
        <v/>
      </c>
      <c r="W30" s="325" t="str">
        <f>IFERROR(VLOOKUP(V30, Tarieven!$A$2:$J$150, 10, FALSE), "0")</f>
        <v>0</v>
      </c>
      <c r="X30" s="138">
        <f>April!X30</f>
        <v>4</v>
      </c>
      <c r="Y30" s="398">
        <v>0.0</v>
      </c>
      <c r="Z30" s="329">
        <f t="shared" si="3"/>
        <v>13</v>
      </c>
      <c r="AA30" s="32">
        <f t="shared" si="4"/>
        <v>37.8</v>
      </c>
      <c r="AB30" s="32">
        <f t="shared" si="5"/>
        <v>305.1333333</v>
      </c>
      <c r="AC30" s="32">
        <f t="shared" si="6"/>
        <v>267.3333333</v>
      </c>
    </row>
    <row r="31" ht="22.5" customHeight="1">
      <c r="A31" s="331" t="str">
        <f>Rooster!A32</f>
        <v>Vrijdag</v>
      </c>
      <c r="B31" s="396">
        <f>Rooster!B32</f>
        <v>0.6666666667</v>
      </c>
      <c r="C31" s="15">
        <f>Rooster!C32</f>
        <v>60</v>
      </c>
      <c r="D31" s="11" t="str">
        <f>Rooster!D32</f>
        <v>Cheer 8+</v>
      </c>
      <c r="E31" s="77">
        <v>2.0</v>
      </c>
      <c r="F31" s="327" t="str">
        <f>Rooster!E32</f>
        <v>Eigenaar</v>
      </c>
      <c r="G31" s="319">
        <f>IFERROR(VLOOKUP(F31, Docenten!$A$2:$G$30, 7, FALSE), "0")</f>
        <v>0</v>
      </c>
      <c r="H31" s="320">
        <f t="shared" si="1"/>
        <v>0</v>
      </c>
      <c r="I31" s="327" t="str">
        <f>Rooster!H32</f>
        <v>Santpoort Zuid</v>
      </c>
      <c r="J31" s="321">
        <f>IFERROR(VLOOKUP(I31, Locaties!$A$2:$G$15, 7, FALSE), "0")</f>
        <v>18.9</v>
      </c>
      <c r="K31" s="42">
        <f t="shared" si="2"/>
        <v>18.9</v>
      </c>
      <c r="L31" s="427">
        <f>April!L31</f>
        <v>3</v>
      </c>
      <c r="M31" s="428" t="str">
        <f>April!M31</f>
        <v>Cheer regulier + onbeperkt abbo</v>
      </c>
      <c r="N31" s="321">
        <f>IFERROR(VLOOKUP(M31, Tarieven!$A$1:$J$150, 10, FALSE), "0")</f>
        <v>44.45</v>
      </c>
      <c r="O31" s="427">
        <f>April!O31</f>
        <v>5</v>
      </c>
      <c r="P31" s="428" t="str">
        <f>April!P31</f>
        <v>Cheer regulier +1 abbo</v>
      </c>
      <c r="Q31" s="325">
        <f>IFERROR(VLOOKUP(P31, Tarieven!$A$2:$J$150, 10, FALSE), "0")</f>
        <v>32.25</v>
      </c>
      <c r="R31" s="444">
        <f>April!R31</f>
        <v>1</v>
      </c>
      <c r="S31" s="428" t="str">
        <f>April!S31</f>
        <v>Cheer regulier abbo</v>
      </c>
      <c r="T31" s="325">
        <f>IFERROR(VLOOKUP(S31, Tarieven!$A$2:$J$150, 10, FALSE), "0")</f>
        <v>33.5</v>
      </c>
      <c r="U31" s="77">
        <f>April!U31</f>
        <v>1</v>
      </c>
      <c r="V31" s="327" t="str">
        <f>April!V31</f>
        <v>1x per week </v>
      </c>
      <c r="W31" s="325">
        <f>IFERROR(VLOOKUP(V31, Tarieven!$A$2:$J$150, 10, FALSE), "0")</f>
        <v>279</v>
      </c>
      <c r="X31" s="138">
        <f>April!X31</f>
        <v>11</v>
      </c>
      <c r="Y31" s="398">
        <v>0.0</v>
      </c>
      <c r="Z31" s="329">
        <f t="shared" si="3"/>
        <v>21</v>
      </c>
      <c r="AA31" s="32">
        <f t="shared" si="4"/>
        <v>37.8</v>
      </c>
      <c r="AB31" s="32">
        <f t="shared" si="5"/>
        <v>607.1</v>
      </c>
      <c r="AC31" s="32">
        <f t="shared" si="6"/>
        <v>569.3</v>
      </c>
    </row>
    <row r="32" ht="22.5" customHeight="1">
      <c r="A32" s="331" t="str">
        <f>Rooster!A33</f>
        <v>Vrijdag</v>
      </c>
      <c r="B32" s="396">
        <f>Rooster!B33</f>
        <v>0.7083333333</v>
      </c>
      <c r="C32" s="15">
        <f>Rooster!C33</f>
        <v>60</v>
      </c>
      <c r="D32" s="11" t="str">
        <f>Rooster!D33</f>
        <v>Cheer 12+</v>
      </c>
      <c r="E32" s="77">
        <v>2.0</v>
      </c>
      <c r="F32" s="327" t="str">
        <f>Rooster!E33</f>
        <v>Eigenaar</v>
      </c>
      <c r="G32" s="319">
        <f>IFERROR(VLOOKUP(F32, Docenten!$A$2:$G$30, 7, FALSE), "0")</f>
        <v>0</v>
      </c>
      <c r="H32" s="320">
        <f t="shared" si="1"/>
        <v>0</v>
      </c>
      <c r="I32" s="327" t="str">
        <f>Rooster!H33</f>
        <v>Santpoort Zuid</v>
      </c>
      <c r="J32" s="321">
        <f>IFERROR(VLOOKUP(I32, Locaties!$A$2:$G$15, 7, FALSE), "0")</f>
        <v>18.9</v>
      </c>
      <c r="K32" s="42">
        <f t="shared" si="2"/>
        <v>18.9</v>
      </c>
      <c r="L32" s="427">
        <f>April!L32</f>
        <v>4</v>
      </c>
      <c r="M32" s="428" t="str">
        <f>April!M32</f>
        <v>Cheer regulier +1 abbo</v>
      </c>
      <c r="N32" s="321">
        <f>IFERROR(VLOOKUP(M32, Tarieven!$A$1:$J$150, 10, FALSE), "0")</f>
        <v>32.25</v>
      </c>
      <c r="O32" s="427">
        <f>April!O32</f>
        <v>3</v>
      </c>
      <c r="P32" s="428" t="str">
        <f>April!P32</f>
        <v>Cheer regulier + onbeperkt abbo</v>
      </c>
      <c r="Q32" s="325">
        <f>IFERROR(VLOOKUP(P32, Tarieven!$A$2:$J$150, 10, FALSE), "0")</f>
        <v>44.45</v>
      </c>
      <c r="R32" s="444">
        <f>April!R32</f>
        <v>1</v>
      </c>
      <c r="S32" s="428" t="str">
        <f>April!S32</f>
        <v>Cheer regulier abbo</v>
      </c>
      <c r="T32" s="325">
        <f>IFERROR(VLOOKUP(S32, Tarieven!$A$2:$J$150, 10, FALSE), "0")</f>
        <v>33.5</v>
      </c>
      <c r="U32" s="77">
        <f>April!U32</f>
        <v>2</v>
      </c>
      <c r="V32" s="327" t="str">
        <f>April!V32</f>
        <v>1x per week abbo</v>
      </c>
      <c r="W32" s="325">
        <f>IFERROR(VLOOKUP(V32, Tarieven!$A$2:$J$150, 10, FALSE), "0")</f>
        <v>31</v>
      </c>
      <c r="X32" s="138">
        <f>April!X32</f>
        <v>5</v>
      </c>
      <c r="Y32" s="398">
        <v>0.0</v>
      </c>
      <c r="Z32" s="329">
        <f t="shared" si="3"/>
        <v>15</v>
      </c>
      <c r="AA32" s="32">
        <f t="shared" si="4"/>
        <v>37.8</v>
      </c>
      <c r="AB32" s="32">
        <f t="shared" si="5"/>
        <v>357.85</v>
      </c>
      <c r="AC32" s="32">
        <f t="shared" si="6"/>
        <v>320.05</v>
      </c>
    </row>
    <row r="33" ht="22.5" customHeight="1">
      <c r="A33" s="331" t="str">
        <f>Rooster!A34</f>
        <v>Vrijdag</v>
      </c>
      <c r="B33" s="396">
        <f>Rooster!B34</f>
        <v>0.75</v>
      </c>
      <c r="C33" s="15">
        <f>Rooster!C34</f>
        <v>60</v>
      </c>
      <c r="D33" s="11" t="str">
        <f>Rooster!D34</f>
        <v>Urban-pop-Show 11+</v>
      </c>
      <c r="E33" s="77">
        <v>2.0</v>
      </c>
      <c r="F33" s="327" t="str">
        <f>Rooster!E34</f>
        <v>Eigenaar</v>
      </c>
      <c r="G33" s="319">
        <f>IFERROR(VLOOKUP(F33, Docenten!$A$2:$G$30, 7, FALSE), "0")</f>
        <v>0</v>
      </c>
      <c r="H33" s="320">
        <f t="shared" si="1"/>
        <v>0</v>
      </c>
      <c r="I33" s="327" t="str">
        <f>Rooster!H34</f>
        <v>Santpoort Noord</v>
      </c>
      <c r="J33" s="321">
        <f>IFERROR(VLOOKUP(I33, Locaties!$A$2:$G$15, 7, FALSE), "0")</f>
        <v>14.2</v>
      </c>
      <c r="K33" s="42">
        <f t="shared" si="2"/>
        <v>14.2</v>
      </c>
      <c r="L33" s="427">
        <f>April!L33</f>
        <v>2</v>
      </c>
      <c r="M33" s="428" t="str">
        <f>April!M33</f>
        <v>Cheer regulier +1 abbo</v>
      </c>
      <c r="N33" s="321">
        <f>IFERROR(VLOOKUP(M33, Tarieven!$A$1:$J$150, 10, FALSE), "0")</f>
        <v>32.25</v>
      </c>
      <c r="O33" s="427">
        <f>April!O33</f>
        <v>3</v>
      </c>
      <c r="P33" s="428" t="str">
        <f>April!P33</f>
        <v>1x per week abbo</v>
      </c>
      <c r="Q33" s="325"/>
      <c r="R33" s="444" t="str">
        <f>April!R33</f>
        <v/>
      </c>
      <c r="S33" s="428" t="str">
        <f>April!S33</f>
        <v/>
      </c>
      <c r="T33" s="325" t="str">
        <f>IFERROR(VLOOKUP(S33, Tarieven!$A$2:$J$150, 10, FALSE), "0")</f>
        <v>0</v>
      </c>
      <c r="U33" s="77" t="str">
        <f>April!U33</f>
        <v/>
      </c>
      <c r="V33" s="327" t="str">
        <f>April!V33</f>
        <v/>
      </c>
      <c r="W33" s="325" t="str">
        <f>IFERROR(VLOOKUP(V33, Tarieven!$A$2:$J$150, 10, FALSE), "0")</f>
        <v>0</v>
      </c>
      <c r="X33" s="138">
        <f>April!X33</f>
        <v>8</v>
      </c>
      <c r="Y33" s="398">
        <v>0.0</v>
      </c>
      <c r="Z33" s="329">
        <f t="shared" si="3"/>
        <v>13</v>
      </c>
      <c r="AA33" s="32">
        <f t="shared" si="4"/>
        <v>28.4</v>
      </c>
      <c r="AB33" s="32">
        <f t="shared" si="5"/>
        <v>64.5</v>
      </c>
      <c r="AC33" s="32">
        <f t="shared" si="6"/>
        <v>36.1</v>
      </c>
    </row>
    <row r="34" ht="22.5" customHeight="1">
      <c r="A34" s="331" t="str">
        <f>Rooster!A35</f>
        <v>Zaterdag</v>
      </c>
      <c r="B34" s="396">
        <f>Rooster!B35</f>
        <v>0.375</v>
      </c>
      <c r="C34" s="15">
        <f>Rooster!C35</f>
        <v>60</v>
      </c>
      <c r="D34" s="11" t="str">
        <f>Rooster!D35</f>
        <v>Peuters</v>
      </c>
      <c r="E34" s="77">
        <v>2.0</v>
      </c>
      <c r="F34" s="327" t="str">
        <f>Rooster!E35</f>
        <v>Frederique</v>
      </c>
      <c r="G34" s="319">
        <f>IFERROR(VLOOKUP(F34, Docenten!$A$2:$G$30, 7, FALSE), "0")</f>
        <v>12.5</v>
      </c>
      <c r="H34" s="320">
        <f t="shared" si="1"/>
        <v>12.5</v>
      </c>
      <c r="I34" s="327" t="str">
        <f>Rooster!H35</f>
        <v>Santpoort Noord</v>
      </c>
      <c r="J34" s="321">
        <f>IFERROR(VLOOKUP(I34, Locaties!$A$2:$G$15, 7, FALSE), "0")</f>
        <v>14.2</v>
      </c>
      <c r="K34" s="42">
        <f t="shared" si="2"/>
        <v>14.2</v>
      </c>
      <c r="L34" s="440">
        <v>5.0</v>
      </c>
      <c r="M34" s="428" t="str">
        <f>April!M34</f>
        <v>1x per week abbo</v>
      </c>
      <c r="N34" s="321">
        <f>IFERROR(VLOOKUP(M34, Tarieven!$A$1:$J$150, 10, FALSE), "0")</f>
        <v>31</v>
      </c>
      <c r="O34" s="427">
        <f>April!O34</f>
        <v>1</v>
      </c>
      <c r="P34" s="428" t="str">
        <f>April!P34</f>
        <v/>
      </c>
      <c r="Q34" s="325" t="str">
        <f>IFERROR(VLOOKUP(P34, Tarieven!$A$2:$J$150, 10, FALSE), "0")</f>
        <v>0</v>
      </c>
      <c r="R34" s="444" t="str">
        <f>April!R34</f>
        <v/>
      </c>
      <c r="S34" s="428" t="str">
        <f>April!S34</f>
        <v/>
      </c>
      <c r="T34" s="325" t="str">
        <f>IFERROR(VLOOKUP(S34, Tarieven!$A$2:$J$150, 10, FALSE), "0")</f>
        <v>0</v>
      </c>
      <c r="U34" s="77" t="str">
        <f>April!U34</f>
        <v/>
      </c>
      <c r="V34" s="327" t="str">
        <f>April!V34</f>
        <v/>
      </c>
      <c r="W34" s="325" t="str">
        <f>IFERROR(VLOOKUP(V34, Tarieven!$A$2:$J$150, 10, FALSE), "0")</f>
        <v>0</v>
      </c>
      <c r="X34" s="138">
        <f>April!X34</f>
        <v>4</v>
      </c>
      <c r="Y34" s="398">
        <v>0.0</v>
      </c>
      <c r="Z34" s="329">
        <f t="shared" si="3"/>
        <v>10</v>
      </c>
      <c r="AA34" s="32">
        <f t="shared" si="4"/>
        <v>53.4</v>
      </c>
      <c r="AB34" s="32">
        <f t="shared" si="5"/>
        <v>155</v>
      </c>
      <c r="AC34" s="32">
        <f t="shared" si="6"/>
        <v>101.6</v>
      </c>
    </row>
    <row r="35" ht="22.5" customHeight="1">
      <c r="A35" s="331" t="str">
        <f>Rooster!A36</f>
        <v>Zaterdag</v>
      </c>
      <c r="B35" s="396">
        <f>Rooster!B36</f>
        <v>0.40625</v>
      </c>
      <c r="C35" s="15">
        <f>Rooster!C36</f>
        <v>60</v>
      </c>
      <c r="D35" s="11" t="str">
        <f>Rooster!D36</f>
        <v>Kleuters</v>
      </c>
      <c r="E35" s="77">
        <v>2.0</v>
      </c>
      <c r="F35" s="327" t="str">
        <f>Rooster!E36</f>
        <v>Frederique</v>
      </c>
      <c r="G35" s="319">
        <f>IFERROR(VLOOKUP(F35, Docenten!$A$2:$G$30, 7, FALSE), "0")</f>
        <v>12.5</v>
      </c>
      <c r="H35" s="320">
        <f t="shared" si="1"/>
        <v>12.5</v>
      </c>
      <c r="I35" s="327" t="str">
        <f>Rooster!H36</f>
        <v>Santpoort Noord</v>
      </c>
      <c r="J35" s="321">
        <f>IFERROR(VLOOKUP(I35, Locaties!$A$2:$G$15, 7, FALSE), "0")</f>
        <v>14.2</v>
      </c>
      <c r="K35" s="42">
        <f t="shared" si="2"/>
        <v>14.2</v>
      </c>
      <c r="L35" s="427">
        <f>April!L35</f>
        <v>11</v>
      </c>
      <c r="M35" s="428" t="str">
        <f>April!M35</f>
        <v>1x per week abbo</v>
      </c>
      <c r="N35" s="321">
        <f>IFERROR(VLOOKUP(M35, Tarieven!$A$1:$J$150, 10, FALSE), "0")</f>
        <v>31</v>
      </c>
      <c r="O35" s="427" t="str">
        <f>April!O35</f>
        <v/>
      </c>
      <c r="P35" s="428" t="str">
        <f>April!P35</f>
        <v/>
      </c>
      <c r="Q35" s="325"/>
      <c r="R35" s="444" t="str">
        <f>April!R35</f>
        <v/>
      </c>
      <c r="S35" s="428" t="str">
        <f>April!S35</f>
        <v/>
      </c>
      <c r="T35" s="325" t="str">
        <f>IFERROR(VLOOKUP(S35, Tarieven!$A$2:$J$150, 10, FALSE), "0")</f>
        <v>0</v>
      </c>
      <c r="U35" s="77" t="str">
        <f>April!U35</f>
        <v/>
      </c>
      <c r="V35" s="327" t="str">
        <f>April!V35</f>
        <v/>
      </c>
      <c r="W35" s="325" t="str">
        <f>IFERROR(VLOOKUP(V35, Tarieven!$A$2:$J$150, 10, FALSE), "0")</f>
        <v>0</v>
      </c>
      <c r="X35" s="138">
        <f>April!X35</f>
        <v>5</v>
      </c>
      <c r="Y35" s="398">
        <v>0.0</v>
      </c>
      <c r="Z35" s="329">
        <f t="shared" si="3"/>
        <v>16</v>
      </c>
      <c r="AA35" s="32">
        <f t="shared" si="4"/>
        <v>53.4</v>
      </c>
      <c r="AB35" s="32">
        <f t="shared" si="5"/>
        <v>341</v>
      </c>
      <c r="AC35" s="32">
        <f t="shared" si="6"/>
        <v>287.6</v>
      </c>
    </row>
    <row r="36" ht="22.5" customHeight="1">
      <c r="A36" s="331" t="str">
        <f>Rooster!A37</f>
        <v>Zaterdag</v>
      </c>
      <c r="B36" s="396">
        <f>Rooster!B37</f>
        <v>0.4375</v>
      </c>
      <c r="C36" s="15">
        <f>Rooster!C37</f>
        <v>60</v>
      </c>
      <c r="D36" s="11" t="str">
        <f>Rooster!D37</f>
        <v>Showdance 5-6</v>
      </c>
      <c r="E36" s="77">
        <v>2.0</v>
      </c>
      <c r="F36" s="327" t="str">
        <f>Rooster!E37</f>
        <v>Frederique</v>
      </c>
      <c r="G36" s="319">
        <f>IFERROR(VLOOKUP(F36, Docenten!$A$2:$G$30, 7, FALSE), "0")</f>
        <v>12.5</v>
      </c>
      <c r="H36" s="320">
        <f t="shared" si="1"/>
        <v>12.5</v>
      </c>
      <c r="I36" s="327" t="str">
        <f>Rooster!H37</f>
        <v>Santpoort Noord</v>
      </c>
      <c r="J36" s="321">
        <f>IFERROR(VLOOKUP(I36, Locaties!$A$2:$G$15, 7, FALSE), "0")</f>
        <v>14.2</v>
      </c>
      <c r="K36" s="42">
        <f t="shared" si="2"/>
        <v>14.2</v>
      </c>
      <c r="L36" s="427">
        <f>April!L36</f>
        <v>2</v>
      </c>
      <c r="M36" s="428" t="str">
        <f>April!M36</f>
        <v>1x per week abbo</v>
      </c>
      <c r="N36" s="321">
        <f>IFERROR(VLOOKUP(M36, Tarieven!$A$1:$J$150, 10, FALSE), "0")</f>
        <v>31</v>
      </c>
      <c r="O36" s="427" t="str">
        <f>April!O36</f>
        <v/>
      </c>
      <c r="P36" s="428" t="str">
        <f>April!P36</f>
        <v/>
      </c>
      <c r="Q36" s="325" t="str">
        <f>IFERROR(VLOOKUP(P36, Tarieven!$A$2:$J$150, 10, FALSE), "0")</f>
        <v>0</v>
      </c>
      <c r="R36" s="444" t="str">
        <f>April!R36</f>
        <v/>
      </c>
      <c r="S36" s="428" t="str">
        <f>April!S36</f>
        <v/>
      </c>
      <c r="T36" s="325" t="str">
        <f>IFERROR(VLOOKUP(S36, Tarieven!$A$2:$J$150, 10, FALSE), "0")</f>
        <v>0</v>
      </c>
      <c r="U36" s="77" t="str">
        <f>April!U36</f>
        <v/>
      </c>
      <c r="V36" s="327" t="str">
        <f>April!V36</f>
        <v/>
      </c>
      <c r="W36" s="325" t="str">
        <f>IFERROR(VLOOKUP(V36, Tarieven!$A$2:$J$150, 10, FALSE), "0")</f>
        <v>0</v>
      </c>
      <c r="X36" s="138">
        <f>April!X36</f>
        <v>9</v>
      </c>
      <c r="Y36" s="398">
        <v>0.0</v>
      </c>
      <c r="Z36" s="329">
        <f t="shared" si="3"/>
        <v>11</v>
      </c>
      <c r="AA36" s="32">
        <f t="shared" si="4"/>
        <v>53.4</v>
      </c>
      <c r="AB36" s="32">
        <f t="shared" si="5"/>
        <v>62</v>
      </c>
      <c r="AC36" s="32">
        <f t="shared" si="6"/>
        <v>8.6</v>
      </c>
    </row>
    <row r="37" ht="22.5" customHeight="1">
      <c r="A37" s="331" t="str">
        <f>Rooster!A38</f>
        <v>Zaterdag</v>
      </c>
      <c r="B37" s="396">
        <f>Rooster!B38</f>
        <v>0.4791666667</v>
      </c>
      <c r="C37" s="15">
        <f>Rooster!C38</f>
        <v>60</v>
      </c>
      <c r="D37" s="11" t="str">
        <f>Rooster!D38</f>
        <v>Showdance 7+</v>
      </c>
      <c r="E37" s="77">
        <v>2.0</v>
      </c>
      <c r="F37" s="327" t="str">
        <f>Rooster!E38</f>
        <v>Frederique</v>
      </c>
      <c r="G37" s="319">
        <f>IFERROR(VLOOKUP(F37, Docenten!$A$2:$G$30, 7, FALSE), "0")</f>
        <v>12.5</v>
      </c>
      <c r="H37" s="320">
        <f t="shared" si="1"/>
        <v>12.5</v>
      </c>
      <c r="I37" s="327" t="str">
        <f>Rooster!H38</f>
        <v>Santpoort Noord</v>
      </c>
      <c r="J37" s="321">
        <f>IFERROR(VLOOKUP(I37, Locaties!$A$2:$G$15, 7, FALSE), "0")</f>
        <v>14.2</v>
      </c>
      <c r="K37" s="42">
        <f t="shared" si="2"/>
        <v>14.2</v>
      </c>
      <c r="L37" s="427">
        <f>April!L37</f>
        <v>6</v>
      </c>
      <c r="M37" s="428" t="str">
        <f>April!M37</f>
        <v>1x per week abbo</v>
      </c>
      <c r="N37" s="321">
        <f>IFERROR(VLOOKUP(M37, Tarieven!$A$1:$J$150, 10, FALSE), "0")</f>
        <v>31</v>
      </c>
      <c r="O37" s="427">
        <f>April!O37</f>
        <v>1</v>
      </c>
      <c r="P37" s="428" t="str">
        <f>April!P37</f>
        <v>2x per week abbo</v>
      </c>
      <c r="Q37" s="325">
        <f>IFERROR(VLOOKUP(P37, Tarieven!$A$2:$J$150, 10, FALSE), "0")</f>
        <v>28.55</v>
      </c>
      <c r="R37" s="444" t="str">
        <f>April!R37</f>
        <v/>
      </c>
      <c r="S37" s="428" t="str">
        <f>April!S37</f>
        <v/>
      </c>
      <c r="T37" s="325" t="str">
        <f>IFERROR(VLOOKUP(S37, Tarieven!$A$2:$J$150, 10, FALSE), "0")</f>
        <v>0</v>
      </c>
      <c r="U37" s="77" t="str">
        <f>April!U37</f>
        <v/>
      </c>
      <c r="V37" s="327" t="str">
        <f>April!V37</f>
        <v/>
      </c>
      <c r="W37" s="325" t="str">
        <f>IFERROR(VLOOKUP(V37, Tarieven!$A$2:$J$150, 10, FALSE), "0")</f>
        <v>0</v>
      </c>
      <c r="X37" s="138">
        <f>April!X37</f>
        <v>4</v>
      </c>
      <c r="Y37" s="398">
        <v>0.0</v>
      </c>
      <c r="Z37" s="329">
        <f t="shared" si="3"/>
        <v>11</v>
      </c>
      <c r="AA37" s="32">
        <f t="shared" si="4"/>
        <v>53.4</v>
      </c>
      <c r="AB37" s="32">
        <f t="shared" si="5"/>
        <v>214.55</v>
      </c>
      <c r="AC37" s="32">
        <f t="shared" si="6"/>
        <v>161.15</v>
      </c>
    </row>
    <row r="38" ht="22.5" customHeight="1">
      <c r="A38" s="331" t="str">
        <f>Rooster!A39</f>
        <v>Zaterdag</v>
      </c>
      <c r="B38" s="396">
        <f>Rooster!B39</f>
        <v>0.4166666667</v>
      </c>
      <c r="C38" s="15">
        <f>Rooster!C39</f>
        <v>60</v>
      </c>
      <c r="D38" s="11" t="str">
        <f>Rooster!D39</f>
        <v>Peuters</v>
      </c>
      <c r="E38" s="77">
        <v>2.0</v>
      </c>
      <c r="F38" s="327" t="str">
        <f>Rooster!E39</f>
        <v>Tess</v>
      </c>
      <c r="G38" s="319">
        <f>IFERROR(VLOOKUP(F38, Docenten!$A$2:$G$30, 7, FALSE), "0")</f>
        <v>17.5</v>
      </c>
      <c r="H38" s="320">
        <f t="shared" si="1"/>
        <v>17.5</v>
      </c>
      <c r="I38" s="327" t="str">
        <f>Rooster!H39</f>
        <v>Santpoort Zuid</v>
      </c>
      <c r="J38" s="321">
        <f>IFERROR(VLOOKUP(I38, Locaties!$A$2:$G$15, 7, FALSE), "0")</f>
        <v>18.9</v>
      </c>
      <c r="K38" s="42">
        <f t="shared" si="2"/>
        <v>18.9</v>
      </c>
      <c r="L38" s="427" t="str">
        <f>April!L38</f>
        <v/>
      </c>
      <c r="M38" s="428" t="str">
        <f>April!M38</f>
        <v/>
      </c>
      <c r="N38" s="321" t="str">
        <f>IFERROR(VLOOKUP(M38, Tarieven!$A$1:$J$150, 10, FALSE), "0")</f>
        <v>0</v>
      </c>
      <c r="O38" s="427" t="str">
        <f>April!O38</f>
        <v/>
      </c>
      <c r="P38" s="428" t="str">
        <f>April!P38</f>
        <v/>
      </c>
      <c r="Q38" s="325" t="str">
        <f>IFERROR(VLOOKUP(P38, Tarieven!$A$2:$J$150, 10, FALSE), "0")</f>
        <v>0</v>
      </c>
      <c r="R38" s="444" t="str">
        <f>April!R38</f>
        <v/>
      </c>
      <c r="S38" s="428" t="str">
        <f>April!S38</f>
        <v/>
      </c>
      <c r="T38" s="325" t="str">
        <f>IFERROR(VLOOKUP(S38, Tarieven!$A$2:$J$150, 10, FALSE), "0")</f>
        <v>0</v>
      </c>
      <c r="U38" s="77" t="str">
        <f>April!U38</f>
        <v/>
      </c>
      <c r="V38" s="327" t="str">
        <f>April!V38</f>
        <v/>
      </c>
      <c r="W38" s="325" t="str">
        <f>IFERROR(VLOOKUP(V38, Tarieven!$A$2:$J$150, 10, FALSE), "0")</f>
        <v>0</v>
      </c>
      <c r="X38" s="138">
        <f>April!X38</f>
        <v>0</v>
      </c>
      <c r="Y38" s="398">
        <v>0.0</v>
      </c>
      <c r="Z38" s="329">
        <f t="shared" si="3"/>
        <v>0</v>
      </c>
      <c r="AA38" s="32">
        <f t="shared" si="4"/>
        <v>72.8</v>
      </c>
      <c r="AB38" s="32">
        <f t="shared" si="5"/>
        <v>0</v>
      </c>
      <c r="AC38" s="32">
        <f t="shared" si="6"/>
        <v>-72.8</v>
      </c>
    </row>
    <row r="39" ht="22.5" customHeight="1">
      <c r="A39" s="331" t="str">
        <f>Rooster!A40</f>
        <v>Zaterdag</v>
      </c>
      <c r="B39" s="396">
        <f>Rooster!B40</f>
        <v>0.4479166667</v>
      </c>
      <c r="C39" s="15">
        <f>Rooster!C40</f>
        <v>60</v>
      </c>
      <c r="D39" s="11" t="str">
        <f>Rooster!D40</f>
        <v>Kleuters</v>
      </c>
      <c r="E39" s="77">
        <v>2.0</v>
      </c>
      <c r="F39" s="327" t="str">
        <f>Rooster!E40</f>
        <v>Tess</v>
      </c>
      <c r="G39" s="319">
        <f>IFERROR(VLOOKUP(F39, Docenten!$A$2:$G$30, 7, FALSE), "0")</f>
        <v>17.5</v>
      </c>
      <c r="H39" s="320">
        <f t="shared" si="1"/>
        <v>17.5</v>
      </c>
      <c r="I39" s="327" t="str">
        <f>Rooster!H40</f>
        <v>Santpoort Zuid</v>
      </c>
      <c r="J39" s="321">
        <f>IFERROR(VLOOKUP(I39, Locaties!$A$2:$G$15, 7, FALSE), "0")</f>
        <v>18.9</v>
      </c>
      <c r="K39" s="42">
        <f t="shared" si="2"/>
        <v>18.9</v>
      </c>
      <c r="L39" s="427">
        <f>April!L39</f>
        <v>9</v>
      </c>
      <c r="M39" s="428" t="str">
        <f>April!M39</f>
        <v>1x per week abbo</v>
      </c>
      <c r="N39" s="321">
        <f>IFERROR(VLOOKUP(M39, Tarieven!$A$1:$J$150, 10, FALSE), "0")</f>
        <v>31</v>
      </c>
      <c r="O39" s="427">
        <f>April!O39</f>
        <v>1</v>
      </c>
      <c r="P39" s="428" t="str">
        <f>April!P39</f>
        <v>Aangepast tarief</v>
      </c>
      <c r="Q39" s="325">
        <f>IFERROR(VLOOKUP(P39, Tarieven!$A$2:$J$150, 10, FALSE), "0")</f>
        <v>0</v>
      </c>
      <c r="R39" s="444">
        <f>April!R39</f>
        <v>1</v>
      </c>
      <c r="S39" s="428" t="str">
        <f>April!S39</f>
        <v>1x per week </v>
      </c>
      <c r="T39" s="325">
        <f>IFERROR(VLOOKUP(S39, Tarieven!$A$2:$J$150, 10, FALSE), "0")</f>
        <v>279</v>
      </c>
      <c r="U39" s="77">
        <f>April!U39</f>
        <v>1</v>
      </c>
      <c r="V39" s="327" t="str">
        <f>April!V39</f>
        <v>Aangepast tarief</v>
      </c>
      <c r="W39" s="325">
        <f>IFERROR(VLOOKUP(V39, Tarieven!$A$2:$J$150, 10, FALSE), "0")</f>
        <v>0</v>
      </c>
      <c r="X39" s="138">
        <f>April!X39</f>
        <v>0</v>
      </c>
      <c r="Y39" s="398">
        <v>0.0</v>
      </c>
      <c r="Z39" s="329">
        <f t="shared" si="3"/>
        <v>12</v>
      </c>
      <c r="AA39" s="32">
        <f t="shared" si="4"/>
        <v>72.8</v>
      </c>
      <c r="AB39" s="32">
        <f t="shared" si="5"/>
        <v>558</v>
      </c>
      <c r="AC39" s="32">
        <f t="shared" si="6"/>
        <v>485.2</v>
      </c>
    </row>
    <row r="40" ht="22.5" customHeight="1">
      <c r="A40" s="331" t="str">
        <f>Rooster!A41</f>
        <v/>
      </c>
      <c r="B40" s="396" t="str">
        <f>Rooster!B41</f>
        <v/>
      </c>
      <c r="C40" s="15" t="str">
        <f>Rooster!C41</f>
        <v/>
      </c>
      <c r="D40" s="11" t="str">
        <f>Rooster!D41</f>
        <v/>
      </c>
      <c r="E40" s="77"/>
      <c r="F40" s="327" t="str">
        <f>Rooster!E41</f>
        <v/>
      </c>
      <c r="G40" s="319" t="str">
        <f>IFERROR(VLOOKUP(F40, Docenten!$A$2:$G$30, 7, FALSE), "0")</f>
        <v>0</v>
      </c>
      <c r="H40" s="320">
        <f t="shared" si="1"/>
        <v>0</v>
      </c>
      <c r="I40" s="327" t="str">
        <f>Rooster!H41</f>
        <v/>
      </c>
      <c r="J40" s="321" t="str">
        <f>IFERROR(VLOOKUP(I40, Locaties!$A$2:$G$15, 7, FALSE), "0")</f>
        <v>0</v>
      </c>
      <c r="K40" s="42">
        <f t="shared" si="2"/>
        <v>0</v>
      </c>
      <c r="L40" s="427" t="str">
        <f>April!L40</f>
        <v/>
      </c>
      <c r="M40" s="428" t="str">
        <f>April!M40</f>
        <v/>
      </c>
      <c r="N40" s="321" t="str">
        <f>IFERROR(VLOOKUP(M40, Tarieven!$A$1:$J$150, 10, FALSE), "0")</f>
        <v>0</v>
      </c>
      <c r="O40" s="427" t="str">
        <f>April!O40</f>
        <v/>
      </c>
      <c r="P40" s="428" t="str">
        <f>April!P40</f>
        <v/>
      </c>
      <c r="Q40" s="325" t="str">
        <f>IFERROR(VLOOKUP(P40, Tarieven!$A$2:$J$150, 10, FALSE), "0")</f>
        <v>0</v>
      </c>
      <c r="R40" s="444" t="str">
        <f>April!R40</f>
        <v/>
      </c>
      <c r="S40" s="428" t="str">
        <f>April!S40</f>
        <v/>
      </c>
      <c r="T40" s="325" t="str">
        <f>IFERROR(VLOOKUP(S40, Tarieven!$A$2:$J$150, 10, FALSE), "0")</f>
        <v>0</v>
      </c>
      <c r="U40" s="77" t="str">
        <f>April!U40</f>
        <v/>
      </c>
      <c r="V40" s="327" t="str">
        <f>April!V40</f>
        <v/>
      </c>
      <c r="W40" s="325" t="str">
        <f>IFERROR(VLOOKUP(V40, Tarieven!$A$2:$J$150, 10, FALSE), "0")</f>
        <v>0</v>
      </c>
      <c r="X40" s="138">
        <f>April!X40</f>
        <v>0</v>
      </c>
      <c r="Y40" s="398">
        <v>0.0</v>
      </c>
      <c r="Z40" s="329">
        <f t="shared" si="3"/>
        <v>0</v>
      </c>
      <c r="AA40" s="32">
        <f t="shared" si="4"/>
        <v>0</v>
      </c>
      <c r="AB40" s="32">
        <f t="shared" si="5"/>
        <v>0</v>
      </c>
      <c r="AC40" s="32">
        <f t="shared" si="6"/>
        <v>0</v>
      </c>
    </row>
    <row r="41" ht="22.5" customHeight="1">
      <c r="A41" s="331" t="str">
        <f>Rooster!A42</f>
        <v/>
      </c>
      <c r="B41" s="396" t="str">
        <f>Rooster!B42</f>
        <v/>
      </c>
      <c r="C41" s="15" t="str">
        <f>Rooster!C42</f>
        <v/>
      </c>
      <c r="D41" s="11" t="str">
        <f>Rooster!D42</f>
        <v/>
      </c>
      <c r="E41" s="77"/>
      <c r="F41" s="327" t="str">
        <f>Rooster!E42</f>
        <v/>
      </c>
      <c r="G41" s="319" t="str">
        <f>IFERROR(VLOOKUP(F41, Docenten!$A$2:$G$30, 7, FALSE), "0")</f>
        <v>0</v>
      </c>
      <c r="H41" s="320">
        <f t="shared" si="1"/>
        <v>0</v>
      </c>
      <c r="I41" s="327" t="str">
        <f>Rooster!H42</f>
        <v/>
      </c>
      <c r="J41" s="321" t="str">
        <f>IFERROR(VLOOKUP(I41, Locaties!$A$2:$G$15, 7, FALSE), "0")</f>
        <v>0</v>
      </c>
      <c r="K41" s="42">
        <f t="shared" si="2"/>
        <v>0</v>
      </c>
      <c r="L41" s="427" t="str">
        <f>April!L41</f>
        <v/>
      </c>
      <c r="M41" s="428" t="str">
        <f>April!M41</f>
        <v/>
      </c>
      <c r="N41" s="321" t="str">
        <f>IFERROR(VLOOKUP(M41, Tarieven!$A$1:$J$150, 10, FALSE), "0")</f>
        <v>0</v>
      </c>
      <c r="O41" s="427" t="str">
        <f>April!O41</f>
        <v/>
      </c>
      <c r="P41" s="428" t="str">
        <f>April!P41</f>
        <v/>
      </c>
      <c r="Q41" s="325" t="str">
        <f>IFERROR(VLOOKUP(P41, Tarieven!$A$2:$J$150, 10, FALSE), "0")</f>
        <v>0</v>
      </c>
      <c r="R41" s="444" t="str">
        <f>April!R41</f>
        <v/>
      </c>
      <c r="S41" s="428" t="str">
        <f>April!S41</f>
        <v/>
      </c>
      <c r="T41" s="325" t="str">
        <f>IFERROR(VLOOKUP(S41, Tarieven!$A$2:$J$150, 10, FALSE), "0")</f>
        <v>0</v>
      </c>
      <c r="U41" s="77" t="str">
        <f>April!U41</f>
        <v/>
      </c>
      <c r="V41" s="327" t="str">
        <f>April!V41</f>
        <v/>
      </c>
      <c r="W41" s="325" t="str">
        <f>IFERROR(VLOOKUP(V41, Tarieven!$A$2:$J$150, 10, FALSE), "0")</f>
        <v>0</v>
      </c>
      <c r="X41" s="138">
        <f>April!X41</f>
        <v>0</v>
      </c>
      <c r="Y41" s="398">
        <v>0.0</v>
      </c>
      <c r="Z41" s="329">
        <f t="shared" si="3"/>
        <v>0</v>
      </c>
      <c r="AA41" s="32">
        <f t="shared" si="4"/>
        <v>0</v>
      </c>
      <c r="AB41" s="32">
        <f t="shared" si="5"/>
        <v>0</v>
      </c>
      <c r="AC41" s="32">
        <f t="shared" si="6"/>
        <v>0</v>
      </c>
    </row>
    <row r="42" ht="22.5" customHeight="1">
      <c r="A42" s="331" t="str">
        <f>Rooster!A43</f>
        <v>Maandag</v>
      </c>
      <c r="B42" s="396">
        <f>Rooster!B43</f>
        <v>0.3958333333</v>
      </c>
      <c r="C42" s="15">
        <f>Rooster!C43</f>
        <v>60</v>
      </c>
      <c r="D42" s="11" t="str">
        <f>Rooster!D43</f>
        <v>Kinderopvang</v>
      </c>
      <c r="E42" s="77">
        <v>3.0</v>
      </c>
      <c r="F42" s="327" t="str">
        <f>Rooster!E43</f>
        <v>Opvang T</v>
      </c>
      <c r="G42" s="319">
        <f>IFERROR(VLOOKUP(F42, Docenten!$A$2:$G$30, 7, FALSE), "0")</f>
        <v>45</v>
      </c>
      <c r="H42" s="320">
        <f t="shared" si="1"/>
        <v>45</v>
      </c>
      <c r="I42" s="327" t="str">
        <f>Rooster!H43</f>
        <v/>
      </c>
      <c r="J42" s="321" t="str">
        <f>IFERROR(VLOOKUP(I42, Locaties!$A$2:$G$15, 7, FALSE), "0")</f>
        <v>0</v>
      </c>
      <c r="K42" s="42">
        <f t="shared" si="2"/>
        <v>0</v>
      </c>
      <c r="L42" s="427">
        <f>April!L42</f>
        <v>1</v>
      </c>
      <c r="M42" s="428" t="str">
        <f>April!M42</f>
        <v>Aangepast tarief</v>
      </c>
      <c r="N42" s="442">
        <v>240.0</v>
      </c>
      <c r="O42" s="427" t="str">
        <f>April!O42</f>
        <v/>
      </c>
      <c r="P42" s="428" t="str">
        <f>April!P42</f>
        <v/>
      </c>
      <c r="Q42" s="325" t="str">
        <f>IFERROR(VLOOKUP(P42, Tarieven!$A$2:$J$150, 10, FALSE), "0")</f>
        <v>0</v>
      </c>
      <c r="R42" s="444" t="str">
        <f>April!R42</f>
        <v/>
      </c>
      <c r="S42" s="428" t="str">
        <f>April!S42</f>
        <v/>
      </c>
      <c r="T42" s="325" t="str">
        <f>IFERROR(VLOOKUP(S42, Tarieven!$A$2:$J$150, 10, FALSE), "0")</f>
        <v>0</v>
      </c>
      <c r="U42" s="77" t="str">
        <f>April!U42</f>
        <v/>
      </c>
      <c r="V42" s="327" t="str">
        <f>April!V42</f>
        <v/>
      </c>
      <c r="W42" s="325" t="str">
        <f>IFERROR(VLOOKUP(V42, Tarieven!$A$2:$J$150, 10, FALSE), "0")</f>
        <v>0</v>
      </c>
      <c r="X42" s="138">
        <f>April!X42</f>
        <v>0</v>
      </c>
      <c r="Y42" s="398">
        <v>0.0</v>
      </c>
      <c r="Z42" s="329">
        <f t="shared" si="3"/>
        <v>1</v>
      </c>
      <c r="AA42" s="32">
        <f t="shared" si="4"/>
        <v>135</v>
      </c>
      <c r="AB42" s="32">
        <f t="shared" si="5"/>
        <v>240</v>
      </c>
      <c r="AC42" s="32">
        <f t="shared" si="6"/>
        <v>105</v>
      </c>
    </row>
    <row r="43" ht="22.5" customHeight="1">
      <c r="A43" s="331" t="str">
        <f>Rooster!A44</f>
        <v>Vrijdag</v>
      </c>
      <c r="B43" s="396">
        <f>Rooster!B44</f>
        <v>0.7916666667</v>
      </c>
      <c r="C43" s="15">
        <v>60.0</v>
      </c>
      <c r="D43" s="11" t="str">
        <f>Rooster!D44</f>
        <v>Prive training</v>
      </c>
      <c r="E43" s="77"/>
      <c r="F43" s="327"/>
      <c r="G43" s="319"/>
      <c r="H43" s="320"/>
      <c r="I43" s="327" t="str">
        <f>Rooster!H44</f>
        <v/>
      </c>
      <c r="J43" s="321" t="str">
        <f>IFERROR(VLOOKUP(I43, Locaties!$A$2:$G$15, 7, FALSE), "0")</f>
        <v>0</v>
      </c>
      <c r="K43" s="42">
        <f t="shared" si="2"/>
        <v>0</v>
      </c>
      <c r="L43" s="427" t="str">
        <f>April!L43</f>
        <v/>
      </c>
      <c r="M43" s="428" t="str">
        <f>April!M43</f>
        <v/>
      </c>
      <c r="N43" s="321" t="str">
        <f>IFERROR(VLOOKUP(M43, Tarieven!$A$1:$J$150, 10, FALSE), "0")</f>
        <v>0</v>
      </c>
      <c r="O43" s="427" t="str">
        <f>April!O43</f>
        <v/>
      </c>
      <c r="P43" s="428" t="str">
        <f>April!P43</f>
        <v/>
      </c>
      <c r="Q43" s="325" t="str">
        <f>IFERROR(VLOOKUP(P43, Tarieven!$A$2:$J$150, 10, FALSE), "0")</f>
        <v>0</v>
      </c>
      <c r="R43" s="444" t="str">
        <f>April!R43</f>
        <v/>
      </c>
      <c r="S43" s="428" t="str">
        <f>April!S43</f>
        <v/>
      </c>
      <c r="T43" s="325" t="str">
        <f>IFERROR(VLOOKUP(S43, Tarieven!$A$2:$J$150, 10, FALSE), "0")</f>
        <v>0</v>
      </c>
      <c r="U43" s="77" t="str">
        <f>April!U43</f>
        <v/>
      </c>
      <c r="V43" s="327" t="str">
        <f>April!V43</f>
        <v/>
      </c>
      <c r="W43" s="325" t="str">
        <f>IFERROR(VLOOKUP(V43, Tarieven!$A$2:$J$150, 10, FALSE), "0")</f>
        <v>0</v>
      </c>
      <c r="X43" s="138">
        <f>April!X43</f>
        <v>0</v>
      </c>
      <c r="Y43" s="398">
        <v>0.0</v>
      </c>
      <c r="Z43" s="329">
        <f t="shared" si="3"/>
        <v>0</v>
      </c>
      <c r="AA43" s="32">
        <f t="shared" si="4"/>
        <v>0</v>
      </c>
      <c r="AB43" s="32">
        <f t="shared" si="5"/>
        <v>0</v>
      </c>
      <c r="AC43" s="32">
        <f t="shared" si="6"/>
        <v>0</v>
      </c>
    </row>
    <row r="44" ht="22.5" customHeight="1">
      <c r="A44" s="331" t="str">
        <f>Rooster!A45</f>
        <v>Zaterdag</v>
      </c>
      <c r="B44" s="396">
        <f>Rooster!B45</f>
        <v>0.5625</v>
      </c>
      <c r="C44" s="15">
        <v>60.0</v>
      </c>
      <c r="D44" s="11" t="str">
        <f>Rooster!D45</f>
        <v>Prive training</v>
      </c>
      <c r="E44" s="77"/>
      <c r="F44" s="327"/>
      <c r="G44" s="319"/>
      <c r="H44" s="320"/>
      <c r="I44" s="327" t="str">
        <f>Rooster!H45</f>
        <v/>
      </c>
      <c r="J44" s="321" t="str">
        <f>IFERROR(VLOOKUP(I44, Locaties!$A$2:$G$15, 7, FALSE), "0")</f>
        <v>0</v>
      </c>
      <c r="K44" s="42">
        <f t="shared" si="2"/>
        <v>0</v>
      </c>
      <c r="L44" s="427" t="str">
        <f>April!L44</f>
        <v/>
      </c>
      <c r="M44" s="428" t="str">
        <f>April!M44</f>
        <v/>
      </c>
      <c r="N44" s="321" t="str">
        <f>IFERROR(VLOOKUP(M44, Tarieven!$A$1:$J$150, 10, FALSE), "0")</f>
        <v>0</v>
      </c>
      <c r="O44" s="427" t="str">
        <f>April!O44</f>
        <v/>
      </c>
      <c r="P44" s="428" t="str">
        <f>April!P44</f>
        <v/>
      </c>
      <c r="Q44" s="325" t="str">
        <f>IFERROR(VLOOKUP(P44, Tarieven!$A$2:$J$150, 10, FALSE), "0")</f>
        <v>0</v>
      </c>
      <c r="R44" s="444" t="str">
        <f>April!R44</f>
        <v/>
      </c>
      <c r="S44" s="428" t="str">
        <f>April!S44</f>
        <v/>
      </c>
      <c r="T44" s="325" t="str">
        <f>IFERROR(VLOOKUP(S44, Tarieven!$A$2:$J$150, 10, FALSE), "0")</f>
        <v>0</v>
      </c>
      <c r="U44" s="77" t="str">
        <f>April!U44</f>
        <v/>
      </c>
      <c r="V44" s="327" t="str">
        <f>April!V44</f>
        <v/>
      </c>
      <c r="W44" s="325" t="str">
        <f>IFERROR(VLOOKUP(V44, Tarieven!$A$2:$J$150, 10, FALSE), "0")</f>
        <v>0</v>
      </c>
      <c r="X44" s="138">
        <f>April!X44</f>
        <v>0</v>
      </c>
      <c r="Y44" s="398">
        <v>0.0</v>
      </c>
      <c r="Z44" s="329">
        <f t="shared" si="3"/>
        <v>0</v>
      </c>
      <c r="AA44" s="32">
        <f t="shared" si="4"/>
        <v>0</v>
      </c>
      <c r="AB44" s="32">
        <f t="shared" si="5"/>
        <v>0</v>
      </c>
      <c r="AC44" s="32">
        <f t="shared" si="6"/>
        <v>0</v>
      </c>
    </row>
    <row r="45" ht="22.5" customHeight="1">
      <c r="A45" s="331" t="str">
        <f>Rooster!A46</f>
        <v/>
      </c>
      <c r="B45" s="396" t="str">
        <f>Rooster!B46</f>
        <v/>
      </c>
      <c r="C45" s="15" t="str">
        <f>Rooster!C46</f>
        <v/>
      </c>
      <c r="D45" s="11" t="str">
        <f>Rooster!D46</f>
        <v/>
      </c>
      <c r="E45" s="77"/>
      <c r="F45" s="327" t="str">
        <f>Rooster!E46</f>
        <v/>
      </c>
      <c r="G45" s="319" t="str">
        <f>IFERROR(VLOOKUP(F45, Docenten!$A$2:$G$30, 7, FALSE), "0")</f>
        <v>0</v>
      </c>
      <c r="H45" s="320">
        <f t="shared" ref="H45:H101" si="7">SUM(G45/60)*C45</f>
        <v>0</v>
      </c>
      <c r="I45" s="327" t="str">
        <f>Rooster!H46</f>
        <v/>
      </c>
      <c r="J45" s="321" t="str">
        <f>IFERROR(VLOOKUP(I45, Locaties!$A$2:$G$15, 7, FALSE), "0")</f>
        <v>0</v>
      </c>
      <c r="K45" s="42">
        <f t="shared" si="2"/>
        <v>0</v>
      </c>
      <c r="L45" s="427" t="str">
        <f>April!L45</f>
        <v/>
      </c>
      <c r="M45" s="428" t="str">
        <f>April!M45</f>
        <v/>
      </c>
      <c r="N45" s="321" t="str">
        <f>IFERROR(VLOOKUP(M45, Tarieven!$A$1:$J$150, 10, FALSE), "0")</f>
        <v>0</v>
      </c>
      <c r="O45" s="427" t="str">
        <f>April!O45</f>
        <v/>
      </c>
      <c r="P45" s="428" t="str">
        <f>April!P45</f>
        <v/>
      </c>
      <c r="Q45" s="325" t="str">
        <f>IFERROR(VLOOKUP(P45, Tarieven!$A$2:$J$150, 10, FALSE), "0")</f>
        <v>0</v>
      </c>
      <c r="R45" s="444" t="str">
        <f>April!R45</f>
        <v/>
      </c>
      <c r="S45" s="428" t="str">
        <f>April!S45</f>
        <v/>
      </c>
      <c r="T45" s="325" t="str">
        <f>IFERROR(VLOOKUP(S45, Tarieven!$A$2:$J$150, 10, FALSE), "0")</f>
        <v>0</v>
      </c>
      <c r="U45" s="77" t="str">
        <f>April!U45</f>
        <v/>
      </c>
      <c r="V45" s="327" t="str">
        <f>April!V45</f>
        <v/>
      </c>
      <c r="W45" s="325" t="str">
        <f>IFERROR(VLOOKUP(V45, Tarieven!$A$2:$J$150, 10, FALSE), "0")</f>
        <v>0</v>
      </c>
      <c r="X45" s="138">
        <f>April!X45</f>
        <v>0</v>
      </c>
      <c r="Y45" s="398">
        <v>0.0</v>
      </c>
      <c r="Z45" s="329">
        <f t="shared" si="3"/>
        <v>0</v>
      </c>
      <c r="AA45" s="32">
        <f t="shared" si="4"/>
        <v>0</v>
      </c>
      <c r="AB45" s="32">
        <f t="shared" si="5"/>
        <v>0</v>
      </c>
      <c r="AC45" s="32">
        <f t="shared" si="6"/>
        <v>0</v>
      </c>
    </row>
    <row r="46" ht="22.5" customHeight="1">
      <c r="A46" s="331" t="str">
        <f>Rooster!A47</f>
        <v/>
      </c>
      <c r="B46" s="396" t="str">
        <f>Rooster!B47</f>
        <v/>
      </c>
      <c r="C46" s="15" t="str">
        <f>Rooster!C47</f>
        <v/>
      </c>
      <c r="D46" s="11" t="str">
        <f>Rooster!D47</f>
        <v/>
      </c>
      <c r="E46" s="77"/>
      <c r="F46" s="327" t="str">
        <f>Rooster!E47</f>
        <v/>
      </c>
      <c r="G46" s="319" t="str">
        <f>IFERROR(VLOOKUP(F46, Docenten!$A$2:$G$30, 7, FALSE), "0")</f>
        <v>0</v>
      </c>
      <c r="H46" s="320">
        <f t="shared" si="7"/>
        <v>0</v>
      </c>
      <c r="I46" s="327" t="str">
        <f>Rooster!H47</f>
        <v/>
      </c>
      <c r="J46" s="321" t="str">
        <f>IFERROR(VLOOKUP(I46, Locaties!$A$2:$G$15, 7, FALSE), "0")</f>
        <v>0</v>
      </c>
      <c r="K46" s="42">
        <f t="shared" si="2"/>
        <v>0</v>
      </c>
      <c r="L46" s="427" t="str">
        <f>April!L46</f>
        <v/>
      </c>
      <c r="M46" s="428" t="str">
        <f>April!M46</f>
        <v/>
      </c>
      <c r="N46" s="321" t="str">
        <f>IFERROR(VLOOKUP(M46, Tarieven!$A$1:$J$150, 10, FALSE), "0")</f>
        <v>0</v>
      </c>
      <c r="O46" s="427" t="str">
        <f>April!O46</f>
        <v/>
      </c>
      <c r="P46" s="428" t="str">
        <f>April!P46</f>
        <v/>
      </c>
      <c r="Q46" s="325" t="str">
        <f>IFERROR(VLOOKUP(P46, Tarieven!$A$2:$J$150, 10, FALSE), "0")</f>
        <v>0</v>
      </c>
      <c r="R46" s="444" t="str">
        <f>April!R46</f>
        <v/>
      </c>
      <c r="S46" s="428" t="str">
        <f>April!S46</f>
        <v/>
      </c>
      <c r="T46" s="325" t="str">
        <f>IFERROR(VLOOKUP(S46, Tarieven!$A$2:$J$150, 10, FALSE), "0")</f>
        <v>0</v>
      </c>
      <c r="U46" s="77" t="str">
        <f>April!U46</f>
        <v/>
      </c>
      <c r="V46" s="327" t="str">
        <f>April!V46</f>
        <v/>
      </c>
      <c r="W46" s="325" t="str">
        <f>IFERROR(VLOOKUP(V46, Tarieven!$A$2:$J$150, 10, FALSE), "0")</f>
        <v>0</v>
      </c>
      <c r="X46" s="138">
        <f>April!X46</f>
        <v>0</v>
      </c>
      <c r="Y46" s="398">
        <v>0.0</v>
      </c>
      <c r="Z46" s="329">
        <f t="shared" si="3"/>
        <v>0</v>
      </c>
      <c r="AA46" s="32">
        <f t="shared" si="4"/>
        <v>0</v>
      </c>
      <c r="AB46" s="32">
        <f t="shared" si="5"/>
        <v>0</v>
      </c>
      <c r="AC46" s="32">
        <f t="shared" si="6"/>
        <v>0</v>
      </c>
    </row>
    <row r="47" ht="22.5" customHeight="1">
      <c r="A47" s="331" t="str">
        <f>Rooster!A48</f>
        <v>Donderdag</v>
      </c>
      <c r="B47" s="396">
        <f>Rooster!B48</f>
        <v>0.75</v>
      </c>
      <c r="C47" s="15">
        <f>Rooster!C48</f>
        <v>60</v>
      </c>
      <c r="D47" s="11" t="str">
        <f>Rooster!D48</f>
        <v>Turnen 6+</v>
      </c>
      <c r="E47" s="77">
        <v>3.0</v>
      </c>
      <c r="F47" s="327" t="str">
        <f>Rooster!E48</f>
        <v>Dion + 3</v>
      </c>
      <c r="G47" s="319">
        <f>IFERROR(VLOOKUP(F47, Docenten!$A$2:$G$30, 7, FALSE), "0")</f>
        <v>34</v>
      </c>
      <c r="H47" s="320">
        <f t="shared" si="7"/>
        <v>34</v>
      </c>
      <c r="I47" s="327" t="str">
        <f>Rooster!H48</f>
        <v>Santpoort Noord</v>
      </c>
      <c r="J47" s="321">
        <f>IFERROR(VLOOKUP(I47, Locaties!$A$2:$G$15, 7, FALSE), "0")</f>
        <v>14.2</v>
      </c>
      <c r="K47" s="42">
        <f t="shared" si="2"/>
        <v>14.2</v>
      </c>
      <c r="L47" s="427">
        <f>April!L47</f>
        <v>10</v>
      </c>
      <c r="M47" s="428" t="str">
        <f>April!M47</f>
        <v>Aangepast tarief</v>
      </c>
      <c r="N47" s="321">
        <f>IFERROR(VLOOKUP(M47, Tarieven!$A$1:$J$150, 10, FALSE), "0")</f>
        <v>0</v>
      </c>
      <c r="O47" s="427">
        <f>April!O47</f>
        <v>1</v>
      </c>
      <c r="P47" s="428" t="str">
        <f>April!P47</f>
        <v>Aangepast tarief</v>
      </c>
      <c r="Q47" s="325">
        <f>IFERROR(VLOOKUP(P47, Tarieven!$A$2:$J$150, 10, FALSE), "0")</f>
        <v>0</v>
      </c>
      <c r="R47" s="444" t="str">
        <f>April!R47</f>
        <v/>
      </c>
      <c r="S47" s="428" t="str">
        <f>April!S47</f>
        <v/>
      </c>
      <c r="T47" s="325" t="str">
        <f>IFERROR(VLOOKUP(S47, Tarieven!$A$2:$J$150, 10, FALSE), "0")</f>
        <v>0</v>
      </c>
      <c r="U47" s="77" t="str">
        <f>April!U47</f>
        <v/>
      </c>
      <c r="V47" s="327" t="str">
        <f>April!V47</f>
        <v/>
      </c>
      <c r="W47" s="325" t="str">
        <f>IFERROR(VLOOKUP(V47, Tarieven!$A$2:$J$150, 10, FALSE), "0")</f>
        <v>0</v>
      </c>
      <c r="X47" s="138">
        <f>April!X47</f>
        <v>0</v>
      </c>
      <c r="Y47" s="398">
        <v>0.0</v>
      </c>
      <c r="Z47" s="329">
        <f t="shared" si="3"/>
        <v>11</v>
      </c>
      <c r="AA47" s="32">
        <f t="shared" si="4"/>
        <v>144.6</v>
      </c>
      <c r="AB47" s="32">
        <f t="shared" si="5"/>
        <v>0</v>
      </c>
      <c r="AC47" s="32">
        <f t="shared" si="6"/>
        <v>-144.6</v>
      </c>
    </row>
    <row r="48" ht="22.5" customHeight="1">
      <c r="A48" s="331" t="str">
        <f>Rooster!A49</f>
        <v>Donderdag</v>
      </c>
      <c r="B48" s="396">
        <f>Rooster!B49</f>
        <v>0.7916666667</v>
      </c>
      <c r="C48" s="15">
        <f>Rooster!C49</f>
        <v>60</v>
      </c>
      <c r="D48" s="11" t="str">
        <f>Rooster!D49</f>
        <v>Turnen 12+</v>
      </c>
      <c r="E48" s="77">
        <v>3.0</v>
      </c>
      <c r="F48" s="327" t="str">
        <f>Rooster!E49</f>
        <v>Dion + 3</v>
      </c>
      <c r="G48" s="319">
        <f>IFERROR(VLOOKUP(F48, Docenten!$A$2:$G$30, 7, FALSE), "0")</f>
        <v>34</v>
      </c>
      <c r="H48" s="320">
        <f t="shared" si="7"/>
        <v>34</v>
      </c>
      <c r="I48" s="327" t="str">
        <f>Rooster!H49</f>
        <v>Santpoort Noord</v>
      </c>
      <c r="J48" s="321">
        <f>IFERROR(VLOOKUP(I48, Locaties!$A$2:$G$15, 7, FALSE), "0")</f>
        <v>14.2</v>
      </c>
      <c r="K48" s="42">
        <f t="shared" si="2"/>
        <v>14.2</v>
      </c>
      <c r="L48" s="427">
        <f>April!L48</f>
        <v>6</v>
      </c>
      <c r="M48" s="428" t="str">
        <f>April!M48</f>
        <v>Aangepast tarief</v>
      </c>
      <c r="N48" s="321">
        <f>IFERROR(VLOOKUP(M48, Tarieven!$A$1:$J$150, 10, FALSE), "0")</f>
        <v>0</v>
      </c>
      <c r="O48" s="427">
        <f>April!O48</f>
        <v>2</v>
      </c>
      <c r="P48" s="428" t="str">
        <f>April!P48</f>
        <v>Aangepast tarief</v>
      </c>
      <c r="Q48" s="325">
        <f>IFERROR(VLOOKUP(P48, Tarieven!$A$2:$J$150, 10, FALSE), "0")</f>
        <v>0</v>
      </c>
      <c r="R48" s="444" t="str">
        <f>April!R48</f>
        <v/>
      </c>
      <c r="S48" s="428" t="str">
        <f>April!S48</f>
        <v/>
      </c>
      <c r="T48" s="325" t="str">
        <f>IFERROR(VLOOKUP(S48, Tarieven!$A$2:$J$150, 10, FALSE), "0")</f>
        <v>0</v>
      </c>
      <c r="U48" s="77" t="str">
        <f>April!U48</f>
        <v/>
      </c>
      <c r="V48" s="327" t="str">
        <f>April!V48</f>
        <v/>
      </c>
      <c r="W48" s="325" t="str">
        <f>IFERROR(VLOOKUP(V48, Tarieven!$A$2:$J$150, 10, FALSE), "0")</f>
        <v>0</v>
      </c>
      <c r="X48" s="138">
        <f>April!X48</f>
        <v>0</v>
      </c>
      <c r="Y48" s="398">
        <v>0.0</v>
      </c>
      <c r="Z48" s="329">
        <f t="shared" si="3"/>
        <v>8</v>
      </c>
      <c r="AA48" s="32">
        <f t="shared" si="4"/>
        <v>144.6</v>
      </c>
      <c r="AB48" s="32">
        <f t="shared" si="5"/>
        <v>0</v>
      </c>
      <c r="AC48" s="32">
        <f t="shared" si="6"/>
        <v>-144.6</v>
      </c>
    </row>
    <row r="49" ht="22.5" customHeight="1">
      <c r="A49" s="331" t="str">
        <f>Rooster!A50</f>
        <v/>
      </c>
      <c r="B49" s="396" t="str">
        <f>Rooster!B50</f>
        <v/>
      </c>
      <c r="C49" s="15" t="str">
        <f>Rooster!C50</f>
        <v/>
      </c>
      <c r="D49" s="11" t="str">
        <f>Rooster!D50</f>
        <v/>
      </c>
      <c r="E49" s="77"/>
      <c r="F49" s="327" t="str">
        <f>Rooster!E50</f>
        <v/>
      </c>
      <c r="G49" s="319" t="str">
        <f>IFERROR(VLOOKUP(F49, Docenten!$A$2:$G$30, 7, FALSE), "0")</f>
        <v>0</v>
      </c>
      <c r="H49" s="320">
        <f t="shared" si="7"/>
        <v>0</v>
      </c>
      <c r="I49" s="327" t="str">
        <f>Rooster!H50</f>
        <v/>
      </c>
      <c r="J49" s="321" t="str">
        <f>IFERROR(VLOOKUP(I49, Locaties!$A$2:$G$15, 7, FALSE), "0")</f>
        <v>0</v>
      </c>
      <c r="K49" s="42">
        <f t="shared" si="2"/>
        <v>0</v>
      </c>
      <c r="L49" s="427" t="str">
        <f>April!L49</f>
        <v/>
      </c>
      <c r="M49" s="428" t="str">
        <f>April!M49</f>
        <v/>
      </c>
      <c r="N49" s="321" t="str">
        <f>IFERROR(VLOOKUP(M49, Tarieven!$A$1:$J$150, 10, FALSE), "0")</f>
        <v>0</v>
      </c>
      <c r="O49" s="427" t="str">
        <f>April!O49</f>
        <v/>
      </c>
      <c r="P49" s="428" t="str">
        <f>April!P49</f>
        <v/>
      </c>
      <c r="Q49" s="325" t="str">
        <f>IFERROR(VLOOKUP(P49, Tarieven!$A$2:$J$150, 10, FALSE), "0")</f>
        <v>0</v>
      </c>
      <c r="R49" s="444" t="str">
        <f>April!R49</f>
        <v/>
      </c>
      <c r="S49" s="428" t="str">
        <f>April!S49</f>
        <v/>
      </c>
      <c r="T49" s="325" t="str">
        <f>IFERROR(VLOOKUP(S49, Tarieven!$A$2:$J$150, 10, FALSE), "0")</f>
        <v>0</v>
      </c>
      <c r="U49" s="77" t="str">
        <f>April!U49</f>
        <v/>
      </c>
      <c r="V49" s="327" t="str">
        <f>April!V49</f>
        <v/>
      </c>
      <c r="W49" s="325" t="str">
        <f>IFERROR(VLOOKUP(V49, Tarieven!$A$2:$J$150, 10, FALSE), "0")</f>
        <v>0</v>
      </c>
      <c r="X49" s="138">
        <f>April!X49</f>
        <v>0</v>
      </c>
      <c r="Y49" s="398">
        <v>0.0</v>
      </c>
      <c r="Z49" s="329">
        <f t="shared" si="3"/>
        <v>0</v>
      </c>
      <c r="AA49" s="32">
        <f t="shared" si="4"/>
        <v>0</v>
      </c>
      <c r="AB49" s="32">
        <f t="shared" si="5"/>
        <v>0</v>
      </c>
      <c r="AC49" s="32">
        <f t="shared" si="6"/>
        <v>0</v>
      </c>
    </row>
    <row r="50" ht="22.5" customHeight="1">
      <c r="A50" s="331" t="str">
        <f>Rooster!A51</f>
        <v/>
      </c>
      <c r="B50" s="396" t="str">
        <f>Rooster!B51</f>
        <v/>
      </c>
      <c r="C50" s="15" t="str">
        <f>Rooster!C51</f>
        <v/>
      </c>
      <c r="D50" s="11" t="str">
        <f>Rooster!D51</f>
        <v/>
      </c>
      <c r="E50" s="77"/>
      <c r="F50" s="327" t="str">
        <f>Rooster!E51</f>
        <v/>
      </c>
      <c r="G50" s="319" t="str">
        <f>IFERROR(VLOOKUP(F50, Docenten!$A$2:$G$30, 7, FALSE), "0")</f>
        <v>0</v>
      </c>
      <c r="H50" s="320">
        <f t="shared" si="7"/>
        <v>0</v>
      </c>
      <c r="I50" s="327" t="str">
        <f>Rooster!H51</f>
        <v/>
      </c>
      <c r="J50" s="321" t="str">
        <f>IFERROR(VLOOKUP(I50, Locaties!$A$2:$G$15, 7, FALSE), "0")</f>
        <v>0</v>
      </c>
      <c r="K50" s="42">
        <f t="shared" si="2"/>
        <v>0</v>
      </c>
      <c r="L50" s="427" t="str">
        <f>April!L50</f>
        <v/>
      </c>
      <c r="M50" s="428" t="str">
        <f>April!M50</f>
        <v/>
      </c>
      <c r="N50" s="321" t="str">
        <f>IFERROR(VLOOKUP(M50, Tarieven!$A$1:$J$150, 10, FALSE), "0")</f>
        <v>0</v>
      </c>
      <c r="O50" s="427" t="str">
        <f>April!O50</f>
        <v/>
      </c>
      <c r="P50" s="428" t="str">
        <f>April!P50</f>
        <v/>
      </c>
      <c r="Q50" s="325" t="str">
        <f>IFERROR(VLOOKUP(P50, Tarieven!$A$2:$J$150, 10, FALSE), "0")</f>
        <v>0</v>
      </c>
      <c r="R50" s="444" t="str">
        <f>April!R50</f>
        <v/>
      </c>
      <c r="S50" s="428" t="str">
        <f>April!S50</f>
        <v/>
      </c>
      <c r="T50" s="325" t="str">
        <f>IFERROR(VLOOKUP(S50, Tarieven!$A$2:$J$150, 10, FALSE), "0")</f>
        <v>0</v>
      </c>
      <c r="U50" s="77" t="str">
        <f>April!U50</f>
        <v/>
      </c>
      <c r="V50" s="327" t="str">
        <f>April!V50</f>
        <v/>
      </c>
      <c r="W50" s="325" t="str">
        <f>IFERROR(VLOOKUP(V50, Tarieven!$A$2:$J$150, 10, FALSE), "0")</f>
        <v>0</v>
      </c>
      <c r="X50" s="138">
        <f>April!X50</f>
        <v>0</v>
      </c>
      <c r="Y50" s="398">
        <v>0.0</v>
      </c>
      <c r="Z50" s="329">
        <f t="shared" si="3"/>
        <v>0</v>
      </c>
      <c r="AA50" s="32">
        <f t="shared" si="4"/>
        <v>0</v>
      </c>
      <c r="AB50" s="32">
        <f t="shared" si="5"/>
        <v>0</v>
      </c>
      <c r="AC50" s="32">
        <f t="shared" si="6"/>
        <v>0</v>
      </c>
    </row>
    <row r="51" ht="22.5" customHeight="1">
      <c r="A51" s="331" t="str">
        <f>Rooster!A52</f>
        <v/>
      </c>
      <c r="B51" s="396" t="str">
        <f>Rooster!B52</f>
        <v/>
      </c>
      <c r="C51" s="15" t="str">
        <f>Rooster!C52</f>
        <v/>
      </c>
      <c r="D51" s="11" t="str">
        <f>Rooster!D52</f>
        <v/>
      </c>
      <c r="E51" s="77"/>
      <c r="F51" s="327" t="str">
        <f>Rooster!E52</f>
        <v/>
      </c>
      <c r="G51" s="319" t="str">
        <f>IFERROR(VLOOKUP(F51, Docenten!$A$2:$G$30, 7, FALSE), "0")</f>
        <v>0</v>
      </c>
      <c r="H51" s="320">
        <f t="shared" si="7"/>
        <v>0</v>
      </c>
      <c r="I51" s="327" t="str">
        <f>Rooster!H52</f>
        <v/>
      </c>
      <c r="J51" s="321" t="str">
        <f>IFERROR(VLOOKUP(I51, Locaties!$A$2:$G$15, 7, FALSE), "0")</f>
        <v>0</v>
      </c>
      <c r="K51" s="42">
        <f t="shared" si="2"/>
        <v>0</v>
      </c>
      <c r="L51" s="427" t="str">
        <f>April!L51</f>
        <v/>
      </c>
      <c r="M51" s="428" t="str">
        <f>April!M51</f>
        <v/>
      </c>
      <c r="N51" s="321" t="str">
        <f>IFERROR(VLOOKUP(M51, Tarieven!$A$1:$J$150, 10, FALSE), "0")</f>
        <v>0</v>
      </c>
      <c r="O51" s="427" t="str">
        <f>April!O51</f>
        <v/>
      </c>
      <c r="P51" s="428" t="str">
        <f>April!P51</f>
        <v/>
      </c>
      <c r="Q51" s="325" t="str">
        <f>IFERROR(VLOOKUP(P51, Tarieven!$A$2:$J$150, 10, FALSE), "0")</f>
        <v>0</v>
      </c>
      <c r="R51" s="444" t="str">
        <f>April!R51</f>
        <v/>
      </c>
      <c r="S51" s="428" t="str">
        <f>April!S51</f>
        <v/>
      </c>
      <c r="T51" s="325" t="str">
        <f>IFERROR(VLOOKUP(S51, Tarieven!$A$2:$J$150, 10, FALSE), "0")</f>
        <v>0</v>
      </c>
      <c r="U51" s="77" t="str">
        <f>April!U51</f>
        <v/>
      </c>
      <c r="V51" s="327" t="str">
        <f>April!V51</f>
        <v/>
      </c>
      <c r="W51" s="325" t="str">
        <f>IFERROR(VLOOKUP(V51, Tarieven!$A$2:$J$150, 10, FALSE), "0")</f>
        <v>0</v>
      </c>
      <c r="X51" s="138">
        <f>April!X51</f>
        <v>0</v>
      </c>
      <c r="Y51" s="398">
        <v>0.0</v>
      </c>
      <c r="Z51" s="329">
        <f t="shared" si="3"/>
        <v>0</v>
      </c>
      <c r="AA51" s="32">
        <f t="shared" si="4"/>
        <v>0</v>
      </c>
      <c r="AB51" s="32">
        <f t="shared" si="5"/>
        <v>0</v>
      </c>
      <c r="AC51" s="32">
        <f t="shared" si="6"/>
        <v>0</v>
      </c>
    </row>
    <row r="52" ht="22.5" customHeight="1">
      <c r="A52" s="331" t="str">
        <f>Rooster!A53</f>
        <v/>
      </c>
      <c r="B52" s="396" t="str">
        <f>Rooster!B53</f>
        <v/>
      </c>
      <c r="C52" s="15" t="str">
        <f>Rooster!C53</f>
        <v/>
      </c>
      <c r="D52" s="11" t="str">
        <f>Rooster!D53</f>
        <v/>
      </c>
      <c r="E52" s="77"/>
      <c r="F52" s="327" t="str">
        <f>Rooster!E53</f>
        <v/>
      </c>
      <c r="G52" s="319" t="str">
        <f>IFERROR(VLOOKUP(F52, Docenten!$A$2:$G$30, 7, FALSE), "0")</f>
        <v>0</v>
      </c>
      <c r="H52" s="320">
        <f t="shared" si="7"/>
        <v>0</v>
      </c>
      <c r="I52" s="327" t="str">
        <f>Rooster!H53</f>
        <v/>
      </c>
      <c r="J52" s="321" t="str">
        <f>IFERROR(VLOOKUP(I52, Locaties!$A$2:$G$15, 7, FALSE), "0")</f>
        <v>0</v>
      </c>
      <c r="K52" s="42">
        <f t="shared" si="2"/>
        <v>0</v>
      </c>
      <c r="L52" s="427" t="str">
        <f>April!L52</f>
        <v/>
      </c>
      <c r="M52" s="428" t="str">
        <f>April!M52</f>
        <v/>
      </c>
      <c r="N52" s="321" t="str">
        <f>IFERROR(VLOOKUP(M52, Tarieven!$A$1:$J$150, 10, FALSE), "0")</f>
        <v>0</v>
      </c>
      <c r="O52" s="427" t="str">
        <f>April!O52</f>
        <v/>
      </c>
      <c r="P52" s="428" t="str">
        <f>April!P52</f>
        <v/>
      </c>
      <c r="Q52" s="325" t="str">
        <f>IFERROR(VLOOKUP(P52, Tarieven!$A$2:$J$150, 10, FALSE), "0")</f>
        <v>0</v>
      </c>
      <c r="R52" s="444" t="str">
        <f>April!R52</f>
        <v/>
      </c>
      <c r="S52" s="428" t="str">
        <f>April!S52</f>
        <v/>
      </c>
      <c r="T52" s="325" t="str">
        <f>IFERROR(VLOOKUP(S52, Tarieven!$A$2:$J$150, 10, FALSE), "0")</f>
        <v>0</v>
      </c>
      <c r="U52" s="77" t="str">
        <f>April!U52</f>
        <v/>
      </c>
      <c r="V52" s="327" t="str">
        <f>April!V52</f>
        <v/>
      </c>
      <c r="W52" s="325" t="str">
        <f>IFERROR(VLOOKUP(V52, Tarieven!$A$2:$J$150, 10, FALSE), "0")</f>
        <v>0</v>
      </c>
      <c r="X52" s="138">
        <f>April!X52</f>
        <v>0</v>
      </c>
      <c r="Y52" s="398">
        <v>0.0</v>
      </c>
      <c r="Z52" s="329">
        <f t="shared" si="3"/>
        <v>0</v>
      </c>
      <c r="AA52" s="32">
        <f t="shared" si="4"/>
        <v>0</v>
      </c>
      <c r="AB52" s="32">
        <f t="shared" si="5"/>
        <v>0</v>
      </c>
      <c r="AC52" s="32">
        <f t="shared" si="6"/>
        <v>0</v>
      </c>
    </row>
    <row r="53" ht="22.5" customHeight="1">
      <c r="A53" s="331" t="str">
        <f>Rooster!A54</f>
        <v/>
      </c>
      <c r="B53" s="396" t="str">
        <f>Rooster!B54</f>
        <v/>
      </c>
      <c r="C53" s="15" t="str">
        <f>Rooster!C54</f>
        <v/>
      </c>
      <c r="D53" s="11" t="str">
        <f>Rooster!D54</f>
        <v/>
      </c>
      <c r="E53" s="77"/>
      <c r="F53" s="327" t="str">
        <f>Rooster!E54</f>
        <v/>
      </c>
      <c r="G53" s="319" t="str">
        <f>IFERROR(VLOOKUP(F53, Docenten!$A$2:$G$30, 7, FALSE), "0")</f>
        <v>0</v>
      </c>
      <c r="H53" s="320">
        <f t="shared" si="7"/>
        <v>0</v>
      </c>
      <c r="I53" s="327" t="str">
        <f>Rooster!H54</f>
        <v/>
      </c>
      <c r="J53" s="321" t="str">
        <f>IFERROR(VLOOKUP(I53, Locaties!$A$2:$G$15, 7, FALSE), "0")</f>
        <v>0</v>
      </c>
      <c r="K53" s="42">
        <f t="shared" si="2"/>
        <v>0</v>
      </c>
      <c r="L53" s="427" t="str">
        <f>April!L53</f>
        <v/>
      </c>
      <c r="M53" s="428" t="str">
        <f>April!M53</f>
        <v/>
      </c>
      <c r="N53" s="321" t="str">
        <f>IFERROR(VLOOKUP(M53, Tarieven!$A$1:$J$150, 10, FALSE), "0")</f>
        <v>0</v>
      </c>
      <c r="O53" s="427" t="str">
        <f>April!O53</f>
        <v/>
      </c>
      <c r="P53" s="428" t="str">
        <f>April!P53</f>
        <v/>
      </c>
      <c r="Q53" s="325" t="str">
        <f>IFERROR(VLOOKUP(P53, Tarieven!$A$2:$J$150, 10, FALSE), "0")</f>
        <v>0</v>
      </c>
      <c r="R53" s="444" t="str">
        <f>April!R53</f>
        <v/>
      </c>
      <c r="S53" s="428" t="str">
        <f>April!S53</f>
        <v/>
      </c>
      <c r="T53" s="325" t="str">
        <f>IFERROR(VLOOKUP(S53, Tarieven!$A$2:$J$150, 10, FALSE), "0")</f>
        <v>0</v>
      </c>
      <c r="U53" s="77" t="str">
        <f>April!U53</f>
        <v/>
      </c>
      <c r="V53" s="327" t="str">
        <f>April!V53</f>
        <v/>
      </c>
      <c r="W53" s="325" t="str">
        <f>IFERROR(VLOOKUP(V53, Tarieven!$A$2:$J$150, 10, FALSE), "0")</f>
        <v>0</v>
      </c>
      <c r="X53" s="138">
        <f>April!X53</f>
        <v>0</v>
      </c>
      <c r="Y53" s="398">
        <v>0.0</v>
      </c>
      <c r="Z53" s="329">
        <f t="shared" si="3"/>
        <v>0</v>
      </c>
      <c r="AA53" s="32">
        <f t="shared" si="4"/>
        <v>0</v>
      </c>
      <c r="AB53" s="32">
        <f t="shared" si="5"/>
        <v>0</v>
      </c>
      <c r="AC53" s="32">
        <f t="shared" si="6"/>
        <v>0</v>
      </c>
    </row>
    <row r="54" ht="22.5" customHeight="1">
      <c r="A54" s="331" t="str">
        <f>Rooster!A55</f>
        <v/>
      </c>
      <c r="B54" s="396" t="str">
        <f>Rooster!B55</f>
        <v/>
      </c>
      <c r="C54" s="15" t="str">
        <f>Rooster!C55</f>
        <v/>
      </c>
      <c r="D54" s="11" t="str">
        <f>Rooster!D55</f>
        <v/>
      </c>
      <c r="E54" s="77"/>
      <c r="F54" s="327" t="str">
        <f>Rooster!E55</f>
        <v/>
      </c>
      <c r="G54" s="319" t="str">
        <f>IFERROR(VLOOKUP(F54, Docenten!$A$2:$G$30, 7, FALSE), "0")</f>
        <v>0</v>
      </c>
      <c r="H54" s="320">
        <f t="shared" si="7"/>
        <v>0</v>
      </c>
      <c r="I54" s="327" t="str">
        <f>Rooster!H55</f>
        <v/>
      </c>
      <c r="J54" s="321" t="str">
        <f>IFERROR(VLOOKUP(I54, Locaties!$A$2:$G$15, 7, FALSE), "0")</f>
        <v>0</v>
      </c>
      <c r="K54" s="42">
        <f t="shared" si="2"/>
        <v>0</v>
      </c>
      <c r="L54" s="427" t="str">
        <f>April!L54</f>
        <v/>
      </c>
      <c r="M54" s="428" t="str">
        <f>April!M54</f>
        <v/>
      </c>
      <c r="N54" s="321" t="str">
        <f>IFERROR(VLOOKUP(M54, Tarieven!$A$1:$J$150, 10, FALSE), "0")</f>
        <v>0</v>
      </c>
      <c r="O54" s="427" t="str">
        <f>April!O54</f>
        <v/>
      </c>
      <c r="P54" s="428" t="str">
        <f>April!P54</f>
        <v/>
      </c>
      <c r="Q54" s="325" t="str">
        <f>IFERROR(VLOOKUP(P54, Tarieven!$A$2:$J$150, 10, FALSE), "0")</f>
        <v>0</v>
      </c>
      <c r="R54" s="444" t="str">
        <f>April!R54</f>
        <v/>
      </c>
      <c r="S54" s="428" t="str">
        <f>April!S54</f>
        <v/>
      </c>
      <c r="T54" s="325" t="str">
        <f>IFERROR(VLOOKUP(S54, Tarieven!$A$2:$J$150, 10, FALSE), "0")</f>
        <v>0</v>
      </c>
      <c r="U54" s="77" t="str">
        <f>April!U54</f>
        <v/>
      </c>
      <c r="V54" s="327" t="str">
        <f>April!V54</f>
        <v/>
      </c>
      <c r="W54" s="325" t="str">
        <f>IFERROR(VLOOKUP(V54, Tarieven!$A$2:$J$150, 10, FALSE), "0")</f>
        <v>0</v>
      </c>
      <c r="X54" s="138">
        <f>April!X54</f>
        <v>0</v>
      </c>
      <c r="Y54" s="398">
        <v>0.0</v>
      </c>
      <c r="Z54" s="329">
        <f t="shared" si="3"/>
        <v>0</v>
      </c>
      <c r="AA54" s="32">
        <f t="shared" si="4"/>
        <v>0</v>
      </c>
      <c r="AB54" s="32">
        <f t="shared" si="5"/>
        <v>0</v>
      </c>
      <c r="AC54" s="32">
        <f t="shared" si="6"/>
        <v>0</v>
      </c>
    </row>
    <row r="55" ht="22.5" customHeight="1">
      <c r="A55" s="331" t="str">
        <f>Rooster!A56</f>
        <v/>
      </c>
      <c r="B55" s="396" t="str">
        <f>Rooster!B56</f>
        <v/>
      </c>
      <c r="C55" s="15" t="str">
        <f>Rooster!C56</f>
        <v/>
      </c>
      <c r="D55" s="11" t="str">
        <f>Rooster!D56</f>
        <v/>
      </c>
      <c r="E55" s="77"/>
      <c r="F55" s="327" t="str">
        <f>Rooster!E56</f>
        <v/>
      </c>
      <c r="G55" s="319" t="str">
        <f>IFERROR(VLOOKUP(F55, Docenten!$A$2:$G$30, 7, FALSE), "0")</f>
        <v>0</v>
      </c>
      <c r="H55" s="320">
        <f t="shared" si="7"/>
        <v>0</v>
      </c>
      <c r="I55" s="327" t="str">
        <f>Rooster!H56</f>
        <v/>
      </c>
      <c r="J55" s="321" t="str">
        <f>IFERROR(VLOOKUP(I55, Locaties!$A$2:$G$15, 7, FALSE), "0")</f>
        <v>0</v>
      </c>
      <c r="K55" s="42">
        <f t="shared" si="2"/>
        <v>0</v>
      </c>
      <c r="L55" s="427" t="str">
        <f>April!L55</f>
        <v/>
      </c>
      <c r="M55" s="428" t="str">
        <f>April!M55</f>
        <v/>
      </c>
      <c r="N55" s="321" t="str">
        <f>IFERROR(VLOOKUP(M55, Tarieven!$A$1:$J$150, 10, FALSE), "0")</f>
        <v>0</v>
      </c>
      <c r="O55" s="427" t="str">
        <f>April!O55</f>
        <v/>
      </c>
      <c r="P55" s="428" t="str">
        <f>April!P55</f>
        <v/>
      </c>
      <c r="Q55" s="325" t="str">
        <f>IFERROR(VLOOKUP(P55, Tarieven!$A$2:$J$150, 10, FALSE), "0")</f>
        <v>0</v>
      </c>
      <c r="R55" s="444" t="str">
        <f>April!R55</f>
        <v/>
      </c>
      <c r="S55" s="428" t="str">
        <f>April!S55</f>
        <v/>
      </c>
      <c r="T55" s="325" t="str">
        <f>IFERROR(VLOOKUP(S55, Tarieven!$A$2:$J$150, 10, FALSE), "0")</f>
        <v>0</v>
      </c>
      <c r="U55" s="77" t="str">
        <f>April!U55</f>
        <v/>
      </c>
      <c r="V55" s="327" t="str">
        <f>April!V55</f>
        <v/>
      </c>
      <c r="W55" s="325" t="str">
        <f>IFERROR(VLOOKUP(V55, Tarieven!$A$2:$J$150, 10, FALSE), "0")</f>
        <v>0</v>
      </c>
      <c r="X55" s="138">
        <f>April!X55</f>
        <v>0</v>
      </c>
      <c r="Y55" s="398">
        <v>0.0</v>
      </c>
      <c r="Z55" s="329">
        <f t="shared" si="3"/>
        <v>0</v>
      </c>
      <c r="AA55" s="32">
        <f t="shared" si="4"/>
        <v>0</v>
      </c>
      <c r="AB55" s="32">
        <f t="shared" si="5"/>
        <v>0</v>
      </c>
      <c r="AC55" s="32">
        <f t="shared" si="6"/>
        <v>0</v>
      </c>
    </row>
    <row r="56" ht="22.5" customHeight="1">
      <c r="A56" s="331" t="str">
        <f>Rooster!A57</f>
        <v/>
      </c>
      <c r="B56" s="396" t="str">
        <f>Rooster!B57</f>
        <v/>
      </c>
      <c r="C56" s="15" t="str">
        <f>Rooster!C57</f>
        <v/>
      </c>
      <c r="D56" s="11" t="str">
        <f>Rooster!D57</f>
        <v/>
      </c>
      <c r="E56" s="77"/>
      <c r="F56" s="327" t="str">
        <f>Rooster!E57</f>
        <v/>
      </c>
      <c r="G56" s="319" t="str">
        <f>IFERROR(VLOOKUP(F56, Docenten!$A$2:$G$30, 7, FALSE), "0")</f>
        <v>0</v>
      </c>
      <c r="H56" s="320">
        <f t="shared" si="7"/>
        <v>0</v>
      </c>
      <c r="I56" s="327" t="str">
        <f>Rooster!H57</f>
        <v/>
      </c>
      <c r="J56" s="321" t="str">
        <f>IFERROR(VLOOKUP(I56, Locaties!$A$2:$G$15, 7, FALSE), "0")</f>
        <v>0</v>
      </c>
      <c r="K56" s="42">
        <f t="shared" si="2"/>
        <v>0</v>
      </c>
      <c r="L56" s="427" t="str">
        <f>April!L56</f>
        <v/>
      </c>
      <c r="M56" s="428" t="str">
        <f>April!M56</f>
        <v/>
      </c>
      <c r="N56" s="321" t="str">
        <f>IFERROR(VLOOKUP(M56, Tarieven!$A$1:$J$150, 10, FALSE), "0")</f>
        <v>0</v>
      </c>
      <c r="O56" s="427" t="str">
        <f>April!O56</f>
        <v/>
      </c>
      <c r="P56" s="428" t="str">
        <f>April!P56</f>
        <v/>
      </c>
      <c r="Q56" s="325" t="str">
        <f>IFERROR(VLOOKUP(P56, Tarieven!$A$2:$J$150, 10, FALSE), "0")</f>
        <v>0</v>
      </c>
      <c r="R56" s="444" t="str">
        <f>April!R56</f>
        <v/>
      </c>
      <c r="S56" s="428" t="str">
        <f>April!S56</f>
        <v/>
      </c>
      <c r="T56" s="325" t="str">
        <f>IFERROR(VLOOKUP(S56, Tarieven!$A$2:$J$150, 10, FALSE), "0")</f>
        <v>0</v>
      </c>
      <c r="U56" s="77" t="str">
        <f>April!U56</f>
        <v/>
      </c>
      <c r="V56" s="327" t="str">
        <f>April!V56</f>
        <v/>
      </c>
      <c r="W56" s="325" t="str">
        <f>IFERROR(VLOOKUP(V56, Tarieven!$A$2:$J$150, 10, FALSE), "0")</f>
        <v>0</v>
      </c>
      <c r="X56" s="138">
        <f>April!X56</f>
        <v>0</v>
      </c>
      <c r="Y56" s="398">
        <v>0.0</v>
      </c>
      <c r="Z56" s="329">
        <f t="shared" si="3"/>
        <v>0</v>
      </c>
      <c r="AA56" s="32">
        <f t="shared" si="4"/>
        <v>0</v>
      </c>
      <c r="AB56" s="32">
        <f t="shared" si="5"/>
        <v>0</v>
      </c>
      <c r="AC56" s="32">
        <f t="shared" si="6"/>
        <v>0</v>
      </c>
    </row>
    <row r="57" ht="22.5" customHeight="1">
      <c r="A57" s="331" t="str">
        <f>Rooster!A58</f>
        <v/>
      </c>
      <c r="B57" s="396" t="str">
        <f>Rooster!B58</f>
        <v/>
      </c>
      <c r="C57" s="15" t="str">
        <f>Rooster!C58</f>
        <v/>
      </c>
      <c r="D57" s="11" t="str">
        <f>Rooster!D58</f>
        <v/>
      </c>
      <c r="E57" s="77"/>
      <c r="F57" s="327" t="str">
        <f>Rooster!E58</f>
        <v/>
      </c>
      <c r="G57" s="319" t="str">
        <f>IFERROR(VLOOKUP(F57, Docenten!$A$2:$G$30, 7, FALSE), "0")</f>
        <v>0</v>
      </c>
      <c r="H57" s="320">
        <f t="shared" si="7"/>
        <v>0</v>
      </c>
      <c r="I57" s="327" t="str">
        <f>Rooster!H58</f>
        <v/>
      </c>
      <c r="J57" s="321" t="str">
        <f>IFERROR(VLOOKUP(I57, Locaties!$A$2:$G$15, 7, FALSE), "0")</f>
        <v>0</v>
      </c>
      <c r="K57" s="42">
        <f t="shared" si="2"/>
        <v>0</v>
      </c>
      <c r="L57" s="427" t="str">
        <f>April!L57</f>
        <v/>
      </c>
      <c r="M57" s="428" t="str">
        <f>April!M57</f>
        <v/>
      </c>
      <c r="N57" s="321" t="str">
        <f>IFERROR(VLOOKUP(M57, Tarieven!$A$1:$J$150, 10, FALSE), "0")</f>
        <v>0</v>
      </c>
      <c r="O57" s="427" t="str">
        <f>April!O57</f>
        <v/>
      </c>
      <c r="P57" s="428" t="str">
        <f>April!P57</f>
        <v/>
      </c>
      <c r="Q57" s="325" t="str">
        <f>IFERROR(VLOOKUP(P57, Tarieven!$A$2:$J$150, 10, FALSE), "0")</f>
        <v>0</v>
      </c>
      <c r="R57" s="444" t="str">
        <f>April!R57</f>
        <v/>
      </c>
      <c r="S57" s="428" t="str">
        <f>April!S57</f>
        <v/>
      </c>
      <c r="T57" s="325" t="str">
        <f>IFERROR(VLOOKUP(S57, Tarieven!$A$2:$J$150, 10, FALSE), "0")</f>
        <v>0</v>
      </c>
      <c r="U57" s="77" t="str">
        <f>April!U57</f>
        <v/>
      </c>
      <c r="V57" s="327" t="str">
        <f>April!V57</f>
        <v/>
      </c>
      <c r="W57" s="325" t="str">
        <f>IFERROR(VLOOKUP(V57, Tarieven!$A$2:$J$150, 10, FALSE), "0")</f>
        <v>0</v>
      </c>
      <c r="X57" s="138">
        <f>April!X57</f>
        <v>0</v>
      </c>
      <c r="Y57" s="398">
        <v>0.0</v>
      </c>
      <c r="Z57" s="329">
        <f t="shared" si="3"/>
        <v>0</v>
      </c>
      <c r="AA57" s="32">
        <f t="shared" si="4"/>
        <v>0</v>
      </c>
      <c r="AB57" s="32">
        <f t="shared" si="5"/>
        <v>0</v>
      </c>
      <c r="AC57" s="32">
        <f t="shared" si="6"/>
        <v>0</v>
      </c>
    </row>
    <row r="58" ht="22.5" customHeight="1">
      <c r="A58" s="331" t="str">
        <f>Rooster!A59</f>
        <v/>
      </c>
      <c r="B58" s="396" t="str">
        <f>Rooster!B59</f>
        <v/>
      </c>
      <c r="C58" s="15" t="str">
        <f>Rooster!C59</f>
        <v/>
      </c>
      <c r="D58" s="11" t="str">
        <f>Rooster!D59</f>
        <v/>
      </c>
      <c r="E58" s="77"/>
      <c r="F58" s="327" t="str">
        <f>Rooster!E59</f>
        <v/>
      </c>
      <c r="G58" s="319" t="str">
        <f>IFERROR(VLOOKUP(F58, Docenten!$A$2:$G$30, 7, FALSE), "0")</f>
        <v>0</v>
      </c>
      <c r="H58" s="320">
        <f t="shared" si="7"/>
        <v>0</v>
      </c>
      <c r="I58" s="327" t="str">
        <f>Rooster!H59</f>
        <v/>
      </c>
      <c r="J58" s="321" t="str">
        <f>IFERROR(VLOOKUP(I58, Locaties!$A$2:$G$15, 7, FALSE), "0")</f>
        <v>0</v>
      </c>
      <c r="K58" s="42">
        <f t="shared" si="2"/>
        <v>0</v>
      </c>
      <c r="L58" s="427" t="str">
        <f>April!L58</f>
        <v/>
      </c>
      <c r="M58" s="428" t="str">
        <f>April!M58</f>
        <v/>
      </c>
      <c r="N58" s="321" t="str">
        <f>IFERROR(VLOOKUP(M58, Tarieven!$A$1:$J$150, 10, FALSE), "0")</f>
        <v>0</v>
      </c>
      <c r="O58" s="427" t="str">
        <f>April!O58</f>
        <v/>
      </c>
      <c r="P58" s="428" t="str">
        <f>April!P58</f>
        <v/>
      </c>
      <c r="Q58" s="325" t="str">
        <f>IFERROR(VLOOKUP(P58, Tarieven!$A$2:$J$150, 10, FALSE), "0")</f>
        <v>0</v>
      </c>
      <c r="R58" s="444" t="str">
        <f>April!R58</f>
        <v/>
      </c>
      <c r="S58" s="428" t="str">
        <f>April!S58</f>
        <v/>
      </c>
      <c r="T58" s="325" t="str">
        <f>IFERROR(VLOOKUP(S58, Tarieven!$A$2:$J$150, 10, FALSE), "0")</f>
        <v>0</v>
      </c>
      <c r="U58" s="77" t="str">
        <f>April!U58</f>
        <v/>
      </c>
      <c r="V58" s="327" t="str">
        <f>April!V58</f>
        <v/>
      </c>
      <c r="W58" s="325" t="str">
        <f>IFERROR(VLOOKUP(V58, Tarieven!$A$2:$J$150, 10, FALSE), "0")</f>
        <v>0</v>
      </c>
      <c r="X58" s="138">
        <f>April!X58</f>
        <v>0</v>
      </c>
      <c r="Y58" s="398">
        <v>0.0</v>
      </c>
      <c r="Z58" s="329">
        <f t="shared" si="3"/>
        <v>0</v>
      </c>
      <c r="AA58" s="32">
        <f t="shared" si="4"/>
        <v>0</v>
      </c>
      <c r="AB58" s="32">
        <f t="shared" si="5"/>
        <v>0</v>
      </c>
      <c r="AC58" s="32">
        <f t="shared" si="6"/>
        <v>0</v>
      </c>
    </row>
    <row r="59" ht="22.5" customHeight="1">
      <c r="A59" s="331" t="str">
        <f>Rooster!A60</f>
        <v/>
      </c>
      <c r="B59" s="396" t="str">
        <f>Rooster!B60</f>
        <v/>
      </c>
      <c r="C59" s="15" t="str">
        <f>Rooster!C60</f>
        <v/>
      </c>
      <c r="D59" s="11" t="str">
        <f>Rooster!D60</f>
        <v/>
      </c>
      <c r="E59" s="77"/>
      <c r="F59" s="327" t="str">
        <f>Rooster!E60</f>
        <v/>
      </c>
      <c r="G59" s="319" t="str">
        <f>IFERROR(VLOOKUP(F59, Docenten!$A$2:$G$30, 7, FALSE), "0")</f>
        <v>0</v>
      </c>
      <c r="H59" s="320">
        <f t="shared" si="7"/>
        <v>0</v>
      </c>
      <c r="I59" s="327" t="str">
        <f>Rooster!H60</f>
        <v/>
      </c>
      <c r="J59" s="321" t="str">
        <f>IFERROR(VLOOKUP(I59, Locaties!$A$2:$G$15, 7, FALSE), "0")</f>
        <v>0</v>
      </c>
      <c r="K59" s="42">
        <f t="shared" si="2"/>
        <v>0</v>
      </c>
      <c r="L59" s="427" t="str">
        <f>April!L59</f>
        <v/>
      </c>
      <c r="M59" s="428" t="str">
        <f>April!M59</f>
        <v/>
      </c>
      <c r="N59" s="321" t="str">
        <f>IFERROR(VLOOKUP(M59, Tarieven!$A$1:$J$150, 10, FALSE), "0")</f>
        <v>0</v>
      </c>
      <c r="O59" s="427" t="str">
        <f>April!O59</f>
        <v/>
      </c>
      <c r="P59" s="428" t="str">
        <f>April!P59</f>
        <v/>
      </c>
      <c r="Q59" s="325" t="str">
        <f>IFERROR(VLOOKUP(P59, Tarieven!$A$2:$J$150, 10, FALSE), "0")</f>
        <v>0</v>
      </c>
      <c r="R59" s="444" t="str">
        <f>April!R59</f>
        <v/>
      </c>
      <c r="S59" s="428" t="str">
        <f>April!S59</f>
        <v/>
      </c>
      <c r="T59" s="325" t="str">
        <f>IFERROR(VLOOKUP(S59, Tarieven!$A$2:$J$150, 10, FALSE), "0")</f>
        <v>0</v>
      </c>
      <c r="U59" s="77" t="str">
        <f>April!U59</f>
        <v/>
      </c>
      <c r="V59" s="327" t="str">
        <f>April!V59</f>
        <v/>
      </c>
      <c r="W59" s="325" t="str">
        <f>IFERROR(VLOOKUP(V59, Tarieven!$A$2:$J$150, 10, FALSE), "0")</f>
        <v>0</v>
      </c>
      <c r="X59" s="138">
        <f>April!X59</f>
        <v>0</v>
      </c>
      <c r="Y59" s="398">
        <v>0.0</v>
      </c>
      <c r="Z59" s="329">
        <f t="shared" si="3"/>
        <v>0</v>
      </c>
      <c r="AA59" s="32">
        <f t="shared" si="4"/>
        <v>0</v>
      </c>
      <c r="AB59" s="32">
        <f t="shared" si="5"/>
        <v>0</v>
      </c>
      <c r="AC59" s="32">
        <f t="shared" si="6"/>
        <v>0</v>
      </c>
    </row>
    <row r="60" ht="22.5" customHeight="1">
      <c r="A60" s="331" t="str">
        <f>Rooster!A61</f>
        <v/>
      </c>
      <c r="B60" s="396" t="str">
        <f>Rooster!B61</f>
        <v/>
      </c>
      <c r="C60" s="15" t="str">
        <f>Rooster!C61</f>
        <v/>
      </c>
      <c r="D60" s="11" t="str">
        <f>Rooster!D61</f>
        <v/>
      </c>
      <c r="E60" s="77"/>
      <c r="F60" s="327" t="str">
        <f>Rooster!E61</f>
        <v/>
      </c>
      <c r="G60" s="319" t="str">
        <f>IFERROR(VLOOKUP(F60, Docenten!$A$2:$G$30, 7, FALSE), "0")</f>
        <v>0</v>
      </c>
      <c r="H60" s="320">
        <f t="shared" si="7"/>
        <v>0</v>
      </c>
      <c r="I60" s="327" t="str">
        <f>Rooster!H61</f>
        <v/>
      </c>
      <c r="J60" s="321" t="str">
        <f>IFERROR(VLOOKUP(I60, Locaties!$A$2:$G$15, 7, FALSE), "0")</f>
        <v>0</v>
      </c>
      <c r="K60" s="42">
        <f t="shared" si="2"/>
        <v>0</v>
      </c>
      <c r="L60" s="427" t="str">
        <f>April!L60</f>
        <v/>
      </c>
      <c r="M60" s="428" t="str">
        <f>April!M60</f>
        <v/>
      </c>
      <c r="N60" s="321" t="str">
        <f>IFERROR(VLOOKUP(M60, Tarieven!$A$1:$J$150, 10, FALSE), "0")</f>
        <v>0</v>
      </c>
      <c r="O60" s="427" t="str">
        <f>April!O60</f>
        <v/>
      </c>
      <c r="P60" s="428" t="str">
        <f>April!P60</f>
        <v/>
      </c>
      <c r="Q60" s="325" t="str">
        <f>IFERROR(VLOOKUP(P60, Tarieven!$A$2:$J$150, 10, FALSE), "0")</f>
        <v>0</v>
      </c>
      <c r="R60" s="444" t="str">
        <f>April!R60</f>
        <v/>
      </c>
      <c r="S60" s="428" t="str">
        <f>April!S60</f>
        <v/>
      </c>
      <c r="T60" s="325" t="str">
        <f>IFERROR(VLOOKUP(S60, Tarieven!$A$2:$J$150, 10, FALSE), "0")</f>
        <v>0</v>
      </c>
      <c r="U60" s="77" t="str">
        <f>April!U60</f>
        <v/>
      </c>
      <c r="V60" s="327" t="str">
        <f>April!V60</f>
        <v/>
      </c>
      <c r="W60" s="325" t="str">
        <f>IFERROR(VLOOKUP(V60, Tarieven!$A$2:$J$150, 10, FALSE), "0")</f>
        <v>0</v>
      </c>
      <c r="X60" s="138">
        <f>April!X60</f>
        <v>0</v>
      </c>
      <c r="Y60" s="398">
        <v>0.0</v>
      </c>
      <c r="Z60" s="329">
        <f t="shared" si="3"/>
        <v>0</v>
      </c>
      <c r="AA60" s="32">
        <f t="shared" si="4"/>
        <v>0</v>
      </c>
      <c r="AB60" s="32">
        <f t="shared" si="5"/>
        <v>0</v>
      </c>
      <c r="AC60" s="32">
        <f t="shared" si="6"/>
        <v>0</v>
      </c>
    </row>
    <row r="61" ht="22.5" customHeight="1">
      <c r="A61" s="331" t="str">
        <f>Rooster!A62</f>
        <v/>
      </c>
      <c r="B61" s="396" t="str">
        <f>Rooster!B62</f>
        <v/>
      </c>
      <c r="C61" s="15" t="str">
        <f>Rooster!C62</f>
        <v/>
      </c>
      <c r="D61" s="11" t="str">
        <f>Rooster!D62</f>
        <v/>
      </c>
      <c r="E61" s="77"/>
      <c r="F61" s="327" t="str">
        <f>Rooster!E62</f>
        <v/>
      </c>
      <c r="G61" s="319" t="str">
        <f>IFERROR(VLOOKUP(F61, Docenten!$A$2:$G$30, 7, FALSE), "0")</f>
        <v>0</v>
      </c>
      <c r="H61" s="320">
        <f t="shared" si="7"/>
        <v>0</v>
      </c>
      <c r="I61" s="327" t="str">
        <f>Rooster!H62</f>
        <v/>
      </c>
      <c r="J61" s="321" t="str">
        <f>IFERROR(VLOOKUP(I61, Locaties!$A$2:$G$15, 7, FALSE), "0")</f>
        <v>0</v>
      </c>
      <c r="K61" s="42">
        <f t="shared" si="2"/>
        <v>0</v>
      </c>
      <c r="L61" s="427" t="str">
        <f>April!L61</f>
        <v/>
      </c>
      <c r="M61" s="428" t="str">
        <f>April!M61</f>
        <v/>
      </c>
      <c r="N61" s="321" t="str">
        <f>IFERROR(VLOOKUP(M61, Tarieven!$A$1:$J$150, 10, FALSE), "0")</f>
        <v>0</v>
      </c>
      <c r="O61" s="427" t="str">
        <f>April!O61</f>
        <v/>
      </c>
      <c r="P61" s="428" t="str">
        <f>April!P61</f>
        <v/>
      </c>
      <c r="Q61" s="325" t="str">
        <f>IFERROR(VLOOKUP(P61, Tarieven!$A$2:$J$150, 10, FALSE), "0")</f>
        <v>0</v>
      </c>
      <c r="R61" s="444" t="str">
        <f>April!R61</f>
        <v/>
      </c>
      <c r="S61" s="428" t="str">
        <f>April!S61</f>
        <v/>
      </c>
      <c r="T61" s="325" t="str">
        <f>IFERROR(VLOOKUP(S61, Tarieven!$A$2:$J$150, 10, FALSE), "0")</f>
        <v>0</v>
      </c>
      <c r="U61" s="77" t="str">
        <f>April!U61</f>
        <v/>
      </c>
      <c r="V61" s="327" t="str">
        <f>April!V61</f>
        <v/>
      </c>
      <c r="W61" s="325" t="str">
        <f>IFERROR(VLOOKUP(V61, Tarieven!$A$2:$J$150, 10, FALSE), "0")</f>
        <v>0</v>
      </c>
      <c r="X61" s="138">
        <f>April!X61</f>
        <v>0</v>
      </c>
      <c r="Y61" s="398">
        <v>0.0</v>
      </c>
      <c r="Z61" s="329">
        <f t="shared" si="3"/>
        <v>0</v>
      </c>
      <c r="AA61" s="32">
        <f t="shared" si="4"/>
        <v>0</v>
      </c>
      <c r="AB61" s="32">
        <f t="shared" si="5"/>
        <v>0</v>
      </c>
      <c r="AC61" s="32">
        <f t="shared" si="6"/>
        <v>0</v>
      </c>
    </row>
    <row r="62" ht="22.5" customHeight="1">
      <c r="A62" s="331" t="str">
        <f>Rooster!A63</f>
        <v/>
      </c>
      <c r="B62" s="396" t="str">
        <f>Rooster!B63</f>
        <v/>
      </c>
      <c r="C62" s="15" t="str">
        <f>Rooster!C63</f>
        <v/>
      </c>
      <c r="D62" s="11" t="str">
        <f>Rooster!D63</f>
        <v/>
      </c>
      <c r="E62" s="77"/>
      <c r="F62" s="327" t="str">
        <f>Rooster!E63</f>
        <v/>
      </c>
      <c r="G62" s="319" t="str">
        <f>IFERROR(VLOOKUP(F62, Docenten!$A$2:$G$30, 7, FALSE), "0")</f>
        <v>0</v>
      </c>
      <c r="H62" s="320">
        <f t="shared" si="7"/>
        <v>0</v>
      </c>
      <c r="I62" s="327" t="str">
        <f>Rooster!H63</f>
        <v/>
      </c>
      <c r="J62" s="321" t="str">
        <f>IFERROR(VLOOKUP(I62, Locaties!$A$2:$G$15, 7, FALSE), "0")</f>
        <v>0</v>
      </c>
      <c r="K62" s="42">
        <f t="shared" si="2"/>
        <v>0</v>
      </c>
      <c r="L62" s="427" t="str">
        <f>April!L62</f>
        <v/>
      </c>
      <c r="M62" s="428" t="str">
        <f>April!M62</f>
        <v/>
      </c>
      <c r="N62" s="321" t="str">
        <f>IFERROR(VLOOKUP(M62, Tarieven!$A$1:$J$150, 10, FALSE), "0")</f>
        <v>0</v>
      </c>
      <c r="O62" s="427" t="str">
        <f>April!O62</f>
        <v/>
      </c>
      <c r="P62" s="428" t="str">
        <f>April!P62</f>
        <v/>
      </c>
      <c r="Q62" s="325" t="str">
        <f>IFERROR(VLOOKUP(P62, Tarieven!$A$2:$J$150, 10, FALSE), "0")</f>
        <v>0</v>
      </c>
      <c r="R62" s="444" t="str">
        <f>April!R62</f>
        <v/>
      </c>
      <c r="S62" s="428" t="str">
        <f>April!S62</f>
        <v/>
      </c>
      <c r="T62" s="325" t="str">
        <f>IFERROR(VLOOKUP(S62, Tarieven!$A$2:$J$150, 10, FALSE), "0")</f>
        <v>0</v>
      </c>
      <c r="U62" s="77" t="str">
        <f>April!U62</f>
        <v/>
      </c>
      <c r="V62" s="327" t="str">
        <f>April!V62</f>
        <v/>
      </c>
      <c r="W62" s="325" t="str">
        <f>IFERROR(VLOOKUP(V62, Tarieven!$A$2:$J$150, 10, FALSE), "0")</f>
        <v>0</v>
      </c>
      <c r="X62" s="138">
        <f>April!X62</f>
        <v>0</v>
      </c>
      <c r="Y62" s="398">
        <v>0.0</v>
      </c>
      <c r="Z62" s="329">
        <f t="shared" si="3"/>
        <v>0</v>
      </c>
      <c r="AA62" s="32">
        <f t="shared" si="4"/>
        <v>0</v>
      </c>
      <c r="AB62" s="32">
        <f t="shared" si="5"/>
        <v>0</v>
      </c>
      <c r="AC62" s="32">
        <f t="shared" si="6"/>
        <v>0</v>
      </c>
    </row>
    <row r="63" ht="22.5" customHeight="1">
      <c r="A63" s="331" t="str">
        <f>Rooster!A64</f>
        <v/>
      </c>
      <c r="B63" s="396" t="str">
        <f>Rooster!B64</f>
        <v/>
      </c>
      <c r="C63" s="15" t="str">
        <f>Rooster!C64</f>
        <v/>
      </c>
      <c r="D63" s="11" t="str">
        <f>Rooster!D64</f>
        <v/>
      </c>
      <c r="E63" s="77"/>
      <c r="F63" s="327" t="str">
        <f>Rooster!E64</f>
        <v/>
      </c>
      <c r="G63" s="319" t="str">
        <f>IFERROR(VLOOKUP(F63, Docenten!$A$2:$G$30, 7, FALSE), "0")</f>
        <v>0</v>
      </c>
      <c r="H63" s="320">
        <f t="shared" si="7"/>
        <v>0</v>
      </c>
      <c r="I63" s="327" t="str">
        <f>Rooster!H64</f>
        <v/>
      </c>
      <c r="J63" s="321" t="str">
        <f>IFERROR(VLOOKUP(I63, Locaties!$A$2:$G$15, 7, FALSE), "0")</f>
        <v>0</v>
      </c>
      <c r="K63" s="42">
        <f t="shared" si="2"/>
        <v>0</v>
      </c>
      <c r="L63" s="427" t="str">
        <f>April!L63</f>
        <v/>
      </c>
      <c r="M63" s="428" t="str">
        <f>April!M63</f>
        <v/>
      </c>
      <c r="N63" s="321" t="str">
        <f>IFERROR(VLOOKUP(M63, Tarieven!$A$1:$J$150, 10, FALSE), "0")</f>
        <v>0</v>
      </c>
      <c r="O63" s="427" t="str">
        <f>April!O63</f>
        <v/>
      </c>
      <c r="P63" s="428" t="str">
        <f>April!P63</f>
        <v/>
      </c>
      <c r="Q63" s="325" t="str">
        <f>IFERROR(VLOOKUP(P63, Tarieven!$A$2:$J$150, 10, FALSE), "0")</f>
        <v>0</v>
      </c>
      <c r="R63" s="444" t="str">
        <f>April!R63</f>
        <v/>
      </c>
      <c r="S63" s="428" t="str">
        <f>April!S63</f>
        <v/>
      </c>
      <c r="T63" s="325" t="str">
        <f>IFERROR(VLOOKUP(S63, Tarieven!$A$2:$J$150, 10, FALSE), "0")</f>
        <v>0</v>
      </c>
      <c r="U63" s="77" t="str">
        <f>April!U63</f>
        <v/>
      </c>
      <c r="V63" s="327" t="str">
        <f>April!V63</f>
        <v/>
      </c>
      <c r="W63" s="325" t="str">
        <f>IFERROR(VLOOKUP(V63, Tarieven!$A$2:$J$150, 10, FALSE), "0")</f>
        <v>0</v>
      </c>
      <c r="X63" s="138">
        <f>April!X63</f>
        <v>0</v>
      </c>
      <c r="Y63" s="398">
        <v>0.0</v>
      </c>
      <c r="Z63" s="329">
        <f t="shared" si="3"/>
        <v>0</v>
      </c>
      <c r="AA63" s="32">
        <f t="shared" si="4"/>
        <v>0</v>
      </c>
      <c r="AB63" s="32">
        <f t="shared" si="5"/>
        <v>0</v>
      </c>
      <c r="AC63" s="32">
        <f t="shared" si="6"/>
        <v>0</v>
      </c>
    </row>
    <row r="64" ht="22.5" customHeight="1">
      <c r="A64" s="331" t="str">
        <f>Rooster!A65</f>
        <v/>
      </c>
      <c r="B64" s="396" t="str">
        <f>Rooster!B65</f>
        <v/>
      </c>
      <c r="C64" s="15" t="str">
        <f>Rooster!C65</f>
        <v/>
      </c>
      <c r="D64" s="11" t="str">
        <f>Rooster!D65</f>
        <v/>
      </c>
      <c r="E64" s="77"/>
      <c r="F64" s="327" t="str">
        <f>Rooster!E65</f>
        <v/>
      </c>
      <c r="G64" s="319" t="str">
        <f>IFERROR(VLOOKUP(F64, Docenten!$A$2:$G$30, 7, FALSE), "0")</f>
        <v>0</v>
      </c>
      <c r="H64" s="320">
        <f t="shared" si="7"/>
        <v>0</v>
      </c>
      <c r="I64" s="327" t="str">
        <f>Rooster!H65</f>
        <v/>
      </c>
      <c r="J64" s="321" t="str">
        <f>IFERROR(VLOOKUP(I64, Locaties!$A$2:$G$15, 7, FALSE), "0")</f>
        <v>0</v>
      </c>
      <c r="K64" s="42">
        <f t="shared" si="2"/>
        <v>0</v>
      </c>
      <c r="L64" s="427" t="str">
        <f>April!L64</f>
        <v/>
      </c>
      <c r="M64" s="428" t="str">
        <f>April!M64</f>
        <v/>
      </c>
      <c r="N64" s="321" t="str">
        <f>IFERROR(VLOOKUP(M64, Tarieven!$A$1:$J$150, 10, FALSE), "0")</f>
        <v>0</v>
      </c>
      <c r="O64" s="427" t="str">
        <f>April!O64</f>
        <v/>
      </c>
      <c r="P64" s="428" t="str">
        <f>April!P64</f>
        <v/>
      </c>
      <c r="Q64" s="325" t="str">
        <f>IFERROR(VLOOKUP(P64, Tarieven!$A$2:$J$150, 10, FALSE), "0")</f>
        <v>0</v>
      </c>
      <c r="R64" s="444" t="str">
        <f>April!R64</f>
        <v/>
      </c>
      <c r="S64" s="428" t="str">
        <f>April!S64</f>
        <v/>
      </c>
      <c r="T64" s="325" t="str">
        <f>IFERROR(VLOOKUP(S64, Tarieven!$A$2:$J$150, 10, FALSE), "0")</f>
        <v>0</v>
      </c>
      <c r="U64" s="77" t="str">
        <f>April!U64</f>
        <v/>
      </c>
      <c r="V64" s="327" t="str">
        <f>April!V64</f>
        <v/>
      </c>
      <c r="W64" s="325" t="str">
        <f>IFERROR(VLOOKUP(V64, Tarieven!$A$2:$J$150, 10, FALSE), "0")</f>
        <v>0</v>
      </c>
      <c r="X64" s="138">
        <f>April!X64</f>
        <v>0</v>
      </c>
      <c r="Y64" s="398">
        <v>0.0</v>
      </c>
      <c r="Z64" s="329">
        <f t="shared" si="3"/>
        <v>0</v>
      </c>
      <c r="AA64" s="32">
        <f t="shared" si="4"/>
        <v>0</v>
      </c>
      <c r="AB64" s="32">
        <f t="shared" si="5"/>
        <v>0</v>
      </c>
      <c r="AC64" s="32">
        <f t="shared" si="6"/>
        <v>0</v>
      </c>
    </row>
    <row r="65" ht="22.5" customHeight="1">
      <c r="A65" s="331" t="str">
        <f>Rooster!A66</f>
        <v/>
      </c>
      <c r="B65" s="396" t="str">
        <f>Rooster!B66</f>
        <v/>
      </c>
      <c r="C65" s="15" t="str">
        <f>Rooster!C66</f>
        <v/>
      </c>
      <c r="D65" s="11" t="str">
        <f>Rooster!D66</f>
        <v/>
      </c>
      <c r="E65" s="77"/>
      <c r="F65" s="327" t="str">
        <f>Rooster!E66</f>
        <v/>
      </c>
      <c r="G65" s="319" t="str">
        <f>IFERROR(VLOOKUP(F65, Docenten!$A$2:$G$30, 7, FALSE), "0")</f>
        <v>0</v>
      </c>
      <c r="H65" s="320">
        <f t="shared" si="7"/>
        <v>0</v>
      </c>
      <c r="I65" s="327" t="str">
        <f>Rooster!H66</f>
        <v/>
      </c>
      <c r="J65" s="321" t="str">
        <f>IFERROR(VLOOKUP(I65, Locaties!$A$2:$G$15, 7, FALSE), "0")</f>
        <v>0</v>
      </c>
      <c r="K65" s="42">
        <f t="shared" si="2"/>
        <v>0</v>
      </c>
      <c r="L65" s="427" t="str">
        <f>April!L65</f>
        <v/>
      </c>
      <c r="M65" s="428" t="str">
        <f>April!M65</f>
        <v/>
      </c>
      <c r="N65" s="321" t="str">
        <f>IFERROR(VLOOKUP(M65, Tarieven!$A$1:$J$150, 10, FALSE), "0")</f>
        <v>0</v>
      </c>
      <c r="O65" s="427" t="str">
        <f>April!O65</f>
        <v/>
      </c>
      <c r="P65" s="428" t="str">
        <f>April!P65</f>
        <v/>
      </c>
      <c r="Q65" s="325" t="str">
        <f>IFERROR(VLOOKUP(P65, Tarieven!$A$2:$J$150, 10, FALSE), "0")</f>
        <v>0</v>
      </c>
      <c r="R65" s="444" t="str">
        <f>April!R65</f>
        <v/>
      </c>
      <c r="S65" s="428" t="str">
        <f>April!S65</f>
        <v/>
      </c>
      <c r="T65" s="325" t="str">
        <f>IFERROR(VLOOKUP(S65, Tarieven!$A$2:$J$150, 10, FALSE), "0")</f>
        <v>0</v>
      </c>
      <c r="U65" s="77" t="str">
        <f>April!U65</f>
        <v/>
      </c>
      <c r="V65" s="327" t="str">
        <f>April!V65</f>
        <v/>
      </c>
      <c r="W65" s="325" t="str">
        <f>IFERROR(VLOOKUP(V65, Tarieven!$A$2:$J$150, 10, FALSE), "0")</f>
        <v>0</v>
      </c>
      <c r="X65" s="138">
        <f>April!X65</f>
        <v>0</v>
      </c>
      <c r="Y65" s="398">
        <v>0.0</v>
      </c>
      <c r="Z65" s="329">
        <f t="shared" si="3"/>
        <v>0</v>
      </c>
      <c r="AA65" s="32">
        <f t="shared" si="4"/>
        <v>0</v>
      </c>
      <c r="AB65" s="32">
        <f t="shared" si="5"/>
        <v>0</v>
      </c>
      <c r="AC65" s="32">
        <f t="shared" si="6"/>
        <v>0</v>
      </c>
    </row>
    <row r="66" ht="22.5" customHeight="1">
      <c r="A66" s="331" t="str">
        <f>Rooster!A67</f>
        <v/>
      </c>
      <c r="B66" s="396" t="str">
        <f>Rooster!B67</f>
        <v/>
      </c>
      <c r="C66" s="15" t="str">
        <f>Rooster!C67</f>
        <v/>
      </c>
      <c r="D66" s="11" t="str">
        <f>Rooster!D67</f>
        <v/>
      </c>
      <c r="E66" s="77"/>
      <c r="F66" s="327" t="str">
        <f>Rooster!E67</f>
        <v/>
      </c>
      <c r="G66" s="319" t="str">
        <f>IFERROR(VLOOKUP(F66, Docenten!$A$2:$G$30, 7, FALSE), "0")</f>
        <v>0</v>
      </c>
      <c r="H66" s="320">
        <f t="shared" si="7"/>
        <v>0</v>
      </c>
      <c r="I66" s="327" t="str">
        <f>Rooster!H67</f>
        <v/>
      </c>
      <c r="J66" s="321" t="str">
        <f>IFERROR(VLOOKUP(I66, Locaties!$A$2:$G$15, 7, FALSE), "0")</f>
        <v>0</v>
      </c>
      <c r="K66" s="42">
        <f t="shared" si="2"/>
        <v>0</v>
      </c>
      <c r="L66" s="427" t="str">
        <f>April!L66</f>
        <v/>
      </c>
      <c r="M66" s="428" t="str">
        <f>April!M66</f>
        <v/>
      </c>
      <c r="N66" s="321" t="str">
        <f>IFERROR(VLOOKUP(M66, Tarieven!$A$1:$J$150, 10, FALSE), "0")</f>
        <v>0</v>
      </c>
      <c r="O66" s="427" t="str">
        <f>April!O66</f>
        <v/>
      </c>
      <c r="P66" s="428" t="str">
        <f>April!P66</f>
        <v/>
      </c>
      <c r="Q66" s="325" t="str">
        <f>IFERROR(VLOOKUP(P66, Tarieven!$A$2:$J$150, 10, FALSE), "0")</f>
        <v>0</v>
      </c>
      <c r="R66" s="444" t="str">
        <f>April!R66</f>
        <v/>
      </c>
      <c r="S66" s="428" t="str">
        <f>April!S66</f>
        <v/>
      </c>
      <c r="T66" s="325" t="str">
        <f>IFERROR(VLOOKUP(S66, Tarieven!$A$2:$J$150, 10, FALSE), "0")</f>
        <v>0</v>
      </c>
      <c r="U66" s="77" t="str">
        <f>April!U66</f>
        <v/>
      </c>
      <c r="V66" s="327" t="str">
        <f>April!V66</f>
        <v/>
      </c>
      <c r="W66" s="325" t="str">
        <f>IFERROR(VLOOKUP(V66, Tarieven!$A$2:$J$150, 10, FALSE), "0")</f>
        <v>0</v>
      </c>
      <c r="X66" s="138">
        <f>April!X66</f>
        <v>0</v>
      </c>
      <c r="Y66" s="398">
        <v>0.0</v>
      </c>
      <c r="Z66" s="329">
        <f t="shared" si="3"/>
        <v>0</v>
      </c>
      <c r="AA66" s="32">
        <f t="shared" si="4"/>
        <v>0</v>
      </c>
      <c r="AB66" s="32">
        <f t="shared" si="5"/>
        <v>0</v>
      </c>
      <c r="AC66" s="32">
        <f t="shared" si="6"/>
        <v>0</v>
      </c>
    </row>
    <row r="67" ht="22.5" customHeight="1">
      <c r="A67" s="331" t="str">
        <f>Rooster!A68</f>
        <v/>
      </c>
      <c r="B67" s="396" t="str">
        <f>Rooster!B68</f>
        <v/>
      </c>
      <c r="C67" s="15" t="str">
        <f>Rooster!C68</f>
        <v/>
      </c>
      <c r="D67" s="11" t="str">
        <f>Rooster!D68</f>
        <v/>
      </c>
      <c r="E67" s="77"/>
      <c r="F67" s="327" t="str">
        <f>Rooster!E68</f>
        <v/>
      </c>
      <c r="G67" s="319" t="str">
        <f>IFERROR(VLOOKUP(F67, Docenten!$A$2:$G$30, 7, FALSE), "0")</f>
        <v>0</v>
      </c>
      <c r="H67" s="320">
        <f t="shared" si="7"/>
        <v>0</v>
      </c>
      <c r="I67" s="327" t="str">
        <f>Rooster!H68</f>
        <v/>
      </c>
      <c r="J67" s="321" t="str">
        <f>IFERROR(VLOOKUP(I67, Locaties!$A$2:$G$15, 7, FALSE), "0")</f>
        <v>0</v>
      </c>
      <c r="K67" s="42">
        <f t="shared" si="2"/>
        <v>0</v>
      </c>
      <c r="L67" s="427" t="str">
        <f>April!L67</f>
        <v/>
      </c>
      <c r="M67" s="428" t="str">
        <f>April!M67</f>
        <v/>
      </c>
      <c r="N67" s="321" t="str">
        <f>IFERROR(VLOOKUP(M67, Tarieven!$A$1:$J$150, 10, FALSE), "0")</f>
        <v>0</v>
      </c>
      <c r="O67" s="427" t="str">
        <f>April!O67</f>
        <v/>
      </c>
      <c r="P67" s="428" t="str">
        <f>April!P67</f>
        <v/>
      </c>
      <c r="Q67" s="325" t="str">
        <f>IFERROR(VLOOKUP(P67, Tarieven!$A$2:$J$150, 10, FALSE), "0")</f>
        <v>0</v>
      </c>
      <c r="R67" s="444" t="str">
        <f>April!R67</f>
        <v/>
      </c>
      <c r="S67" s="428" t="str">
        <f>April!S67</f>
        <v/>
      </c>
      <c r="T67" s="325" t="str">
        <f>IFERROR(VLOOKUP(S67, Tarieven!$A$2:$J$150, 10, FALSE), "0")</f>
        <v>0</v>
      </c>
      <c r="U67" s="77" t="str">
        <f>April!U67</f>
        <v/>
      </c>
      <c r="V67" s="327" t="str">
        <f>April!V67</f>
        <v/>
      </c>
      <c r="W67" s="325" t="str">
        <f>IFERROR(VLOOKUP(V67, Tarieven!$A$2:$J$150, 10, FALSE), "0")</f>
        <v>0</v>
      </c>
      <c r="X67" s="138">
        <f>April!X67</f>
        <v>0</v>
      </c>
      <c r="Y67" s="398">
        <v>0.0</v>
      </c>
      <c r="Z67" s="329">
        <f t="shared" si="3"/>
        <v>0</v>
      </c>
      <c r="AA67" s="32">
        <f t="shared" si="4"/>
        <v>0</v>
      </c>
      <c r="AB67" s="32">
        <f t="shared" si="5"/>
        <v>0</v>
      </c>
      <c r="AC67" s="32">
        <f t="shared" si="6"/>
        <v>0</v>
      </c>
    </row>
    <row r="68" ht="22.5" customHeight="1">
      <c r="A68" s="331" t="str">
        <f>Rooster!A69</f>
        <v/>
      </c>
      <c r="B68" s="396" t="str">
        <f>Rooster!B69</f>
        <v/>
      </c>
      <c r="C68" s="15" t="str">
        <f>Rooster!C69</f>
        <v/>
      </c>
      <c r="D68" s="11" t="str">
        <f>Rooster!D69</f>
        <v/>
      </c>
      <c r="E68" s="77"/>
      <c r="F68" s="327" t="str">
        <f>Rooster!E69</f>
        <v/>
      </c>
      <c r="G68" s="319" t="str">
        <f>IFERROR(VLOOKUP(F68, Docenten!$A$2:$G$30, 7, FALSE), "0")</f>
        <v>0</v>
      </c>
      <c r="H68" s="320">
        <f t="shared" si="7"/>
        <v>0</v>
      </c>
      <c r="I68" s="327" t="str">
        <f>Rooster!H69</f>
        <v/>
      </c>
      <c r="J68" s="321" t="str">
        <f>IFERROR(VLOOKUP(I68, Locaties!$A$2:$G$15, 7, FALSE), "0")</f>
        <v>0</v>
      </c>
      <c r="K68" s="42">
        <f t="shared" si="2"/>
        <v>0</v>
      </c>
      <c r="L68" s="427" t="str">
        <f>April!L68</f>
        <v/>
      </c>
      <c r="M68" s="428" t="str">
        <f>April!M68</f>
        <v/>
      </c>
      <c r="N68" s="321" t="str">
        <f>IFERROR(VLOOKUP(M68, Tarieven!$A$1:$J$150, 10, FALSE), "0")</f>
        <v>0</v>
      </c>
      <c r="O68" s="427" t="str">
        <f>April!O68</f>
        <v/>
      </c>
      <c r="P68" s="428" t="str">
        <f>April!P68</f>
        <v/>
      </c>
      <c r="Q68" s="325" t="str">
        <f>IFERROR(VLOOKUP(P68, Tarieven!$A$2:$J$150, 10, FALSE), "0")</f>
        <v>0</v>
      </c>
      <c r="R68" s="444" t="str">
        <f>April!R68</f>
        <v/>
      </c>
      <c r="S68" s="428" t="str">
        <f>April!S68</f>
        <v/>
      </c>
      <c r="T68" s="325" t="str">
        <f>IFERROR(VLOOKUP(S68, Tarieven!$A$2:$J$150, 10, FALSE), "0")</f>
        <v>0</v>
      </c>
      <c r="U68" s="77" t="str">
        <f>April!U68</f>
        <v/>
      </c>
      <c r="V68" s="327" t="str">
        <f>April!V68</f>
        <v/>
      </c>
      <c r="W68" s="325" t="str">
        <f>IFERROR(VLOOKUP(V68, Tarieven!$A$2:$J$150, 10, FALSE), "0")</f>
        <v>0</v>
      </c>
      <c r="X68" s="138">
        <f>April!X68</f>
        <v>0</v>
      </c>
      <c r="Y68" s="398">
        <v>0.0</v>
      </c>
      <c r="Z68" s="329">
        <f t="shared" si="3"/>
        <v>0</v>
      </c>
      <c r="AA68" s="32">
        <f t="shared" si="4"/>
        <v>0</v>
      </c>
      <c r="AB68" s="32">
        <f t="shared" si="5"/>
        <v>0</v>
      </c>
      <c r="AC68" s="32">
        <f t="shared" si="6"/>
        <v>0</v>
      </c>
    </row>
    <row r="69" ht="22.5" customHeight="1">
      <c r="A69" s="331" t="str">
        <f>Rooster!A70</f>
        <v/>
      </c>
      <c r="B69" s="396" t="str">
        <f>Rooster!B70</f>
        <v/>
      </c>
      <c r="C69" s="15" t="str">
        <f>Rooster!C70</f>
        <v/>
      </c>
      <c r="D69" s="11" t="str">
        <f>Rooster!D70</f>
        <v/>
      </c>
      <c r="E69" s="77"/>
      <c r="F69" s="327" t="str">
        <f>Rooster!E70</f>
        <v/>
      </c>
      <c r="G69" s="319" t="str">
        <f>IFERROR(VLOOKUP(F69, Docenten!$A$2:$G$30, 7, FALSE), "0")</f>
        <v>0</v>
      </c>
      <c r="H69" s="320">
        <f t="shared" si="7"/>
        <v>0</v>
      </c>
      <c r="I69" s="327" t="str">
        <f>Rooster!H70</f>
        <v/>
      </c>
      <c r="J69" s="321" t="str">
        <f>IFERROR(VLOOKUP(I69, Locaties!$A$2:$G$15, 7, FALSE), "0")</f>
        <v>0</v>
      </c>
      <c r="K69" s="42">
        <f t="shared" si="2"/>
        <v>0</v>
      </c>
      <c r="L69" s="427" t="str">
        <f>April!L69</f>
        <v/>
      </c>
      <c r="M69" s="428" t="str">
        <f>April!M69</f>
        <v/>
      </c>
      <c r="N69" s="321" t="str">
        <f>IFERROR(VLOOKUP(M69, Tarieven!$A$1:$J$150, 10, FALSE), "0")</f>
        <v>0</v>
      </c>
      <c r="O69" s="427" t="str">
        <f>April!O69</f>
        <v/>
      </c>
      <c r="P69" s="428" t="str">
        <f>April!P69</f>
        <v/>
      </c>
      <c r="Q69" s="325" t="str">
        <f>IFERROR(VLOOKUP(P69, Tarieven!$A$2:$J$150, 10, FALSE), "0")</f>
        <v>0</v>
      </c>
      <c r="R69" s="444" t="str">
        <f>April!R69</f>
        <v/>
      </c>
      <c r="S69" s="428" t="str">
        <f>April!S69</f>
        <v/>
      </c>
      <c r="T69" s="325" t="str">
        <f>IFERROR(VLOOKUP(S69, Tarieven!$A$2:$J$150, 10, FALSE), "0")</f>
        <v>0</v>
      </c>
      <c r="U69" s="77" t="str">
        <f>April!U69</f>
        <v/>
      </c>
      <c r="V69" s="327" t="str">
        <f>April!V69</f>
        <v/>
      </c>
      <c r="W69" s="325" t="str">
        <f>IFERROR(VLOOKUP(V69, Tarieven!$A$2:$J$150, 10, FALSE), "0")</f>
        <v>0</v>
      </c>
      <c r="X69" s="138">
        <f>April!X69</f>
        <v>0</v>
      </c>
      <c r="Y69" s="398">
        <v>0.0</v>
      </c>
      <c r="Z69" s="329">
        <f t="shared" si="3"/>
        <v>0</v>
      </c>
      <c r="AA69" s="32">
        <f t="shared" si="4"/>
        <v>0</v>
      </c>
      <c r="AB69" s="32">
        <f t="shared" si="5"/>
        <v>0</v>
      </c>
      <c r="AC69" s="32">
        <f t="shared" si="6"/>
        <v>0</v>
      </c>
    </row>
    <row r="70" ht="22.5" customHeight="1">
      <c r="A70" s="331" t="str">
        <f>Rooster!A71</f>
        <v/>
      </c>
      <c r="B70" s="396" t="str">
        <f>Rooster!B71</f>
        <v/>
      </c>
      <c r="C70" s="15" t="str">
        <f>Rooster!C71</f>
        <v/>
      </c>
      <c r="D70" s="11" t="str">
        <f>Rooster!D71</f>
        <v/>
      </c>
      <c r="E70" s="77"/>
      <c r="F70" s="327" t="str">
        <f>Rooster!E71</f>
        <v/>
      </c>
      <c r="G70" s="319" t="str">
        <f>IFERROR(VLOOKUP(F70, Docenten!$A$2:$G$30, 7, FALSE), "0")</f>
        <v>0</v>
      </c>
      <c r="H70" s="320">
        <f t="shared" si="7"/>
        <v>0</v>
      </c>
      <c r="I70" s="327" t="str">
        <f>Rooster!H71</f>
        <v/>
      </c>
      <c r="J70" s="321" t="str">
        <f>IFERROR(VLOOKUP(I70, Locaties!$A$2:$G$15, 7, FALSE), "0")</f>
        <v>0</v>
      </c>
      <c r="K70" s="42">
        <f t="shared" si="2"/>
        <v>0</v>
      </c>
      <c r="L70" s="427" t="str">
        <f>April!L70</f>
        <v/>
      </c>
      <c r="M70" s="428" t="str">
        <f>April!M70</f>
        <v/>
      </c>
      <c r="N70" s="321" t="str">
        <f>IFERROR(VLOOKUP(M70, Tarieven!$A$1:$J$150, 10, FALSE), "0")</f>
        <v>0</v>
      </c>
      <c r="O70" s="427" t="str">
        <f>April!O70</f>
        <v/>
      </c>
      <c r="P70" s="428" t="str">
        <f>April!P70</f>
        <v/>
      </c>
      <c r="Q70" s="325" t="str">
        <f>IFERROR(VLOOKUP(P70, Tarieven!$A$2:$J$150, 10, FALSE), "0")</f>
        <v>0</v>
      </c>
      <c r="R70" s="444" t="str">
        <f>April!R70</f>
        <v/>
      </c>
      <c r="S70" s="428" t="str">
        <f>April!S70</f>
        <v/>
      </c>
      <c r="T70" s="325" t="str">
        <f>IFERROR(VLOOKUP(S70, Tarieven!$A$2:$J$150, 10, FALSE), "0")</f>
        <v>0</v>
      </c>
      <c r="U70" s="77" t="str">
        <f>April!U70</f>
        <v/>
      </c>
      <c r="V70" s="327" t="str">
        <f>April!V70</f>
        <v/>
      </c>
      <c r="W70" s="325" t="str">
        <f>IFERROR(VLOOKUP(V70, Tarieven!$A$2:$J$150, 10, FALSE), "0")</f>
        <v>0</v>
      </c>
      <c r="X70" s="138">
        <f>April!X70</f>
        <v>0</v>
      </c>
      <c r="Y70" s="398">
        <v>0.0</v>
      </c>
      <c r="Z70" s="329">
        <f t="shared" si="3"/>
        <v>0</v>
      </c>
      <c r="AA70" s="32">
        <f t="shared" si="4"/>
        <v>0</v>
      </c>
      <c r="AB70" s="32">
        <f t="shared" si="5"/>
        <v>0</v>
      </c>
      <c r="AC70" s="32">
        <f t="shared" si="6"/>
        <v>0</v>
      </c>
    </row>
    <row r="71" ht="22.5" customHeight="1">
      <c r="A71" s="331" t="str">
        <f>Rooster!A72</f>
        <v/>
      </c>
      <c r="B71" s="396" t="str">
        <f>Rooster!B72</f>
        <v/>
      </c>
      <c r="C71" s="15" t="str">
        <f>Rooster!C72</f>
        <v/>
      </c>
      <c r="D71" s="11" t="str">
        <f>Rooster!D72</f>
        <v/>
      </c>
      <c r="E71" s="77"/>
      <c r="F71" s="327" t="str">
        <f>Rooster!E72</f>
        <v/>
      </c>
      <c r="G71" s="319" t="str">
        <f>IFERROR(VLOOKUP(F71, Docenten!$A$2:$G$30, 7, FALSE), "0")</f>
        <v>0</v>
      </c>
      <c r="H71" s="320">
        <f t="shared" si="7"/>
        <v>0</v>
      </c>
      <c r="I71" s="327" t="str">
        <f>Rooster!H72</f>
        <v/>
      </c>
      <c r="J71" s="321" t="str">
        <f>IFERROR(VLOOKUP(I71, Locaties!$A$2:$G$15, 7, FALSE), "0")</f>
        <v>0</v>
      </c>
      <c r="K71" s="42">
        <f t="shared" si="2"/>
        <v>0</v>
      </c>
      <c r="L71" s="427" t="str">
        <f>April!L71</f>
        <v/>
      </c>
      <c r="M71" s="428" t="str">
        <f>April!M71</f>
        <v/>
      </c>
      <c r="N71" s="321" t="str">
        <f>IFERROR(VLOOKUP(M71, Tarieven!$A$1:$J$150, 10, FALSE), "0")</f>
        <v>0</v>
      </c>
      <c r="O71" s="427" t="str">
        <f>April!O71</f>
        <v/>
      </c>
      <c r="P71" s="428" t="str">
        <f>April!P71</f>
        <v/>
      </c>
      <c r="Q71" s="325" t="str">
        <f>IFERROR(VLOOKUP(P71, Tarieven!$A$2:$J$150, 10, FALSE), "0")</f>
        <v>0</v>
      </c>
      <c r="R71" s="444" t="str">
        <f>April!R71</f>
        <v/>
      </c>
      <c r="S71" s="428" t="str">
        <f>April!S71</f>
        <v/>
      </c>
      <c r="T71" s="325" t="str">
        <f>IFERROR(VLOOKUP(S71, Tarieven!$A$2:$J$150, 10, FALSE), "0")</f>
        <v>0</v>
      </c>
      <c r="U71" s="77" t="str">
        <f>April!U71</f>
        <v/>
      </c>
      <c r="V71" s="327" t="str">
        <f>April!V71</f>
        <v/>
      </c>
      <c r="W71" s="325" t="str">
        <f>IFERROR(VLOOKUP(V71, Tarieven!$A$2:$J$150, 10, FALSE), "0")</f>
        <v>0</v>
      </c>
      <c r="X71" s="138">
        <f>April!X71</f>
        <v>0</v>
      </c>
      <c r="Y71" s="398">
        <v>0.0</v>
      </c>
      <c r="Z71" s="329">
        <f t="shared" si="3"/>
        <v>0</v>
      </c>
      <c r="AA71" s="32">
        <f t="shared" si="4"/>
        <v>0</v>
      </c>
      <c r="AB71" s="32">
        <f t="shared" si="5"/>
        <v>0</v>
      </c>
      <c r="AC71" s="32">
        <f t="shared" si="6"/>
        <v>0</v>
      </c>
    </row>
    <row r="72" ht="22.5" customHeight="1">
      <c r="A72" s="331" t="str">
        <f>Rooster!A73</f>
        <v/>
      </c>
      <c r="B72" s="396" t="str">
        <f>Rooster!B73</f>
        <v/>
      </c>
      <c r="C72" s="15" t="str">
        <f>Rooster!C73</f>
        <v/>
      </c>
      <c r="D72" s="11" t="str">
        <f>Rooster!D73</f>
        <v/>
      </c>
      <c r="E72" s="77"/>
      <c r="F72" s="327" t="str">
        <f>Rooster!E73</f>
        <v/>
      </c>
      <c r="G72" s="319" t="str">
        <f>IFERROR(VLOOKUP(F72, Docenten!$A$2:$G$30, 7, FALSE), "0")</f>
        <v>0</v>
      </c>
      <c r="H72" s="320">
        <f t="shared" si="7"/>
        <v>0</v>
      </c>
      <c r="I72" s="327" t="str">
        <f>Rooster!H73</f>
        <v/>
      </c>
      <c r="J72" s="321" t="str">
        <f>IFERROR(VLOOKUP(I72, Locaties!$A$2:$G$15, 7, FALSE), "0")</f>
        <v>0</v>
      </c>
      <c r="K72" s="42">
        <f t="shared" si="2"/>
        <v>0</v>
      </c>
      <c r="L72" s="427" t="str">
        <f>April!L72</f>
        <v/>
      </c>
      <c r="M72" s="428" t="str">
        <f>April!M72</f>
        <v/>
      </c>
      <c r="N72" s="321" t="str">
        <f>IFERROR(VLOOKUP(M72, Tarieven!$A$1:$J$150, 10, FALSE), "0")</f>
        <v>0</v>
      </c>
      <c r="O72" s="427" t="str">
        <f>April!O72</f>
        <v/>
      </c>
      <c r="P72" s="428" t="str">
        <f>April!P72</f>
        <v/>
      </c>
      <c r="Q72" s="325" t="str">
        <f>IFERROR(VLOOKUP(P72, Tarieven!$A$2:$J$150, 10, FALSE), "0")</f>
        <v>0</v>
      </c>
      <c r="R72" s="444" t="str">
        <f>April!R72</f>
        <v/>
      </c>
      <c r="S72" s="428" t="str">
        <f>April!S72</f>
        <v/>
      </c>
      <c r="T72" s="325" t="str">
        <f>IFERROR(VLOOKUP(S72, Tarieven!$A$2:$J$150, 10, FALSE), "0")</f>
        <v>0</v>
      </c>
      <c r="U72" s="77" t="str">
        <f>April!U72</f>
        <v/>
      </c>
      <c r="V72" s="327" t="str">
        <f>April!V72</f>
        <v/>
      </c>
      <c r="W72" s="325" t="str">
        <f>IFERROR(VLOOKUP(V72, Tarieven!$A$2:$J$150, 10, FALSE), "0")</f>
        <v>0</v>
      </c>
      <c r="X72" s="138">
        <f>April!X72</f>
        <v>0</v>
      </c>
      <c r="Y72" s="398">
        <v>0.0</v>
      </c>
      <c r="Z72" s="329">
        <f t="shared" si="3"/>
        <v>0</v>
      </c>
      <c r="AA72" s="32">
        <f t="shared" si="4"/>
        <v>0</v>
      </c>
      <c r="AB72" s="32">
        <f t="shared" si="5"/>
        <v>0</v>
      </c>
      <c r="AC72" s="32">
        <f t="shared" si="6"/>
        <v>0</v>
      </c>
    </row>
    <row r="73" ht="22.5" customHeight="1">
      <c r="A73" s="331" t="str">
        <f>Rooster!A74</f>
        <v/>
      </c>
      <c r="B73" s="396" t="str">
        <f>Rooster!B74</f>
        <v/>
      </c>
      <c r="C73" s="15" t="str">
        <f>Rooster!C74</f>
        <v/>
      </c>
      <c r="D73" s="11" t="str">
        <f>Rooster!D74</f>
        <v/>
      </c>
      <c r="E73" s="77"/>
      <c r="F73" s="327" t="str">
        <f>Rooster!E74</f>
        <v/>
      </c>
      <c r="G73" s="319" t="str">
        <f>IFERROR(VLOOKUP(F73, Docenten!$A$2:$G$30, 7, FALSE), "0")</f>
        <v>0</v>
      </c>
      <c r="H73" s="320">
        <f t="shared" si="7"/>
        <v>0</v>
      </c>
      <c r="I73" s="327" t="str">
        <f>Rooster!H74</f>
        <v/>
      </c>
      <c r="J73" s="321" t="str">
        <f>IFERROR(VLOOKUP(I73, Locaties!$A$2:$G$15, 7, FALSE), "0")</f>
        <v>0</v>
      </c>
      <c r="K73" s="42">
        <f t="shared" si="2"/>
        <v>0</v>
      </c>
      <c r="L73" s="427" t="str">
        <f>April!L73</f>
        <v/>
      </c>
      <c r="M73" s="428" t="str">
        <f>April!M73</f>
        <v/>
      </c>
      <c r="N73" s="321" t="str">
        <f>IFERROR(VLOOKUP(M73, Tarieven!$A$1:$J$150, 10, FALSE), "0")</f>
        <v>0</v>
      </c>
      <c r="O73" s="427" t="str">
        <f>April!O73</f>
        <v/>
      </c>
      <c r="P73" s="428" t="str">
        <f>April!P73</f>
        <v/>
      </c>
      <c r="Q73" s="325" t="str">
        <f>IFERROR(VLOOKUP(P73, Tarieven!$A$2:$J$150, 10, FALSE), "0")</f>
        <v>0</v>
      </c>
      <c r="R73" s="444" t="str">
        <f>April!R73</f>
        <v/>
      </c>
      <c r="S73" s="428" t="str">
        <f>April!S73</f>
        <v/>
      </c>
      <c r="T73" s="325" t="str">
        <f>IFERROR(VLOOKUP(S73, Tarieven!$A$2:$J$150, 10, FALSE), "0")</f>
        <v>0</v>
      </c>
      <c r="U73" s="77" t="str">
        <f>April!U73</f>
        <v/>
      </c>
      <c r="V73" s="327" t="str">
        <f>April!V73</f>
        <v/>
      </c>
      <c r="W73" s="325" t="str">
        <f>IFERROR(VLOOKUP(V73, Tarieven!$A$2:$J$150, 10, FALSE), "0")</f>
        <v>0</v>
      </c>
      <c r="X73" s="138">
        <f>April!X73</f>
        <v>0</v>
      </c>
      <c r="Y73" s="398">
        <v>0.0</v>
      </c>
      <c r="Z73" s="329">
        <f t="shared" si="3"/>
        <v>0</v>
      </c>
      <c r="AA73" s="32">
        <f t="shared" si="4"/>
        <v>0</v>
      </c>
      <c r="AB73" s="32">
        <f t="shared" si="5"/>
        <v>0</v>
      </c>
      <c r="AC73" s="32">
        <f t="shared" si="6"/>
        <v>0</v>
      </c>
    </row>
    <row r="74" ht="22.5" customHeight="1">
      <c r="A74" s="331" t="str">
        <f>Rooster!A75</f>
        <v/>
      </c>
      <c r="B74" s="396" t="str">
        <f>Rooster!B75</f>
        <v/>
      </c>
      <c r="C74" s="15" t="str">
        <f>Rooster!C75</f>
        <v/>
      </c>
      <c r="D74" s="11" t="str">
        <f>Rooster!D75</f>
        <v/>
      </c>
      <c r="E74" s="77"/>
      <c r="F74" s="327" t="str">
        <f>Rooster!E75</f>
        <v/>
      </c>
      <c r="G74" s="319" t="str">
        <f>IFERROR(VLOOKUP(F74, Docenten!$A$2:$G$30, 7, FALSE), "0")</f>
        <v>0</v>
      </c>
      <c r="H74" s="320">
        <f t="shared" si="7"/>
        <v>0</v>
      </c>
      <c r="I74" s="327" t="str">
        <f>Rooster!H75</f>
        <v/>
      </c>
      <c r="J74" s="321" t="str">
        <f>IFERROR(VLOOKUP(I74, Locaties!$A$2:$G$15, 7, FALSE), "0")</f>
        <v>0</v>
      </c>
      <c r="K74" s="42">
        <f t="shared" si="2"/>
        <v>0</v>
      </c>
      <c r="L74" s="427" t="str">
        <f>April!L74</f>
        <v/>
      </c>
      <c r="M74" s="428" t="str">
        <f>April!M74</f>
        <v/>
      </c>
      <c r="N74" s="321" t="str">
        <f>IFERROR(VLOOKUP(M74, Tarieven!$A$1:$J$150, 10, FALSE), "0")</f>
        <v>0</v>
      </c>
      <c r="O74" s="427" t="str">
        <f>April!O74</f>
        <v/>
      </c>
      <c r="P74" s="428" t="str">
        <f>April!P74</f>
        <v/>
      </c>
      <c r="Q74" s="325" t="str">
        <f>IFERROR(VLOOKUP(P74, Tarieven!$A$2:$J$150, 10, FALSE), "0")</f>
        <v>0</v>
      </c>
      <c r="R74" s="444" t="str">
        <f>April!R74</f>
        <v/>
      </c>
      <c r="S74" s="428" t="str">
        <f>April!S74</f>
        <v/>
      </c>
      <c r="T74" s="325" t="str">
        <f>IFERROR(VLOOKUP(S74, Tarieven!$A$2:$J$150, 10, FALSE), "0")</f>
        <v>0</v>
      </c>
      <c r="U74" s="77" t="str">
        <f>April!U74</f>
        <v/>
      </c>
      <c r="V74" s="327" t="str">
        <f>April!V74</f>
        <v/>
      </c>
      <c r="W74" s="325" t="str">
        <f>IFERROR(VLOOKUP(V74, Tarieven!$A$2:$J$150, 10, FALSE), "0")</f>
        <v>0</v>
      </c>
      <c r="X74" s="138">
        <f>April!X74</f>
        <v>0</v>
      </c>
      <c r="Y74" s="398">
        <v>0.0</v>
      </c>
      <c r="Z74" s="329">
        <f t="shared" si="3"/>
        <v>0</v>
      </c>
      <c r="AA74" s="32">
        <f t="shared" si="4"/>
        <v>0</v>
      </c>
      <c r="AB74" s="32">
        <f t="shared" si="5"/>
        <v>0</v>
      </c>
      <c r="AC74" s="32">
        <f t="shared" si="6"/>
        <v>0</v>
      </c>
    </row>
    <row r="75" ht="22.5" customHeight="1">
      <c r="A75" s="331" t="str">
        <f>Rooster!A76</f>
        <v/>
      </c>
      <c r="B75" s="396" t="str">
        <f>Rooster!B76</f>
        <v/>
      </c>
      <c r="C75" s="15" t="str">
        <f>Rooster!C76</f>
        <v/>
      </c>
      <c r="D75" s="11" t="str">
        <f>Rooster!D76</f>
        <v/>
      </c>
      <c r="E75" s="77"/>
      <c r="F75" s="327" t="str">
        <f>Rooster!E76</f>
        <v/>
      </c>
      <c r="G75" s="319" t="str">
        <f>IFERROR(VLOOKUP(F75, Docenten!$A$2:$G$30, 7, FALSE), "0")</f>
        <v>0</v>
      </c>
      <c r="H75" s="320">
        <f t="shared" si="7"/>
        <v>0</v>
      </c>
      <c r="I75" s="327" t="str">
        <f>Rooster!H76</f>
        <v/>
      </c>
      <c r="J75" s="321" t="str">
        <f>IFERROR(VLOOKUP(I75, Locaties!$A$2:$G$15, 7, FALSE), "0")</f>
        <v>0</v>
      </c>
      <c r="K75" s="42">
        <f t="shared" si="2"/>
        <v>0</v>
      </c>
      <c r="L75" s="427" t="str">
        <f>April!L75</f>
        <v/>
      </c>
      <c r="M75" s="428" t="str">
        <f>April!M75</f>
        <v/>
      </c>
      <c r="N75" s="321" t="str">
        <f>IFERROR(VLOOKUP(M75, Tarieven!$A$1:$J$150, 10, FALSE), "0")</f>
        <v>0</v>
      </c>
      <c r="O75" s="427" t="str">
        <f>April!O75</f>
        <v/>
      </c>
      <c r="P75" s="428" t="str">
        <f>April!P75</f>
        <v/>
      </c>
      <c r="Q75" s="325" t="str">
        <f>IFERROR(VLOOKUP(P75, Tarieven!$A$2:$J$150, 10, FALSE), "0")</f>
        <v>0</v>
      </c>
      <c r="R75" s="444" t="str">
        <f>April!R75</f>
        <v/>
      </c>
      <c r="S75" s="428" t="str">
        <f>April!S75</f>
        <v/>
      </c>
      <c r="T75" s="325" t="str">
        <f>IFERROR(VLOOKUP(S75, Tarieven!$A$2:$J$150, 10, FALSE), "0")</f>
        <v>0</v>
      </c>
      <c r="U75" s="77" t="str">
        <f>April!U75</f>
        <v/>
      </c>
      <c r="V75" s="327" t="str">
        <f>April!V75</f>
        <v/>
      </c>
      <c r="W75" s="325" t="str">
        <f>IFERROR(VLOOKUP(V75, Tarieven!$A$2:$J$150, 10, FALSE), "0")</f>
        <v>0</v>
      </c>
      <c r="X75" s="138">
        <f>April!X75</f>
        <v>0</v>
      </c>
      <c r="Y75" s="398">
        <v>0.0</v>
      </c>
      <c r="Z75" s="329">
        <f t="shared" si="3"/>
        <v>0</v>
      </c>
      <c r="AA75" s="32">
        <f t="shared" si="4"/>
        <v>0</v>
      </c>
      <c r="AB75" s="32">
        <f t="shared" si="5"/>
        <v>0</v>
      </c>
      <c r="AC75" s="32">
        <f t="shared" si="6"/>
        <v>0</v>
      </c>
    </row>
    <row r="76" ht="22.5" customHeight="1">
      <c r="A76" s="331" t="str">
        <f>Rooster!A77</f>
        <v/>
      </c>
      <c r="B76" s="396" t="str">
        <f>Rooster!B77</f>
        <v/>
      </c>
      <c r="C76" s="15" t="str">
        <f>Rooster!C77</f>
        <v/>
      </c>
      <c r="D76" s="11" t="str">
        <f>Rooster!D77</f>
        <v/>
      </c>
      <c r="E76" s="77"/>
      <c r="F76" s="327" t="str">
        <f>Rooster!E77</f>
        <v/>
      </c>
      <c r="G76" s="319" t="str">
        <f>IFERROR(VLOOKUP(F76, Docenten!$A$2:$G$30, 7, FALSE), "0")</f>
        <v>0</v>
      </c>
      <c r="H76" s="320">
        <f t="shared" si="7"/>
        <v>0</v>
      </c>
      <c r="I76" s="327" t="str">
        <f>Rooster!H77</f>
        <v/>
      </c>
      <c r="J76" s="321" t="str">
        <f>IFERROR(VLOOKUP(I76, Locaties!$A$2:$G$15, 7, FALSE), "0")</f>
        <v>0</v>
      </c>
      <c r="K76" s="42">
        <f t="shared" si="2"/>
        <v>0</v>
      </c>
      <c r="L76" s="427" t="str">
        <f>April!L76</f>
        <v/>
      </c>
      <c r="M76" s="428" t="str">
        <f>April!M76</f>
        <v/>
      </c>
      <c r="N76" s="321" t="str">
        <f>IFERROR(VLOOKUP(M76, Tarieven!$A$1:$J$150, 10, FALSE), "0")</f>
        <v>0</v>
      </c>
      <c r="O76" s="427" t="str">
        <f>April!O76</f>
        <v/>
      </c>
      <c r="P76" s="428" t="str">
        <f>April!P76</f>
        <v/>
      </c>
      <c r="Q76" s="325" t="str">
        <f>IFERROR(VLOOKUP(P76, Tarieven!$A$2:$J$150, 10, FALSE), "0")</f>
        <v>0</v>
      </c>
      <c r="R76" s="444" t="str">
        <f>April!R76</f>
        <v/>
      </c>
      <c r="S76" s="428" t="str">
        <f>April!S76</f>
        <v/>
      </c>
      <c r="T76" s="325" t="str">
        <f>IFERROR(VLOOKUP(S76, Tarieven!$A$2:$J$150, 10, FALSE), "0")</f>
        <v>0</v>
      </c>
      <c r="U76" s="77" t="str">
        <f>April!U76</f>
        <v/>
      </c>
      <c r="V76" s="327" t="str">
        <f>April!V76</f>
        <v/>
      </c>
      <c r="W76" s="325" t="str">
        <f>IFERROR(VLOOKUP(V76, Tarieven!$A$2:$J$150, 10, FALSE), "0")</f>
        <v>0</v>
      </c>
      <c r="X76" s="138">
        <f>April!X76</f>
        <v>0</v>
      </c>
      <c r="Y76" s="398">
        <v>0.0</v>
      </c>
      <c r="Z76" s="329">
        <f t="shared" si="3"/>
        <v>0</v>
      </c>
      <c r="AA76" s="32">
        <f t="shared" si="4"/>
        <v>0</v>
      </c>
      <c r="AB76" s="32">
        <f t="shared" si="5"/>
        <v>0</v>
      </c>
      <c r="AC76" s="32">
        <f t="shared" si="6"/>
        <v>0</v>
      </c>
    </row>
    <row r="77" ht="22.5" customHeight="1">
      <c r="A77" s="331" t="str">
        <f>Rooster!A78</f>
        <v/>
      </c>
      <c r="B77" s="396" t="str">
        <f>Rooster!B78</f>
        <v/>
      </c>
      <c r="C77" s="15" t="str">
        <f>Rooster!C78</f>
        <v/>
      </c>
      <c r="D77" s="11" t="str">
        <f>Rooster!D78</f>
        <v/>
      </c>
      <c r="E77" s="77"/>
      <c r="F77" s="327" t="str">
        <f>Rooster!E78</f>
        <v/>
      </c>
      <c r="G77" s="319" t="str">
        <f>IFERROR(VLOOKUP(F77, Docenten!$A$2:$G$30, 7, FALSE), "0")</f>
        <v>0</v>
      </c>
      <c r="H77" s="320">
        <f t="shared" si="7"/>
        <v>0</v>
      </c>
      <c r="I77" s="327" t="str">
        <f>Rooster!H78</f>
        <v/>
      </c>
      <c r="J77" s="321" t="str">
        <f>IFERROR(VLOOKUP(I77, Locaties!$A$2:$G$15, 7, FALSE), "0")</f>
        <v>0</v>
      </c>
      <c r="K77" s="42">
        <f t="shared" si="2"/>
        <v>0</v>
      </c>
      <c r="L77" s="427" t="str">
        <f>April!L77</f>
        <v/>
      </c>
      <c r="M77" s="428" t="str">
        <f>April!M77</f>
        <v/>
      </c>
      <c r="N77" s="321" t="str">
        <f>IFERROR(VLOOKUP(M77, Tarieven!$A$1:$J$150, 10, FALSE), "0")</f>
        <v>0</v>
      </c>
      <c r="O77" s="427" t="str">
        <f>April!O77</f>
        <v/>
      </c>
      <c r="P77" s="428" t="str">
        <f>April!P77</f>
        <v/>
      </c>
      <c r="Q77" s="325" t="str">
        <f>IFERROR(VLOOKUP(P77, Tarieven!$A$2:$J$150, 10, FALSE), "0")</f>
        <v>0</v>
      </c>
      <c r="R77" s="444" t="str">
        <f>April!R77</f>
        <v/>
      </c>
      <c r="S77" s="428" t="str">
        <f>April!S77</f>
        <v/>
      </c>
      <c r="T77" s="325" t="str">
        <f>IFERROR(VLOOKUP(S77, Tarieven!$A$2:$J$150, 10, FALSE), "0")</f>
        <v>0</v>
      </c>
      <c r="U77" s="77" t="str">
        <f>April!U77</f>
        <v/>
      </c>
      <c r="V77" s="327" t="str">
        <f>April!V77</f>
        <v/>
      </c>
      <c r="W77" s="325" t="str">
        <f>IFERROR(VLOOKUP(V77, Tarieven!$A$2:$J$150, 10, FALSE), "0")</f>
        <v>0</v>
      </c>
      <c r="X77" s="138">
        <f>April!X77</f>
        <v>0</v>
      </c>
      <c r="Y77" s="398">
        <v>0.0</v>
      </c>
      <c r="Z77" s="329">
        <f t="shared" si="3"/>
        <v>0</v>
      </c>
      <c r="AA77" s="32">
        <f t="shared" si="4"/>
        <v>0</v>
      </c>
      <c r="AB77" s="32">
        <f t="shared" si="5"/>
        <v>0</v>
      </c>
      <c r="AC77" s="32">
        <f t="shared" si="6"/>
        <v>0</v>
      </c>
    </row>
    <row r="78" ht="22.5" customHeight="1">
      <c r="A78" s="331" t="str">
        <f>Rooster!A79</f>
        <v/>
      </c>
      <c r="B78" s="396" t="str">
        <f>Rooster!B79</f>
        <v/>
      </c>
      <c r="C78" s="15" t="str">
        <f>Rooster!C79</f>
        <v/>
      </c>
      <c r="D78" s="11" t="str">
        <f>Rooster!D79</f>
        <v/>
      </c>
      <c r="E78" s="77"/>
      <c r="F78" s="327" t="str">
        <f>Rooster!E79</f>
        <v/>
      </c>
      <c r="G78" s="319" t="str">
        <f>IFERROR(VLOOKUP(F78, Docenten!$A$2:$G$30, 7, FALSE), "0")</f>
        <v>0</v>
      </c>
      <c r="H78" s="320">
        <f t="shared" si="7"/>
        <v>0</v>
      </c>
      <c r="I78" s="327" t="str">
        <f>Rooster!H79</f>
        <v/>
      </c>
      <c r="J78" s="321" t="str">
        <f>IFERROR(VLOOKUP(I78, Locaties!$A$2:$G$15, 7, FALSE), "0")</f>
        <v>0</v>
      </c>
      <c r="K78" s="42">
        <f t="shared" si="2"/>
        <v>0</v>
      </c>
      <c r="L78" s="427" t="str">
        <f>April!L78</f>
        <v/>
      </c>
      <c r="M78" s="428" t="str">
        <f>April!M78</f>
        <v/>
      </c>
      <c r="N78" s="321" t="str">
        <f>IFERROR(VLOOKUP(M78, Tarieven!$A$1:$J$150, 10, FALSE), "0")</f>
        <v>0</v>
      </c>
      <c r="O78" s="427" t="str">
        <f>April!O78</f>
        <v/>
      </c>
      <c r="P78" s="428" t="str">
        <f>April!P78</f>
        <v/>
      </c>
      <c r="Q78" s="325" t="str">
        <f>IFERROR(VLOOKUP(P78, Tarieven!$A$2:$J$150, 10, FALSE), "0")</f>
        <v>0</v>
      </c>
      <c r="R78" s="444" t="str">
        <f>April!R78</f>
        <v/>
      </c>
      <c r="S78" s="428" t="str">
        <f>April!S78</f>
        <v/>
      </c>
      <c r="T78" s="325" t="str">
        <f>IFERROR(VLOOKUP(S78, Tarieven!$A$2:$J$150, 10, FALSE), "0")</f>
        <v>0</v>
      </c>
      <c r="U78" s="77" t="str">
        <f>April!U78</f>
        <v/>
      </c>
      <c r="V78" s="327" t="str">
        <f>April!V78</f>
        <v/>
      </c>
      <c r="W78" s="325" t="str">
        <f>IFERROR(VLOOKUP(V78, Tarieven!$A$2:$J$150, 10, FALSE), "0")</f>
        <v>0</v>
      </c>
      <c r="X78" s="138">
        <f>April!X78</f>
        <v>0</v>
      </c>
      <c r="Y78" s="398">
        <v>0.0</v>
      </c>
      <c r="Z78" s="329">
        <f t="shared" si="3"/>
        <v>0</v>
      </c>
      <c r="AA78" s="32">
        <f t="shared" si="4"/>
        <v>0</v>
      </c>
      <c r="AB78" s="32">
        <f t="shared" si="5"/>
        <v>0</v>
      </c>
      <c r="AC78" s="32">
        <f t="shared" si="6"/>
        <v>0</v>
      </c>
    </row>
    <row r="79" ht="22.5" customHeight="1">
      <c r="A79" s="331" t="str">
        <f>Rooster!A80</f>
        <v/>
      </c>
      <c r="B79" s="396" t="str">
        <f>Rooster!B80</f>
        <v/>
      </c>
      <c r="C79" s="15" t="str">
        <f>Rooster!C80</f>
        <v/>
      </c>
      <c r="D79" s="11" t="str">
        <f>Rooster!D80</f>
        <v/>
      </c>
      <c r="E79" s="77"/>
      <c r="F79" s="327" t="str">
        <f>Rooster!E80</f>
        <v/>
      </c>
      <c r="G79" s="319" t="str">
        <f>IFERROR(VLOOKUP(F79, Docenten!$A$2:$G$30, 7, FALSE), "0")</f>
        <v>0</v>
      </c>
      <c r="H79" s="320">
        <f t="shared" si="7"/>
        <v>0</v>
      </c>
      <c r="I79" s="327" t="str">
        <f>Rooster!H80</f>
        <v/>
      </c>
      <c r="J79" s="321" t="str">
        <f>IFERROR(VLOOKUP(I79, Locaties!$A$2:$G$15, 7, FALSE), "0")</f>
        <v>0</v>
      </c>
      <c r="K79" s="42">
        <f t="shared" si="2"/>
        <v>0</v>
      </c>
      <c r="L79" s="427" t="str">
        <f>April!L79</f>
        <v/>
      </c>
      <c r="M79" s="428" t="str">
        <f>April!M79</f>
        <v/>
      </c>
      <c r="N79" s="321" t="str">
        <f>IFERROR(VLOOKUP(M79, Tarieven!$A$1:$J$150, 10, FALSE), "0")</f>
        <v>0</v>
      </c>
      <c r="O79" s="427" t="str">
        <f>April!O79</f>
        <v/>
      </c>
      <c r="P79" s="428" t="str">
        <f>April!P79</f>
        <v/>
      </c>
      <c r="Q79" s="325" t="str">
        <f>IFERROR(VLOOKUP(P79, Tarieven!$A$2:$J$150, 10, FALSE), "0")</f>
        <v>0</v>
      </c>
      <c r="R79" s="444" t="str">
        <f>April!R79</f>
        <v/>
      </c>
      <c r="S79" s="428" t="str">
        <f>April!S79</f>
        <v/>
      </c>
      <c r="T79" s="325" t="str">
        <f>IFERROR(VLOOKUP(S79, Tarieven!$A$2:$J$150, 10, FALSE), "0")</f>
        <v>0</v>
      </c>
      <c r="U79" s="77" t="str">
        <f>April!U79</f>
        <v/>
      </c>
      <c r="V79" s="327" t="str">
        <f>April!V79</f>
        <v/>
      </c>
      <c r="W79" s="325" t="str">
        <f>IFERROR(VLOOKUP(V79, Tarieven!$A$2:$J$150, 10, FALSE), "0")</f>
        <v>0</v>
      </c>
      <c r="X79" s="138">
        <f>April!X79</f>
        <v>0</v>
      </c>
      <c r="Y79" s="398">
        <v>0.0</v>
      </c>
      <c r="Z79" s="329">
        <f t="shared" si="3"/>
        <v>0</v>
      </c>
      <c r="AA79" s="32">
        <f t="shared" si="4"/>
        <v>0</v>
      </c>
      <c r="AB79" s="32">
        <f t="shared" si="5"/>
        <v>0</v>
      </c>
      <c r="AC79" s="32">
        <f t="shared" si="6"/>
        <v>0</v>
      </c>
    </row>
    <row r="80" ht="22.5" customHeight="1">
      <c r="A80" s="331" t="str">
        <f>Rooster!A81</f>
        <v/>
      </c>
      <c r="B80" s="396" t="str">
        <f>Rooster!B81</f>
        <v/>
      </c>
      <c r="C80" s="15" t="str">
        <f>Rooster!C81</f>
        <v/>
      </c>
      <c r="D80" s="11" t="str">
        <f>Rooster!D81</f>
        <v/>
      </c>
      <c r="E80" s="77"/>
      <c r="F80" s="327" t="str">
        <f>Rooster!E81</f>
        <v/>
      </c>
      <c r="G80" s="319" t="str">
        <f>IFERROR(VLOOKUP(F80, Docenten!$A$2:$G$30, 7, FALSE), "0")</f>
        <v>0</v>
      </c>
      <c r="H80" s="320">
        <f t="shared" si="7"/>
        <v>0</v>
      </c>
      <c r="I80" s="327" t="str">
        <f>Rooster!H81</f>
        <v/>
      </c>
      <c r="J80" s="321" t="str">
        <f>IFERROR(VLOOKUP(I80, Locaties!$A$2:$G$15, 7, FALSE), "0")</f>
        <v>0</v>
      </c>
      <c r="K80" s="42">
        <f t="shared" si="2"/>
        <v>0</v>
      </c>
      <c r="L80" s="427" t="str">
        <f>April!L80</f>
        <v/>
      </c>
      <c r="M80" s="428" t="str">
        <f>April!M80</f>
        <v/>
      </c>
      <c r="N80" s="321" t="str">
        <f>IFERROR(VLOOKUP(M80, Tarieven!$A$1:$J$150, 10, FALSE), "0")</f>
        <v>0</v>
      </c>
      <c r="O80" s="427" t="str">
        <f>April!O80</f>
        <v/>
      </c>
      <c r="P80" s="428" t="str">
        <f>April!P80</f>
        <v/>
      </c>
      <c r="Q80" s="325" t="str">
        <f>IFERROR(VLOOKUP(P80, Tarieven!$A$2:$J$150, 10, FALSE), "0")</f>
        <v>0</v>
      </c>
      <c r="R80" s="444" t="str">
        <f>April!R80</f>
        <v/>
      </c>
      <c r="S80" s="428" t="str">
        <f>April!S80</f>
        <v/>
      </c>
      <c r="T80" s="325" t="str">
        <f>IFERROR(VLOOKUP(S80, Tarieven!$A$2:$J$150, 10, FALSE), "0")</f>
        <v>0</v>
      </c>
      <c r="U80" s="77" t="str">
        <f>April!U80</f>
        <v/>
      </c>
      <c r="V80" s="327" t="str">
        <f>April!V80</f>
        <v/>
      </c>
      <c r="W80" s="325" t="str">
        <f>IFERROR(VLOOKUP(V80, Tarieven!$A$2:$J$150, 10, FALSE), "0")</f>
        <v>0</v>
      </c>
      <c r="X80" s="138">
        <f>April!X80</f>
        <v>0</v>
      </c>
      <c r="Y80" s="398">
        <v>0.0</v>
      </c>
      <c r="Z80" s="329">
        <f t="shared" si="3"/>
        <v>0</v>
      </c>
      <c r="AA80" s="32">
        <f t="shared" si="4"/>
        <v>0</v>
      </c>
      <c r="AB80" s="32">
        <f t="shared" si="5"/>
        <v>0</v>
      </c>
      <c r="AC80" s="32">
        <f t="shared" si="6"/>
        <v>0</v>
      </c>
    </row>
    <row r="81" ht="22.5" customHeight="1">
      <c r="A81" s="331" t="str">
        <f>Rooster!A82</f>
        <v/>
      </c>
      <c r="B81" s="396" t="str">
        <f>Rooster!B82</f>
        <v/>
      </c>
      <c r="C81" s="15" t="str">
        <f>Rooster!C82</f>
        <v/>
      </c>
      <c r="D81" s="11" t="str">
        <f>Rooster!D82</f>
        <v/>
      </c>
      <c r="E81" s="77"/>
      <c r="F81" s="327" t="str">
        <f>Rooster!E82</f>
        <v/>
      </c>
      <c r="G81" s="319" t="str">
        <f>IFERROR(VLOOKUP(F81, Docenten!$A$2:$G$30, 7, FALSE), "0")</f>
        <v>0</v>
      </c>
      <c r="H81" s="320">
        <f t="shared" si="7"/>
        <v>0</v>
      </c>
      <c r="I81" s="327" t="str">
        <f>Rooster!H82</f>
        <v/>
      </c>
      <c r="J81" s="321" t="str">
        <f>IFERROR(VLOOKUP(I81, Locaties!$A$2:$G$15, 7, FALSE), "0")</f>
        <v>0</v>
      </c>
      <c r="K81" s="42">
        <f t="shared" si="2"/>
        <v>0</v>
      </c>
      <c r="L81" s="427" t="str">
        <f>April!L81</f>
        <v/>
      </c>
      <c r="M81" s="428" t="str">
        <f>April!M81</f>
        <v/>
      </c>
      <c r="N81" s="321" t="str">
        <f>IFERROR(VLOOKUP(M81, Tarieven!$A$1:$J$150, 10, FALSE), "0")</f>
        <v>0</v>
      </c>
      <c r="O81" s="427" t="str">
        <f>April!O81</f>
        <v/>
      </c>
      <c r="P81" s="428" t="str">
        <f>April!P81</f>
        <v/>
      </c>
      <c r="Q81" s="325" t="str">
        <f>IFERROR(VLOOKUP(P81, Tarieven!$A$2:$J$150, 10, FALSE), "0")</f>
        <v>0</v>
      </c>
      <c r="R81" s="444" t="str">
        <f>April!R81</f>
        <v/>
      </c>
      <c r="S81" s="428" t="str">
        <f>April!S81</f>
        <v/>
      </c>
      <c r="T81" s="325" t="str">
        <f>IFERROR(VLOOKUP(S81, Tarieven!$A$2:$J$150, 10, FALSE), "0")</f>
        <v>0</v>
      </c>
      <c r="U81" s="77" t="str">
        <f>April!U81</f>
        <v/>
      </c>
      <c r="V81" s="327" t="str">
        <f>April!V81</f>
        <v/>
      </c>
      <c r="W81" s="325" t="str">
        <f>IFERROR(VLOOKUP(V81, Tarieven!$A$2:$J$150, 10, FALSE), "0")</f>
        <v>0</v>
      </c>
      <c r="X81" s="138">
        <f>April!X81</f>
        <v>0</v>
      </c>
      <c r="Y81" s="398">
        <v>0.0</v>
      </c>
      <c r="Z81" s="329">
        <f t="shared" si="3"/>
        <v>0</v>
      </c>
      <c r="AA81" s="32">
        <f t="shared" si="4"/>
        <v>0</v>
      </c>
      <c r="AB81" s="32">
        <f t="shared" si="5"/>
        <v>0</v>
      </c>
      <c r="AC81" s="32">
        <f t="shared" si="6"/>
        <v>0</v>
      </c>
    </row>
    <row r="82" ht="22.5" customHeight="1">
      <c r="A82" s="331" t="str">
        <f>Rooster!A83</f>
        <v/>
      </c>
      <c r="B82" s="396" t="str">
        <f>Rooster!B83</f>
        <v/>
      </c>
      <c r="C82" s="15" t="str">
        <f>Rooster!C83</f>
        <v/>
      </c>
      <c r="D82" s="11" t="str">
        <f>Rooster!D83</f>
        <v/>
      </c>
      <c r="E82" s="77"/>
      <c r="F82" s="327" t="str">
        <f>Rooster!E83</f>
        <v/>
      </c>
      <c r="G82" s="319" t="str">
        <f>IFERROR(VLOOKUP(F82, Docenten!$A$2:$G$30, 7, FALSE), "0")</f>
        <v>0</v>
      </c>
      <c r="H82" s="320">
        <f t="shared" si="7"/>
        <v>0</v>
      </c>
      <c r="I82" s="327" t="str">
        <f>Rooster!H83</f>
        <v/>
      </c>
      <c r="J82" s="321" t="str">
        <f>IFERROR(VLOOKUP(I82, Locaties!$A$2:$G$15, 7, FALSE), "0")</f>
        <v>0</v>
      </c>
      <c r="K82" s="42">
        <f t="shared" si="2"/>
        <v>0</v>
      </c>
      <c r="L82" s="427" t="str">
        <f>April!L82</f>
        <v/>
      </c>
      <c r="M82" s="428" t="str">
        <f>April!M82</f>
        <v/>
      </c>
      <c r="N82" s="321" t="str">
        <f>IFERROR(VLOOKUP(M82, Tarieven!$A$1:$J$150, 10, FALSE), "0")</f>
        <v>0</v>
      </c>
      <c r="O82" s="427" t="str">
        <f>April!O82</f>
        <v/>
      </c>
      <c r="P82" s="428" t="str">
        <f>April!P82</f>
        <v/>
      </c>
      <c r="Q82" s="325" t="str">
        <f>IFERROR(VLOOKUP(P82, Tarieven!$A$2:$J$150, 10, FALSE), "0")</f>
        <v>0</v>
      </c>
      <c r="R82" s="444" t="str">
        <f>April!R82</f>
        <v/>
      </c>
      <c r="S82" s="428" t="str">
        <f>April!S82</f>
        <v/>
      </c>
      <c r="T82" s="325" t="str">
        <f>IFERROR(VLOOKUP(S82, Tarieven!$A$2:$J$150, 10, FALSE), "0")</f>
        <v>0</v>
      </c>
      <c r="U82" s="77" t="str">
        <f>April!U82</f>
        <v/>
      </c>
      <c r="V82" s="327" t="str">
        <f>April!V82</f>
        <v/>
      </c>
      <c r="W82" s="325" t="str">
        <f>IFERROR(VLOOKUP(V82, Tarieven!$A$2:$J$150, 10, FALSE), "0")</f>
        <v>0</v>
      </c>
      <c r="X82" s="138">
        <f>April!X82</f>
        <v>0</v>
      </c>
      <c r="Y82" s="398">
        <v>0.0</v>
      </c>
      <c r="Z82" s="329">
        <f t="shared" si="3"/>
        <v>0</v>
      </c>
      <c r="AA82" s="32">
        <f t="shared" si="4"/>
        <v>0</v>
      </c>
      <c r="AB82" s="32">
        <f t="shared" si="5"/>
        <v>0</v>
      </c>
      <c r="AC82" s="32">
        <f t="shared" si="6"/>
        <v>0</v>
      </c>
    </row>
    <row r="83" ht="22.5" customHeight="1">
      <c r="A83" s="331" t="str">
        <f>Rooster!A84</f>
        <v/>
      </c>
      <c r="B83" s="396" t="str">
        <f>Rooster!B84</f>
        <v/>
      </c>
      <c r="C83" s="15" t="str">
        <f>Rooster!C84</f>
        <v/>
      </c>
      <c r="D83" s="11" t="str">
        <f>Rooster!D84</f>
        <v/>
      </c>
      <c r="E83" s="77"/>
      <c r="F83" s="327" t="str">
        <f>Rooster!E84</f>
        <v/>
      </c>
      <c r="G83" s="319" t="str">
        <f>IFERROR(VLOOKUP(F83, Docenten!$A$2:$G$30, 7, FALSE), "0")</f>
        <v>0</v>
      </c>
      <c r="H83" s="320">
        <f t="shared" si="7"/>
        <v>0</v>
      </c>
      <c r="I83" s="327" t="str">
        <f>Rooster!H84</f>
        <v/>
      </c>
      <c r="J83" s="321" t="str">
        <f>IFERROR(VLOOKUP(I83, Locaties!$A$2:$G$15, 7, FALSE), "0")</f>
        <v>0</v>
      </c>
      <c r="K83" s="42">
        <f t="shared" si="2"/>
        <v>0</v>
      </c>
      <c r="L83" s="427" t="str">
        <f>April!L83</f>
        <v/>
      </c>
      <c r="M83" s="428" t="str">
        <f>April!M83</f>
        <v/>
      </c>
      <c r="N83" s="321" t="str">
        <f>IFERROR(VLOOKUP(M83, Tarieven!$A$1:$J$150, 10, FALSE), "0")</f>
        <v>0</v>
      </c>
      <c r="O83" s="427" t="str">
        <f>April!O83</f>
        <v/>
      </c>
      <c r="P83" s="428" t="str">
        <f>April!P83</f>
        <v/>
      </c>
      <c r="Q83" s="325" t="str">
        <f>IFERROR(VLOOKUP(P83, Tarieven!$A$2:$J$150, 10, FALSE), "0")</f>
        <v>0</v>
      </c>
      <c r="R83" s="444" t="str">
        <f>April!R83</f>
        <v/>
      </c>
      <c r="S83" s="428" t="str">
        <f>April!S83</f>
        <v/>
      </c>
      <c r="T83" s="325" t="str">
        <f>IFERROR(VLOOKUP(S83, Tarieven!$A$2:$J$150, 10, FALSE), "0")</f>
        <v>0</v>
      </c>
      <c r="U83" s="77" t="str">
        <f>April!U83</f>
        <v/>
      </c>
      <c r="V83" s="327" t="str">
        <f>April!V83</f>
        <v/>
      </c>
      <c r="W83" s="325" t="str">
        <f>IFERROR(VLOOKUP(V83, Tarieven!$A$2:$J$150, 10, FALSE), "0")</f>
        <v>0</v>
      </c>
      <c r="X83" s="138">
        <f>April!X83</f>
        <v>0</v>
      </c>
      <c r="Y83" s="398">
        <v>0.0</v>
      </c>
      <c r="Z83" s="329">
        <f t="shared" si="3"/>
        <v>0</v>
      </c>
      <c r="AA83" s="32">
        <f t="shared" si="4"/>
        <v>0</v>
      </c>
      <c r="AB83" s="32">
        <f t="shared" si="5"/>
        <v>0</v>
      </c>
      <c r="AC83" s="32">
        <f t="shared" si="6"/>
        <v>0</v>
      </c>
    </row>
    <row r="84" ht="22.5" customHeight="1">
      <c r="A84" s="331" t="str">
        <f>Rooster!A85</f>
        <v/>
      </c>
      <c r="B84" s="396" t="str">
        <f>Rooster!B85</f>
        <v/>
      </c>
      <c r="C84" s="15" t="str">
        <f>Rooster!C85</f>
        <v/>
      </c>
      <c r="D84" s="11" t="str">
        <f>Rooster!D85</f>
        <v/>
      </c>
      <c r="E84" s="77"/>
      <c r="F84" s="327" t="str">
        <f>Rooster!E85</f>
        <v/>
      </c>
      <c r="G84" s="319" t="str">
        <f>IFERROR(VLOOKUP(F84, Docenten!$A$2:$G$30, 7, FALSE), "0")</f>
        <v>0</v>
      </c>
      <c r="H84" s="320">
        <f t="shared" si="7"/>
        <v>0</v>
      </c>
      <c r="I84" s="327" t="str">
        <f>Rooster!H85</f>
        <v/>
      </c>
      <c r="J84" s="321" t="str">
        <f>IFERROR(VLOOKUP(I84, Locaties!$A$2:$G$15, 7, FALSE), "0")</f>
        <v>0</v>
      </c>
      <c r="K84" s="42">
        <f t="shared" si="2"/>
        <v>0</v>
      </c>
      <c r="L84" s="427" t="str">
        <f>April!L84</f>
        <v/>
      </c>
      <c r="M84" s="428" t="str">
        <f>April!M84</f>
        <v/>
      </c>
      <c r="N84" s="321" t="str">
        <f>IFERROR(VLOOKUP(M84, Tarieven!$A$1:$J$150, 10, FALSE), "0")</f>
        <v>0</v>
      </c>
      <c r="O84" s="427" t="str">
        <f>April!O84</f>
        <v/>
      </c>
      <c r="P84" s="428" t="str">
        <f>April!P84</f>
        <v/>
      </c>
      <c r="Q84" s="325" t="str">
        <f>IFERROR(VLOOKUP(P84, Tarieven!$A$2:$J$150, 10, FALSE), "0")</f>
        <v>0</v>
      </c>
      <c r="R84" s="444" t="str">
        <f>April!R84</f>
        <v/>
      </c>
      <c r="S84" s="428" t="str">
        <f>April!S84</f>
        <v/>
      </c>
      <c r="T84" s="325" t="str">
        <f>IFERROR(VLOOKUP(S84, Tarieven!$A$2:$J$150, 10, FALSE), "0")</f>
        <v>0</v>
      </c>
      <c r="U84" s="77" t="str">
        <f>April!U84</f>
        <v/>
      </c>
      <c r="V84" s="327" t="str">
        <f>April!V84</f>
        <v/>
      </c>
      <c r="W84" s="325" t="str">
        <f>IFERROR(VLOOKUP(V84, Tarieven!$A$2:$J$150, 10, FALSE), "0")</f>
        <v>0</v>
      </c>
      <c r="X84" s="138">
        <f>April!X84</f>
        <v>0</v>
      </c>
      <c r="Y84" s="398">
        <v>0.0</v>
      </c>
      <c r="Z84" s="329">
        <f t="shared" si="3"/>
        <v>0</v>
      </c>
      <c r="AA84" s="32">
        <f t="shared" si="4"/>
        <v>0</v>
      </c>
      <c r="AB84" s="32">
        <f t="shared" si="5"/>
        <v>0</v>
      </c>
      <c r="AC84" s="32">
        <f t="shared" si="6"/>
        <v>0</v>
      </c>
    </row>
    <row r="85" ht="22.5" customHeight="1">
      <c r="A85" s="331" t="str">
        <f>Rooster!A86</f>
        <v/>
      </c>
      <c r="B85" s="396" t="str">
        <f>Rooster!B86</f>
        <v/>
      </c>
      <c r="C85" s="15" t="str">
        <f>Rooster!C86</f>
        <v/>
      </c>
      <c r="D85" s="11" t="str">
        <f>Rooster!D86</f>
        <v/>
      </c>
      <c r="E85" s="77"/>
      <c r="F85" s="327" t="str">
        <f>Rooster!E86</f>
        <v/>
      </c>
      <c r="G85" s="319" t="str">
        <f>IFERROR(VLOOKUP(F85, Docenten!$A$2:$G$30, 7, FALSE), "0")</f>
        <v>0</v>
      </c>
      <c r="H85" s="320">
        <f t="shared" si="7"/>
        <v>0</v>
      </c>
      <c r="I85" s="327" t="str">
        <f>Rooster!H86</f>
        <v/>
      </c>
      <c r="J85" s="321" t="str">
        <f>IFERROR(VLOOKUP(I85, Locaties!$A$2:$G$15, 7, FALSE), "0")</f>
        <v>0</v>
      </c>
      <c r="K85" s="42">
        <f t="shared" si="2"/>
        <v>0</v>
      </c>
      <c r="L85" s="427" t="str">
        <f>April!L85</f>
        <v/>
      </c>
      <c r="M85" s="428" t="str">
        <f>April!M85</f>
        <v/>
      </c>
      <c r="N85" s="321" t="str">
        <f>IFERROR(VLOOKUP(M85, Tarieven!$A$1:$J$150, 10, FALSE), "0")</f>
        <v>0</v>
      </c>
      <c r="O85" s="427" t="str">
        <f>April!O85</f>
        <v/>
      </c>
      <c r="P85" s="428" t="str">
        <f>April!P85</f>
        <v/>
      </c>
      <c r="Q85" s="325" t="str">
        <f>IFERROR(VLOOKUP(P85, Tarieven!$A$2:$J$150, 10, FALSE), "0")</f>
        <v>0</v>
      </c>
      <c r="R85" s="444" t="str">
        <f>April!R85</f>
        <v/>
      </c>
      <c r="S85" s="428" t="str">
        <f>April!S85</f>
        <v/>
      </c>
      <c r="T85" s="325" t="str">
        <f>IFERROR(VLOOKUP(S85, Tarieven!$A$2:$J$150, 10, FALSE), "0")</f>
        <v>0</v>
      </c>
      <c r="U85" s="77" t="str">
        <f>April!U85</f>
        <v/>
      </c>
      <c r="V85" s="327" t="str">
        <f>April!V85</f>
        <v/>
      </c>
      <c r="W85" s="325" t="str">
        <f>IFERROR(VLOOKUP(V85, Tarieven!$A$2:$J$150, 10, FALSE), "0")</f>
        <v>0</v>
      </c>
      <c r="X85" s="138">
        <f>April!X85</f>
        <v>0</v>
      </c>
      <c r="Y85" s="398">
        <v>0.0</v>
      </c>
      <c r="Z85" s="329">
        <f t="shared" si="3"/>
        <v>0</v>
      </c>
      <c r="AA85" s="32">
        <f t="shared" si="4"/>
        <v>0</v>
      </c>
      <c r="AB85" s="32">
        <f t="shared" si="5"/>
        <v>0</v>
      </c>
      <c r="AC85" s="32">
        <f t="shared" si="6"/>
        <v>0</v>
      </c>
    </row>
    <row r="86" ht="22.5" customHeight="1">
      <c r="A86" s="331" t="str">
        <f>Rooster!A87</f>
        <v/>
      </c>
      <c r="B86" s="396" t="str">
        <f>Rooster!B87</f>
        <v/>
      </c>
      <c r="C86" s="15" t="str">
        <f>Rooster!C87</f>
        <v/>
      </c>
      <c r="D86" s="11" t="str">
        <f>Rooster!D87</f>
        <v/>
      </c>
      <c r="E86" s="77"/>
      <c r="F86" s="327" t="str">
        <f>Rooster!E87</f>
        <v/>
      </c>
      <c r="G86" s="319" t="str">
        <f>IFERROR(VLOOKUP(F86, Docenten!$A$2:$G$30, 7, FALSE), "0")</f>
        <v>0</v>
      </c>
      <c r="H86" s="320">
        <f t="shared" si="7"/>
        <v>0</v>
      </c>
      <c r="I86" s="327" t="str">
        <f>Rooster!H87</f>
        <v/>
      </c>
      <c r="J86" s="321" t="str">
        <f>IFERROR(VLOOKUP(I86, Locaties!$A$2:$G$15, 7, FALSE), "0")</f>
        <v>0</v>
      </c>
      <c r="K86" s="42">
        <f t="shared" si="2"/>
        <v>0</v>
      </c>
      <c r="L86" s="427" t="str">
        <f>April!L86</f>
        <v/>
      </c>
      <c r="M86" s="428" t="str">
        <f>April!M86</f>
        <v/>
      </c>
      <c r="N86" s="321" t="str">
        <f>IFERROR(VLOOKUP(M86, Tarieven!$A$1:$J$150, 10, FALSE), "0")</f>
        <v>0</v>
      </c>
      <c r="O86" s="427" t="str">
        <f>April!O86</f>
        <v/>
      </c>
      <c r="P86" s="428" t="str">
        <f>April!P86</f>
        <v/>
      </c>
      <c r="Q86" s="325" t="str">
        <f>IFERROR(VLOOKUP(P86, Tarieven!$A$2:$J$150, 10, FALSE), "0")</f>
        <v>0</v>
      </c>
      <c r="R86" s="444" t="str">
        <f>April!R86</f>
        <v/>
      </c>
      <c r="S86" s="428" t="str">
        <f>April!S86</f>
        <v/>
      </c>
      <c r="T86" s="325" t="str">
        <f>IFERROR(VLOOKUP(S86, Tarieven!$A$2:$J$150, 10, FALSE), "0")</f>
        <v>0</v>
      </c>
      <c r="U86" s="77" t="str">
        <f>April!U86</f>
        <v/>
      </c>
      <c r="V86" s="327" t="str">
        <f>April!V86</f>
        <v/>
      </c>
      <c r="W86" s="325" t="str">
        <f>IFERROR(VLOOKUP(V86, Tarieven!$A$2:$J$150, 10, FALSE), "0")</f>
        <v>0</v>
      </c>
      <c r="X86" s="138">
        <f>April!X86</f>
        <v>0</v>
      </c>
      <c r="Y86" s="398">
        <v>0.0</v>
      </c>
      <c r="Z86" s="329">
        <f t="shared" si="3"/>
        <v>0</v>
      </c>
      <c r="AA86" s="32">
        <f t="shared" si="4"/>
        <v>0</v>
      </c>
      <c r="AB86" s="32">
        <f t="shared" si="5"/>
        <v>0</v>
      </c>
      <c r="AC86" s="32">
        <f t="shared" si="6"/>
        <v>0</v>
      </c>
    </row>
    <row r="87" ht="22.5" customHeight="1">
      <c r="A87" s="331" t="str">
        <f>Rooster!A88</f>
        <v/>
      </c>
      <c r="B87" s="396" t="str">
        <f>Rooster!B88</f>
        <v/>
      </c>
      <c r="C87" s="15" t="str">
        <f>Rooster!C88</f>
        <v/>
      </c>
      <c r="D87" s="11" t="str">
        <f>Rooster!D88</f>
        <v/>
      </c>
      <c r="E87" s="77"/>
      <c r="F87" s="327" t="str">
        <f>Rooster!E88</f>
        <v/>
      </c>
      <c r="G87" s="319" t="str">
        <f>IFERROR(VLOOKUP(F87, Docenten!$A$2:$G$30, 7, FALSE), "0")</f>
        <v>0</v>
      </c>
      <c r="H87" s="320">
        <f t="shared" si="7"/>
        <v>0</v>
      </c>
      <c r="I87" s="327" t="str">
        <f>Rooster!H88</f>
        <v/>
      </c>
      <c r="J87" s="321" t="str">
        <f>IFERROR(VLOOKUP(I87, Locaties!$A$2:$G$15, 7, FALSE), "0")</f>
        <v>0</v>
      </c>
      <c r="K87" s="42">
        <f t="shared" si="2"/>
        <v>0</v>
      </c>
      <c r="L87" s="427" t="str">
        <f>April!L87</f>
        <v/>
      </c>
      <c r="M87" s="428" t="str">
        <f>April!M87</f>
        <v/>
      </c>
      <c r="N87" s="321" t="str">
        <f>IFERROR(VLOOKUP(M87, Tarieven!$A$1:$J$150, 10, FALSE), "0")</f>
        <v>0</v>
      </c>
      <c r="O87" s="427" t="str">
        <f>April!O87</f>
        <v/>
      </c>
      <c r="P87" s="428" t="str">
        <f>April!P87</f>
        <v/>
      </c>
      <c r="Q87" s="325" t="str">
        <f>IFERROR(VLOOKUP(P87, Tarieven!$A$2:$J$150, 10, FALSE), "0")</f>
        <v>0</v>
      </c>
      <c r="R87" s="444" t="str">
        <f>April!R87</f>
        <v/>
      </c>
      <c r="S87" s="428" t="str">
        <f>April!S87</f>
        <v/>
      </c>
      <c r="T87" s="325" t="str">
        <f>IFERROR(VLOOKUP(S87, Tarieven!$A$2:$J$150, 10, FALSE), "0")</f>
        <v>0</v>
      </c>
      <c r="U87" s="77" t="str">
        <f>April!U87</f>
        <v/>
      </c>
      <c r="V87" s="327" t="str">
        <f>April!V87</f>
        <v/>
      </c>
      <c r="W87" s="325" t="str">
        <f>IFERROR(VLOOKUP(V87, Tarieven!$A$2:$J$150, 10, FALSE), "0")</f>
        <v>0</v>
      </c>
      <c r="X87" s="138">
        <f>April!X87</f>
        <v>0</v>
      </c>
      <c r="Y87" s="398">
        <v>0.0</v>
      </c>
      <c r="Z87" s="329">
        <f t="shared" si="3"/>
        <v>0</v>
      </c>
      <c r="AA87" s="32">
        <f t="shared" si="4"/>
        <v>0</v>
      </c>
      <c r="AB87" s="32">
        <f t="shared" si="5"/>
        <v>0</v>
      </c>
      <c r="AC87" s="32">
        <f t="shared" si="6"/>
        <v>0</v>
      </c>
    </row>
    <row r="88" ht="22.5" customHeight="1">
      <c r="A88" s="331" t="str">
        <f>Rooster!A89</f>
        <v/>
      </c>
      <c r="B88" s="396" t="str">
        <f>Rooster!B89</f>
        <v/>
      </c>
      <c r="C88" s="15" t="str">
        <f>Rooster!C89</f>
        <v/>
      </c>
      <c r="D88" s="11" t="str">
        <f>Rooster!D89</f>
        <v/>
      </c>
      <c r="E88" s="77"/>
      <c r="F88" s="327" t="str">
        <f>Rooster!E89</f>
        <v/>
      </c>
      <c r="G88" s="319" t="str">
        <f>IFERROR(VLOOKUP(F88, Docenten!$A$2:$G$30, 7, FALSE), "0")</f>
        <v>0</v>
      </c>
      <c r="H88" s="320">
        <f t="shared" si="7"/>
        <v>0</v>
      </c>
      <c r="I88" s="327" t="str">
        <f>Rooster!H89</f>
        <v/>
      </c>
      <c r="J88" s="321" t="str">
        <f>IFERROR(VLOOKUP(I88, Locaties!$A$2:$G$15, 7, FALSE), "0")</f>
        <v>0</v>
      </c>
      <c r="K88" s="42">
        <f t="shared" si="2"/>
        <v>0</v>
      </c>
      <c r="L88" s="427" t="str">
        <f>April!L88</f>
        <v/>
      </c>
      <c r="M88" s="428" t="str">
        <f>April!M88</f>
        <v/>
      </c>
      <c r="N88" s="321" t="str">
        <f>IFERROR(VLOOKUP(M88, Tarieven!$A$1:$J$150, 10, FALSE), "0")</f>
        <v>0</v>
      </c>
      <c r="O88" s="427" t="str">
        <f>April!O88</f>
        <v/>
      </c>
      <c r="P88" s="428" t="str">
        <f>April!P88</f>
        <v/>
      </c>
      <c r="Q88" s="325" t="str">
        <f>IFERROR(VLOOKUP(P88, Tarieven!$A$2:$J$150, 10, FALSE), "0")</f>
        <v>0</v>
      </c>
      <c r="R88" s="444" t="str">
        <f>April!R88</f>
        <v/>
      </c>
      <c r="S88" s="428" t="str">
        <f>April!S88</f>
        <v/>
      </c>
      <c r="T88" s="325" t="str">
        <f>IFERROR(VLOOKUP(S88, Tarieven!$A$2:$J$150, 10, FALSE), "0")</f>
        <v>0</v>
      </c>
      <c r="U88" s="77" t="str">
        <f>April!U88</f>
        <v/>
      </c>
      <c r="V88" s="327" t="str">
        <f>April!V88</f>
        <v/>
      </c>
      <c r="W88" s="325" t="str">
        <f>IFERROR(VLOOKUP(V88, Tarieven!$A$2:$J$150, 10, FALSE), "0")</f>
        <v>0</v>
      </c>
      <c r="X88" s="138">
        <f>April!X88</f>
        <v>0</v>
      </c>
      <c r="Y88" s="398">
        <v>0.0</v>
      </c>
      <c r="Z88" s="329">
        <f t="shared" si="3"/>
        <v>0</v>
      </c>
      <c r="AA88" s="32">
        <f t="shared" si="4"/>
        <v>0</v>
      </c>
      <c r="AB88" s="32">
        <f t="shared" si="5"/>
        <v>0</v>
      </c>
      <c r="AC88" s="32">
        <f t="shared" si="6"/>
        <v>0</v>
      </c>
    </row>
    <row r="89" ht="22.5" customHeight="1">
      <c r="A89" s="331" t="str">
        <f>Rooster!A90</f>
        <v/>
      </c>
      <c r="B89" s="396" t="str">
        <f>Rooster!B90</f>
        <v/>
      </c>
      <c r="C89" s="15" t="str">
        <f>Rooster!C90</f>
        <v/>
      </c>
      <c r="D89" s="11" t="str">
        <f>Rooster!D90</f>
        <v/>
      </c>
      <c r="E89" s="77"/>
      <c r="F89" s="327" t="str">
        <f>Rooster!E90</f>
        <v/>
      </c>
      <c r="G89" s="319" t="str">
        <f>IFERROR(VLOOKUP(F89, Docenten!$A$2:$G$30, 7, FALSE), "0")</f>
        <v>0</v>
      </c>
      <c r="H89" s="320">
        <f t="shared" si="7"/>
        <v>0</v>
      </c>
      <c r="I89" s="327" t="str">
        <f>Rooster!H90</f>
        <v/>
      </c>
      <c r="J89" s="321" t="str">
        <f>IFERROR(VLOOKUP(I89, Locaties!$A$2:$G$15, 7, FALSE), "0")</f>
        <v>0</v>
      </c>
      <c r="K89" s="42">
        <f t="shared" si="2"/>
        <v>0</v>
      </c>
      <c r="L89" s="427" t="str">
        <f>April!L89</f>
        <v/>
      </c>
      <c r="M89" s="428" t="str">
        <f>April!M89</f>
        <v/>
      </c>
      <c r="N89" s="321" t="str">
        <f>IFERROR(VLOOKUP(M89, Tarieven!$A$1:$J$150, 10, FALSE), "0")</f>
        <v>0</v>
      </c>
      <c r="O89" s="427" t="str">
        <f>April!O89</f>
        <v/>
      </c>
      <c r="P89" s="428" t="str">
        <f>April!P89</f>
        <v/>
      </c>
      <c r="Q89" s="325" t="str">
        <f>IFERROR(VLOOKUP(P89, Tarieven!$A$2:$J$150, 10, FALSE), "0")</f>
        <v>0</v>
      </c>
      <c r="R89" s="444" t="str">
        <f>April!R89</f>
        <v/>
      </c>
      <c r="S89" s="428" t="str">
        <f>April!S89</f>
        <v/>
      </c>
      <c r="T89" s="325" t="str">
        <f>IFERROR(VLOOKUP(S89, Tarieven!$A$2:$J$150, 10, FALSE), "0")</f>
        <v>0</v>
      </c>
      <c r="U89" s="77" t="str">
        <f>April!U89</f>
        <v/>
      </c>
      <c r="V89" s="327" t="str">
        <f>April!V89</f>
        <v/>
      </c>
      <c r="W89" s="325" t="str">
        <f>IFERROR(VLOOKUP(V89, Tarieven!$A$2:$J$150, 10, FALSE), "0")</f>
        <v>0</v>
      </c>
      <c r="X89" s="138">
        <f>April!X89</f>
        <v>0</v>
      </c>
      <c r="Y89" s="398">
        <v>0.0</v>
      </c>
      <c r="Z89" s="329">
        <f t="shared" si="3"/>
        <v>0</v>
      </c>
      <c r="AA89" s="32">
        <f t="shared" si="4"/>
        <v>0</v>
      </c>
      <c r="AB89" s="32">
        <f t="shared" si="5"/>
        <v>0</v>
      </c>
      <c r="AC89" s="32">
        <f t="shared" si="6"/>
        <v>0</v>
      </c>
    </row>
    <row r="90" ht="22.5" customHeight="1">
      <c r="A90" s="331" t="str">
        <f>Rooster!A91</f>
        <v/>
      </c>
      <c r="B90" s="396" t="str">
        <f>Rooster!B91</f>
        <v/>
      </c>
      <c r="C90" s="15" t="str">
        <f>Rooster!C91</f>
        <v/>
      </c>
      <c r="D90" s="11" t="str">
        <f>Rooster!D91</f>
        <v/>
      </c>
      <c r="E90" s="77"/>
      <c r="F90" s="327" t="str">
        <f>Rooster!E91</f>
        <v/>
      </c>
      <c r="G90" s="319" t="str">
        <f>IFERROR(VLOOKUP(F90, Docenten!$A$2:$G$30, 7, FALSE), "0")</f>
        <v>0</v>
      </c>
      <c r="H90" s="320">
        <f t="shared" si="7"/>
        <v>0</v>
      </c>
      <c r="I90" s="327" t="str">
        <f>Rooster!H91</f>
        <v/>
      </c>
      <c r="J90" s="321" t="str">
        <f>IFERROR(VLOOKUP(I90, Locaties!$A$2:$G$15, 7, FALSE), "0")</f>
        <v>0</v>
      </c>
      <c r="K90" s="42">
        <f t="shared" si="2"/>
        <v>0</v>
      </c>
      <c r="L90" s="427" t="str">
        <f>April!L90</f>
        <v/>
      </c>
      <c r="M90" s="428" t="str">
        <f>April!M90</f>
        <v/>
      </c>
      <c r="N90" s="321" t="str">
        <f>IFERROR(VLOOKUP(M90, Tarieven!$A$1:$J$150, 10, FALSE), "0")</f>
        <v>0</v>
      </c>
      <c r="O90" s="427" t="str">
        <f>April!O90</f>
        <v/>
      </c>
      <c r="P90" s="428" t="str">
        <f>April!P90</f>
        <v/>
      </c>
      <c r="Q90" s="325" t="str">
        <f>IFERROR(VLOOKUP(P90, Tarieven!$A$2:$J$150, 10, FALSE), "0")</f>
        <v>0</v>
      </c>
      <c r="R90" s="444" t="str">
        <f>April!R90</f>
        <v/>
      </c>
      <c r="S90" s="428" t="str">
        <f>April!S90</f>
        <v/>
      </c>
      <c r="T90" s="325" t="str">
        <f>IFERROR(VLOOKUP(S90, Tarieven!$A$2:$J$150, 10, FALSE), "0")</f>
        <v>0</v>
      </c>
      <c r="U90" s="77" t="str">
        <f>April!U90</f>
        <v/>
      </c>
      <c r="V90" s="327" t="str">
        <f>April!V90</f>
        <v/>
      </c>
      <c r="W90" s="325" t="str">
        <f>IFERROR(VLOOKUP(V90, Tarieven!$A$2:$J$150, 10, FALSE), "0")</f>
        <v>0</v>
      </c>
      <c r="X90" s="138">
        <f>April!X90</f>
        <v>0</v>
      </c>
      <c r="Y90" s="398">
        <v>0.0</v>
      </c>
      <c r="Z90" s="329">
        <f t="shared" si="3"/>
        <v>0</v>
      </c>
      <c r="AA90" s="32">
        <f t="shared" si="4"/>
        <v>0</v>
      </c>
      <c r="AB90" s="32">
        <f t="shared" si="5"/>
        <v>0</v>
      </c>
      <c r="AC90" s="32">
        <f t="shared" si="6"/>
        <v>0</v>
      </c>
    </row>
    <row r="91" ht="22.5" customHeight="1">
      <c r="A91" s="331" t="str">
        <f>Rooster!A92</f>
        <v/>
      </c>
      <c r="B91" s="396" t="str">
        <f>Rooster!B92</f>
        <v/>
      </c>
      <c r="C91" s="15" t="str">
        <f>Rooster!C92</f>
        <v/>
      </c>
      <c r="D91" s="11" t="str">
        <f>Rooster!D92</f>
        <v/>
      </c>
      <c r="E91" s="77"/>
      <c r="F91" s="327" t="str">
        <f>Rooster!E92</f>
        <v/>
      </c>
      <c r="G91" s="319" t="str">
        <f>IFERROR(VLOOKUP(F91, Docenten!$A$2:$G$30, 7, FALSE), "0")</f>
        <v>0</v>
      </c>
      <c r="H91" s="320">
        <f t="shared" si="7"/>
        <v>0</v>
      </c>
      <c r="I91" s="327" t="str">
        <f>Rooster!H92</f>
        <v/>
      </c>
      <c r="J91" s="321" t="str">
        <f>IFERROR(VLOOKUP(I91, Locaties!$A$2:$G$15, 7, FALSE), "0")</f>
        <v>0</v>
      </c>
      <c r="K91" s="42">
        <f t="shared" si="2"/>
        <v>0</v>
      </c>
      <c r="L91" s="427" t="str">
        <f>April!L91</f>
        <v/>
      </c>
      <c r="M91" s="428" t="str">
        <f>April!M91</f>
        <v/>
      </c>
      <c r="N91" s="321" t="str">
        <f>IFERROR(VLOOKUP(M91, Tarieven!$A$1:$J$150, 10, FALSE), "0")</f>
        <v>0</v>
      </c>
      <c r="O91" s="427" t="str">
        <f>April!O91</f>
        <v/>
      </c>
      <c r="P91" s="428" t="str">
        <f>April!P91</f>
        <v/>
      </c>
      <c r="Q91" s="325" t="str">
        <f>IFERROR(VLOOKUP(P91, Tarieven!$A$2:$J$150, 10, FALSE), "0")</f>
        <v>0</v>
      </c>
      <c r="R91" s="444" t="str">
        <f>April!R91</f>
        <v/>
      </c>
      <c r="S91" s="428" t="str">
        <f>April!S91</f>
        <v/>
      </c>
      <c r="T91" s="325" t="str">
        <f>IFERROR(VLOOKUP(S91, Tarieven!$A$2:$J$150, 10, FALSE), "0")</f>
        <v>0</v>
      </c>
      <c r="U91" s="77" t="str">
        <f>April!U91</f>
        <v/>
      </c>
      <c r="V91" s="327" t="str">
        <f>April!V91</f>
        <v/>
      </c>
      <c r="W91" s="325" t="str">
        <f>IFERROR(VLOOKUP(V91, Tarieven!$A$2:$J$150, 10, FALSE), "0")</f>
        <v>0</v>
      </c>
      <c r="X91" s="138">
        <f>April!X91</f>
        <v>0</v>
      </c>
      <c r="Y91" s="398">
        <v>0.0</v>
      </c>
      <c r="Z91" s="329">
        <f t="shared" si="3"/>
        <v>0</v>
      </c>
      <c r="AA91" s="32">
        <f t="shared" si="4"/>
        <v>0</v>
      </c>
      <c r="AB91" s="32">
        <f t="shared" si="5"/>
        <v>0</v>
      </c>
      <c r="AC91" s="32">
        <f t="shared" si="6"/>
        <v>0</v>
      </c>
    </row>
    <row r="92" ht="22.5" customHeight="1">
      <c r="A92" s="331" t="str">
        <f>Rooster!A93</f>
        <v/>
      </c>
      <c r="B92" s="396" t="str">
        <f>Rooster!B93</f>
        <v/>
      </c>
      <c r="C92" s="15" t="str">
        <f>Rooster!C93</f>
        <v/>
      </c>
      <c r="D92" s="11" t="str">
        <f>Rooster!D93</f>
        <v/>
      </c>
      <c r="E92" s="77"/>
      <c r="F92" s="327" t="str">
        <f>Rooster!E93</f>
        <v/>
      </c>
      <c r="G92" s="319" t="str">
        <f>IFERROR(VLOOKUP(F92, Docenten!$A$2:$G$30, 7, FALSE), "0")</f>
        <v>0</v>
      </c>
      <c r="H92" s="320">
        <f t="shared" si="7"/>
        <v>0</v>
      </c>
      <c r="I92" s="327" t="str">
        <f>Rooster!H93</f>
        <v/>
      </c>
      <c r="J92" s="321" t="str">
        <f>IFERROR(VLOOKUP(I92, Locaties!$A$2:$G$15, 7, FALSE), "0")</f>
        <v>0</v>
      </c>
      <c r="K92" s="42">
        <f t="shared" si="2"/>
        <v>0</v>
      </c>
      <c r="L92" s="427" t="str">
        <f>April!L92</f>
        <v/>
      </c>
      <c r="M92" s="428" t="str">
        <f>April!M92</f>
        <v/>
      </c>
      <c r="N92" s="321" t="str">
        <f>IFERROR(VLOOKUP(M92, Tarieven!$A$1:$J$150, 10, FALSE), "0")</f>
        <v>0</v>
      </c>
      <c r="O92" s="427" t="str">
        <f>April!O92</f>
        <v/>
      </c>
      <c r="P92" s="428" t="str">
        <f>April!P92</f>
        <v/>
      </c>
      <c r="Q92" s="325" t="str">
        <f>IFERROR(VLOOKUP(P92, Tarieven!$A$2:$J$150, 10, FALSE), "0")</f>
        <v>0</v>
      </c>
      <c r="R92" s="444" t="str">
        <f>April!R92</f>
        <v/>
      </c>
      <c r="S92" s="428" t="str">
        <f>April!S92</f>
        <v/>
      </c>
      <c r="T92" s="325" t="str">
        <f>IFERROR(VLOOKUP(S92, Tarieven!$A$2:$J$150, 10, FALSE), "0")</f>
        <v>0</v>
      </c>
      <c r="U92" s="77" t="str">
        <f>April!U92</f>
        <v/>
      </c>
      <c r="V92" s="327" t="str">
        <f>April!V92</f>
        <v/>
      </c>
      <c r="W92" s="325" t="str">
        <f>IFERROR(VLOOKUP(V92, Tarieven!$A$2:$J$150, 10, FALSE), "0")</f>
        <v>0</v>
      </c>
      <c r="X92" s="138">
        <f>April!X92</f>
        <v>0</v>
      </c>
      <c r="Y92" s="398">
        <v>0.0</v>
      </c>
      <c r="Z92" s="329">
        <f t="shared" si="3"/>
        <v>0</v>
      </c>
      <c r="AA92" s="32">
        <f t="shared" si="4"/>
        <v>0</v>
      </c>
      <c r="AB92" s="32">
        <f t="shared" si="5"/>
        <v>0</v>
      </c>
      <c r="AC92" s="32">
        <f t="shared" si="6"/>
        <v>0</v>
      </c>
    </row>
    <row r="93" ht="22.5" customHeight="1">
      <c r="A93" s="331" t="str">
        <f>Rooster!A94</f>
        <v/>
      </c>
      <c r="B93" s="396" t="str">
        <f>Rooster!B94</f>
        <v/>
      </c>
      <c r="C93" s="15" t="str">
        <f>Rooster!C94</f>
        <v/>
      </c>
      <c r="D93" s="11" t="str">
        <f>Rooster!D94</f>
        <v/>
      </c>
      <c r="E93" s="77"/>
      <c r="F93" s="327" t="str">
        <f>Rooster!E94</f>
        <v/>
      </c>
      <c r="G93" s="319" t="str">
        <f>IFERROR(VLOOKUP(F93, Docenten!$A$2:$G$30, 7, FALSE), "0")</f>
        <v>0</v>
      </c>
      <c r="H93" s="320">
        <f t="shared" si="7"/>
        <v>0</v>
      </c>
      <c r="I93" s="327" t="str">
        <f>Rooster!H94</f>
        <v/>
      </c>
      <c r="J93" s="321" t="str">
        <f>IFERROR(VLOOKUP(I93, Locaties!$A$2:$G$15, 7, FALSE), "0")</f>
        <v>0</v>
      </c>
      <c r="K93" s="42">
        <f t="shared" si="2"/>
        <v>0</v>
      </c>
      <c r="L93" s="427" t="str">
        <f>April!L93</f>
        <v/>
      </c>
      <c r="M93" s="428" t="str">
        <f>April!M93</f>
        <v/>
      </c>
      <c r="N93" s="321" t="str">
        <f>IFERROR(VLOOKUP(M93, Tarieven!$A$1:$J$150, 10, FALSE), "0")</f>
        <v>0</v>
      </c>
      <c r="O93" s="427" t="str">
        <f>April!O93</f>
        <v/>
      </c>
      <c r="P93" s="428" t="str">
        <f>April!P93</f>
        <v/>
      </c>
      <c r="Q93" s="325" t="str">
        <f>IFERROR(VLOOKUP(P93, Tarieven!$A$2:$J$150, 10, FALSE), "0")</f>
        <v>0</v>
      </c>
      <c r="R93" s="444" t="str">
        <f>April!R93</f>
        <v/>
      </c>
      <c r="S93" s="428" t="str">
        <f>April!S93</f>
        <v/>
      </c>
      <c r="T93" s="325" t="str">
        <f>IFERROR(VLOOKUP(S93, Tarieven!$A$2:$J$150, 10, FALSE), "0")</f>
        <v>0</v>
      </c>
      <c r="U93" s="77" t="str">
        <f>April!U93</f>
        <v/>
      </c>
      <c r="V93" s="327" t="str">
        <f>April!V93</f>
        <v/>
      </c>
      <c r="W93" s="325" t="str">
        <f>IFERROR(VLOOKUP(V93, Tarieven!$A$2:$J$150, 10, FALSE), "0")</f>
        <v>0</v>
      </c>
      <c r="X93" s="138">
        <f>April!X93</f>
        <v>0</v>
      </c>
      <c r="Y93" s="398">
        <v>0.0</v>
      </c>
      <c r="Z93" s="329">
        <f t="shared" si="3"/>
        <v>0</v>
      </c>
      <c r="AA93" s="32">
        <f t="shared" si="4"/>
        <v>0</v>
      </c>
      <c r="AB93" s="32">
        <f t="shared" si="5"/>
        <v>0</v>
      </c>
      <c r="AC93" s="32">
        <f t="shared" si="6"/>
        <v>0</v>
      </c>
    </row>
    <row r="94" ht="22.5" customHeight="1">
      <c r="A94" s="331" t="str">
        <f>Rooster!A95</f>
        <v/>
      </c>
      <c r="B94" s="396" t="str">
        <f>Rooster!B95</f>
        <v/>
      </c>
      <c r="C94" s="15" t="str">
        <f>Rooster!C95</f>
        <v/>
      </c>
      <c r="D94" s="11" t="str">
        <f>Rooster!D95</f>
        <v/>
      </c>
      <c r="E94" s="77"/>
      <c r="F94" s="327" t="str">
        <f>Rooster!E95</f>
        <v/>
      </c>
      <c r="G94" s="319" t="str">
        <f>IFERROR(VLOOKUP(F94, Docenten!$A$2:$G$30, 7, FALSE), "0")</f>
        <v>0</v>
      </c>
      <c r="H94" s="320">
        <f t="shared" si="7"/>
        <v>0</v>
      </c>
      <c r="I94" s="327" t="str">
        <f>Rooster!H95</f>
        <v/>
      </c>
      <c r="J94" s="321" t="str">
        <f>IFERROR(VLOOKUP(I94, Locaties!$A$2:$G$15, 7, FALSE), "0")</f>
        <v>0</v>
      </c>
      <c r="K94" s="42">
        <f t="shared" si="2"/>
        <v>0</v>
      </c>
      <c r="L94" s="427" t="str">
        <f>April!L94</f>
        <v/>
      </c>
      <c r="M94" s="428" t="str">
        <f>April!M94</f>
        <v/>
      </c>
      <c r="N94" s="321" t="str">
        <f>IFERROR(VLOOKUP(M94, Tarieven!$A$1:$J$150, 10, FALSE), "0")</f>
        <v>0</v>
      </c>
      <c r="O94" s="427" t="str">
        <f>April!O94</f>
        <v/>
      </c>
      <c r="P94" s="428" t="str">
        <f>April!P94</f>
        <v/>
      </c>
      <c r="Q94" s="325" t="str">
        <f>IFERROR(VLOOKUP(P94, Tarieven!$A$2:$J$150, 10, FALSE), "0")</f>
        <v>0</v>
      </c>
      <c r="R94" s="444" t="str">
        <f>April!R94</f>
        <v/>
      </c>
      <c r="S94" s="428" t="str">
        <f>April!S94</f>
        <v/>
      </c>
      <c r="T94" s="325" t="str">
        <f>IFERROR(VLOOKUP(S94, Tarieven!$A$2:$J$150, 10, FALSE), "0")</f>
        <v>0</v>
      </c>
      <c r="U94" s="77" t="str">
        <f>April!U94</f>
        <v/>
      </c>
      <c r="V94" s="327" t="str">
        <f>April!V94</f>
        <v/>
      </c>
      <c r="W94" s="325" t="str">
        <f>IFERROR(VLOOKUP(V94, Tarieven!$A$2:$J$150, 10, FALSE), "0")</f>
        <v>0</v>
      </c>
      <c r="X94" s="138">
        <f>April!X94</f>
        <v>0</v>
      </c>
      <c r="Y94" s="398">
        <v>0.0</v>
      </c>
      <c r="Z94" s="329">
        <f t="shared" si="3"/>
        <v>0</v>
      </c>
      <c r="AA94" s="32">
        <f t="shared" si="4"/>
        <v>0</v>
      </c>
      <c r="AB94" s="32">
        <f t="shared" si="5"/>
        <v>0</v>
      </c>
      <c r="AC94" s="32">
        <f t="shared" si="6"/>
        <v>0</v>
      </c>
    </row>
    <row r="95" ht="22.5" customHeight="1">
      <c r="A95" s="331" t="str">
        <f>Rooster!A96</f>
        <v/>
      </c>
      <c r="B95" s="396" t="str">
        <f>Rooster!B96</f>
        <v/>
      </c>
      <c r="C95" s="15" t="str">
        <f>Rooster!C96</f>
        <v/>
      </c>
      <c r="D95" s="11" t="str">
        <f>Rooster!D96</f>
        <v/>
      </c>
      <c r="E95" s="77"/>
      <c r="F95" s="327" t="str">
        <f>Rooster!E96</f>
        <v/>
      </c>
      <c r="G95" s="319" t="str">
        <f>IFERROR(VLOOKUP(F95, Docenten!$A$2:$G$30, 7, FALSE), "0")</f>
        <v>0</v>
      </c>
      <c r="H95" s="320">
        <f t="shared" si="7"/>
        <v>0</v>
      </c>
      <c r="I95" s="327" t="str">
        <f>Rooster!H96</f>
        <v/>
      </c>
      <c r="J95" s="321" t="str">
        <f>IFERROR(VLOOKUP(I95, Locaties!$A$2:$G$15, 7, FALSE), "0")</f>
        <v>0</v>
      </c>
      <c r="K95" s="42">
        <f t="shared" si="2"/>
        <v>0</v>
      </c>
      <c r="L95" s="427" t="str">
        <f>April!L95</f>
        <v/>
      </c>
      <c r="M95" s="428" t="str">
        <f>April!M95</f>
        <v/>
      </c>
      <c r="N95" s="321" t="str">
        <f>IFERROR(VLOOKUP(M95, Tarieven!$A$1:$J$150, 10, FALSE), "0")</f>
        <v>0</v>
      </c>
      <c r="O95" s="427" t="str">
        <f>April!O95</f>
        <v/>
      </c>
      <c r="P95" s="428" t="str">
        <f>April!P95</f>
        <v/>
      </c>
      <c r="Q95" s="325" t="str">
        <f>IFERROR(VLOOKUP(P95, Tarieven!$A$2:$J$150, 10, FALSE), "0")</f>
        <v>0</v>
      </c>
      <c r="R95" s="444" t="str">
        <f>April!R95</f>
        <v/>
      </c>
      <c r="S95" s="428" t="str">
        <f>April!S95</f>
        <v/>
      </c>
      <c r="T95" s="325" t="str">
        <f>IFERROR(VLOOKUP(S95, Tarieven!$A$2:$J$150, 10, FALSE), "0")</f>
        <v>0</v>
      </c>
      <c r="U95" s="77" t="str">
        <f>April!U95</f>
        <v/>
      </c>
      <c r="V95" s="327" t="str">
        <f>April!V95</f>
        <v/>
      </c>
      <c r="W95" s="325" t="str">
        <f>IFERROR(VLOOKUP(V95, Tarieven!$A$2:$J$150, 10, FALSE), "0")</f>
        <v>0</v>
      </c>
      <c r="X95" s="138">
        <f>April!X95</f>
        <v>0</v>
      </c>
      <c r="Y95" s="398">
        <v>0.0</v>
      </c>
      <c r="Z95" s="329">
        <f t="shared" si="3"/>
        <v>0</v>
      </c>
      <c r="AA95" s="32">
        <f t="shared" si="4"/>
        <v>0</v>
      </c>
      <c r="AB95" s="32">
        <f t="shared" si="5"/>
        <v>0</v>
      </c>
      <c r="AC95" s="32">
        <f t="shared" si="6"/>
        <v>0</v>
      </c>
    </row>
    <row r="96" ht="22.5" customHeight="1">
      <c r="A96" s="331" t="str">
        <f>Rooster!A97</f>
        <v/>
      </c>
      <c r="B96" s="396" t="str">
        <f>Rooster!B97</f>
        <v/>
      </c>
      <c r="C96" s="15" t="str">
        <f>Rooster!C97</f>
        <v/>
      </c>
      <c r="D96" s="11" t="str">
        <f>Rooster!D97</f>
        <v/>
      </c>
      <c r="E96" s="77"/>
      <c r="F96" s="327" t="str">
        <f>Rooster!E97</f>
        <v/>
      </c>
      <c r="G96" s="319" t="str">
        <f>IFERROR(VLOOKUP(F96, Docenten!$A$2:$G$30, 7, FALSE), "0")</f>
        <v>0</v>
      </c>
      <c r="H96" s="320">
        <f t="shared" si="7"/>
        <v>0</v>
      </c>
      <c r="I96" s="327" t="str">
        <f>Rooster!H97</f>
        <v/>
      </c>
      <c r="J96" s="321" t="str">
        <f>IFERROR(VLOOKUP(I96, Locaties!$A$2:$G$15, 7, FALSE), "0")</f>
        <v>0</v>
      </c>
      <c r="K96" s="42">
        <f t="shared" si="2"/>
        <v>0</v>
      </c>
      <c r="L96" s="427" t="str">
        <f>April!L96</f>
        <v/>
      </c>
      <c r="M96" s="428" t="str">
        <f>April!M96</f>
        <v/>
      </c>
      <c r="N96" s="321" t="str">
        <f>IFERROR(VLOOKUP(M96, Tarieven!$A$1:$J$150, 10, FALSE), "0")</f>
        <v>0</v>
      </c>
      <c r="O96" s="427" t="str">
        <f>April!O96</f>
        <v/>
      </c>
      <c r="P96" s="428" t="str">
        <f>April!P96</f>
        <v/>
      </c>
      <c r="Q96" s="325" t="str">
        <f>IFERROR(VLOOKUP(P96, Tarieven!$A$2:$J$150, 10, FALSE), "0")</f>
        <v>0</v>
      </c>
      <c r="R96" s="444" t="str">
        <f>April!R96</f>
        <v/>
      </c>
      <c r="S96" s="428" t="str">
        <f>April!S96</f>
        <v/>
      </c>
      <c r="T96" s="325" t="str">
        <f>IFERROR(VLOOKUP(S96, Tarieven!$A$2:$J$150, 10, FALSE), "0")</f>
        <v>0</v>
      </c>
      <c r="U96" s="77" t="str">
        <f>April!U96</f>
        <v/>
      </c>
      <c r="V96" s="327" t="str">
        <f>April!V96</f>
        <v/>
      </c>
      <c r="W96" s="325" t="str">
        <f>IFERROR(VLOOKUP(V96, Tarieven!$A$2:$J$150, 10, FALSE), "0")</f>
        <v>0</v>
      </c>
      <c r="X96" s="138">
        <f>April!X96</f>
        <v>0</v>
      </c>
      <c r="Y96" s="398">
        <v>0.0</v>
      </c>
      <c r="Z96" s="329">
        <f t="shared" si="3"/>
        <v>0</v>
      </c>
      <c r="AA96" s="32">
        <f t="shared" si="4"/>
        <v>0</v>
      </c>
      <c r="AB96" s="32">
        <f t="shared" si="5"/>
        <v>0</v>
      </c>
      <c r="AC96" s="32">
        <f t="shared" si="6"/>
        <v>0</v>
      </c>
    </row>
    <row r="97" ht="22.5" customHeight="1">
      <c r="A97" s="331" t="str">
        <f>Rooster!A98</f>
        <v/>
      </c>
      <c r="B97" s="396" t="str">
        <f>Rooster!B98</f>
        <v/>
      </c>
      <c r="C97" s="15" t="str">
        <f>Rooster!C98</f>
        <v/>
      </c>
      <c r="D97" s="11" t="str">
        <f>Rooster!D98</f>
        <v/>
      </c>
      <c r="E97" s="77"/>
      <c r="F97" s="327" t="str">
        <f>Rooster!E98</f>
        <v/>
      </c>
      <c r="G97" s="319" t="str">
        <f>IFERROR(VLOOKUP(F97, Docenten!$A$2:$G$30, 7, FALSE), "0")</f>
        <v>0</v>
      </c>
      <c r="H97" s="320">
        <f t="shared" si="7"/>
        <v>0</v>
      </c>
      <c r="I97" s="327" t="str">
        <f>Rooster!H98</f>
        <v/>
      </c>
      <c r="J97" s="321" t="str">
        <f>IFERROR(VLOOKUP(I97, Locaties!$A$2:$G$15, 7, FALSE), "0")</f>
        <v>0</v>
      </c>
      <c r="K97" s="42">
        <f t="shared" si="2"/>
        <v>0</v>
      </c>
      <c r="L97" s="427" t="str">
        <f>April!L97</f>
        <v/>
      </c>
      <c r="M97" s="428" t="str">
        <f>April!M97</f>
        <v/>
      </c>
      <c r="N97" s="321" t="str">
        <f>IFERROR(VLOOKUP(M97, Tarieven!$A$1:$J$150, 10, FALSE), "0")</f>
        <v>0</v>
      </c>
      <c r="O97" s="427" t="str">
        <f>April!O97</f>
        <v/>
      </c>
      <c r="P97" s="428" t="str">
        <f>April!P97</f>
        <v/>
      </c>
      <c r="Q97" s="325" t="str">
        <f>IFERROR(VLOOKUP(P97, Tarieven!$A$2:$J$150, 10, FALSE), "0")</f>
        <v>0</v>
      </c>
      <c r="R97" s="444" t="str">
        <f>April!R97</f>
        <v/>
      </c>
      <c r="S97" s="428" t="str">
        <f>April!S97</f>
        <v/>
      </c>
      <c r="T97" s="325" t="str">
        <f>IFERROR(VLOOKUP(S97, Tarieven!$A$2:$J$150, 10, FALSE), "0")</f>
        <v>0</v>
      </c>
      <c r="U97" s="77" t="str">
        <f>April!U97</f>
        <v/>
      </c>
      <c r="V97" s="327" t="str">
        <f>April!V97</f>
        <v/>
      </c>
      <c r="W97" s="325" t="str">
        <f>IFERROR(VLOOKUP(V97, Tarieven!$A$2:$J$150, 10, FALSE), "0")</f>
        <v>0</v>
      </c>
      <c r="X97" s="138">
        <f>April!X97</f>
        <v>0</v>
      </c>
      <c r="Y97" s="398">
        <v>0.0</v>
      </c>
      <c r="Z97" s="329">
        <f t="shared" si="3"/>
        <v>0</v>
      </c>
      <c r="AA97" s="32">
        <f t="shared" si="4"/>
        <v>0</v>
      </c>
      <c r="AB97" s="32">
        <f t="shared" si="5"/>
        <v>0</v>
      </c>
      <c r="AC97" s="32">
        <f t="shared" si="6"/>
        <v>0</v>
      </c>
    </row>
    <row r="98" ht="22.5" customHeight="1">
      <c r="A98" s="331" t="str">
        <f>Rooster!A99</f>
        <v/>
      </c>
      <c r="B98" s="396" t="str">
        <f>Rooster!B99</f>
        <v/>
      </c>
      <c r="C98" s="15" t="str">
        <f>Rooster!C99</f>
        <v/>
      </c>
      <c r="D98" s="11" t="str">
        <f>Rooster!D99</f>
        <v/>
      </c>
      <c r="E98" s="77"/>
      <c r="F98" s="327" t="str">
        <f>Rooster!E99</f>
        <v/>
      </c>
      <c r="G98" s="319" t="str">
        <f>IFERROR(VLOOKUP(F98, Docenten!$A$2:$G$30, 7, FALSE), "0")</f>
        <v>0</v>
      </c>
      <c r="H98" s="320">
        <f t="shared" si="7"/>
        <v>0</v>
      </c>
      <c r="I98" s="327" t="str">
        <f>Rooster!H99</f>
        <v/>
      </c>
      <c r="J98" s="321" t="str">
        <f>IFERROR(VLOOKUP(I98, Locaties!$A$2:$G$15, 7, FALSE), "0")</f>
        <v>0</v>
      </c>
      <c r="K98" s="42">
        <f t="shared" si="2"/>
        <v>0</v>
      </c>
      <c r="L98" s="427" t="str">
        <f>April!L98</f>
        <v/>
      </c>
      <c r="M98" s="428" t="str">
        <f>April!M98</f>
        <v/>
      </c>
      <c r="N98" s="321" t="str">
        <f>IFERROR(VLOOKUP(M98, Tarieven!$A$1:$J$150, 10, FALSE), "0")</f>
        <v>0</v>
      </c>
      <c r="O98" s="427" t="str">
        <f>April!O98</f>
        <v/>
      </c>
      <c r="P98" s="428" t="str">
        <f>April!P98</f>
        <v/>
      </c>
      <c r="Q98" s="325" t="str">
        <f>IFERROR(VLOOKUP(P98, Tarieven!$A$2:$J$150, 10, FALSE), "0")</f>
        <v>0</v>
      </c>
      <c r="R98" s="444" t="str">
        <f>April!R98</f>
        <v/>
      </c>
      <c r="S98" s="428" t="str">
        <f>April!S98</f>
        <v/>
      </c>
      <c r="T98" s="325" t="str">
        <f>IFERROR(VLOOKUP(S98, Tarieven!$A$2:$J$150, 10, FALSE), "0")</f>
        <v>0</v>
      </c>
      <c r="U98" s="77" t="str">
        <f>April!U98</f>
        <v/>
      </c>
      <c r="V98" s="327" t="str">
        <f>April!V98</f>
        <v/>
      </c>
      <c r="W98" s="325" t="str">
        <f>IFERROR(VLOOKUP(V98, Tarieven!$A$2:$J$150, 10, FALSE), "0")</f>
        <v>0</v>
      </c>
      <c r="X98" s="138">
        <f>April!X98</f>
        <v>0</v>
      </c>
      <c r="Y98" s="398">
        <v>0.0</v>
      </c>
      <c r="Z98" s="329">
        <f t="shared" si="3"/>
        <v>0</v>
      </c>
      <c r="AA98" s="32">
        <f t="shared" si="4"/>
        <v>0</v>
      </c>
      <c r="AB98" s="32">
        <f t="shared" si="5"/>
        <v>0</v>
      </c>
      <c r="AC98" s="32">
        <f t="shared" si="6"/>
        <v>0</v>
      </c>
    </row>
    <row r="99" ht="22.5" customHeight="1">
      <c r="A99" s="331" t="str">
        <f>Rooster!A100</f>
        <v/>
      </c>
      <c r="B99" s="396" t="str">
        <f>Rooster!B100</f>
        <v/>
      </c>
      <c r="C99" s="15" t="str">
        <f>Rooster!C100</f>
        <v/>
      </c>
      <c r="D99" s="11" t="str">
        <f>Rooster!D100</f>
        <v/>
      </c>
      <c r="E99" s="77"/>
      <c r="F99" s="327" t="str">
        <f>Rooster!E100</f>
        <v/>
      </c>
      <c r="G99" s="319" t="str">
        <f>IFERROR(VLOOKUP(F99, Docenten!$A$2:$G$30, 7, FALSE), "0")</f>
        <v>0</v>
      </c>
      <c r="H99" s="320">
        <f t="shared" si="7"/>
        <v>0</v>
      </c>
      <c r="I99" s="327" t="str">
        <f>Rooster!H100</f>
        <v/>
      </c>
      <c r="J99" s="321" t="str">
        <f>IFERROR(VLOOKUP(I99, Locaties!$A$2:$G$15, 7, FALSE), "0")</f>
        <v>0</v>
      </c>
      <c r="K99" s="42">
        <f t="shared" si="2"/>
        <v>0</v>
      </c>
      <c r="L99" s="427" t="str">
        <f>April!L99</f>
        <v/>
      </c>
      <c r="M99" s="428" t="str">
        <f>April!M99</f>
        <v/>
      </c>
      <c r="N99" s="321" t="str">
        <f>IFERROR(VLOOKUP(M99, Tarieven!$A$1:$J$150, 10, FALSE), "0")</f>
        <v>0</v>
      </c>
      <c r="O99" s="427" t="str">
        <f>April!O99</f>
        <v/>
      </c>
      <c r="P99" s="428" t="str">
        <f>April!P99</f>
        <v/>
      </c>
      <c r="Q99" s="325" t="str">
        <f>IFERROR(VLOOKUP(P99, Tarieven!$A$2:$J$150, 10, FALSE), "0")</f>
        <v>0</v>
      </c>
      <c r="R99" s="444" t="str">
        <f>April!R99</f>
        <v/>
      </c>
      <c r="S99" s="428" t="str">
        <f>April!S99</f>
        <v/>
      </c>
      <c r="T99" s="325" t="str">
        <f>IFERROR(VLOOKUP(S99, Tarieven!$A$2:$J$150, 10, FALSE), "0")</f>
        <v>0</v>
      </c>
      <c r="U99" s="77" t="str">
        <f>April!U99</f>
        <v/>
      </c>
      <c r="V99" s="327" t="str">
        <f>April!V99</f>
        <v/>
      </c>
      <c r="W99" s="325" t="str">
        <f>IFERROR(VLOOKUP(V99, Tarieven!$A$2:$J$150, 10, FALSE), "0")</f>
        <v>0</v>
      </c>
      <c r="X99" s="138">
        <f>April!X99</f>
        <v>0</v>
      </c>
      <c r="Y99" s="398">
        <v>0.0</v>
      </c>
      <c r="Z99" s="329">
        <f t="shared" si="3"/>
        <v>0</v>
      </c>
      <c r="AA99" s="32">
        <f t="shared" si="4"/>
        <v>0</v>
      </c>
      <c r="AB99" s="32">
        <f t="shared" si="5"/>
        <v>0</v>
      </c>
      <c r="AC99" s="32">
        <f t="shared" si="6"/>
        <v>0</v>
      </c>
    </row>
    <row r="100" ht="22.5" customHeight="1">
      <c r="A100" s="331" t="str">
        <f>Rooster!A101</f>
        <v/>
      </c>
      <c r="B100" s="396" t="str">
        <f>Rooster!B101</f>
        <v/>
      </c>
      <c r="C100" s="15" t="str">
        <f>Rooster!C101</f>
        <v/>
      </c>
      <c r="D100" s="11" t="str">
        <f>Rooster!D101</f>
        <v/>
      </c>
      <c r="E100" s="77"/>
      <c r="F100" s="327" t="str">
        <f>Rooster!E101</f>
        <v/>
      </c>
      <c r="G100" s="319" t="str">
        <f>IFERROR(VLOOKUP(F100, Docenten!$A$2:$G$30, 7, FALSE), "0")</f>
        <v>0</v>
      </c>
      <c r="H100" s="320">
        <f t="shared" si="7"/>
        <v>0</v>
      </c>
      <c r="I100" s="327" t="str">
        <f>Rooster!H101</f>
        <v/>
      </c>
      <c r="J100" s="321" t="str">
        <f>IFERROR(VLOOKUP(I100, Locaties!$A$2:$G$15, 7, FALSE), "0")</f>
        <v>0</v>
      </c>
      <c r="K100" s="42">
        <f t="shared" si="2"/>
        <v>0</v>
      </c>
      <c r="L100" s="427" t="str">
        <f>April!L100</f>
        <v/>
      </c>
      <c r="M100" s="428" t="str">
        <f>April!M100</f>
        <v/>
      </c>
      <c r="N100" s="321" t="str">
        <f>IFERROR(VLOOKUP(M100, Tarieven!$A$1:$J$150, 10, FALSE), "0")</f>
        <v>0</v>
      </c>
      <c r="O100" s="427" t="str">
        <f>April!O100</f>
        <v/>
      </c>
      <c r="P100" s="428" t="str">
        <f>April!P100</f>
        <v/>
      </c>
      <c r="Q100" s="325" t="str">
        <f>IFERROR(VLOOKUP(P100, Tarieven!$A$2:$J$150, 10, FALSE), "0")</f>
        <v>0</v>
      </c>
      <c r="R100" s="444" t="str">
        <f>April!R100</f>
        <v/>
      </c>
      <c r="S100" s="428" t="str">
        <f>April!S100</f>
        <v/>
      </c>
      <c r="T100" s="325" t="str">
        <f>IFERROR(VLOOKUP(S100, Tarieven!$A$2:$J$150, 10, FALSE), "0")</f>
        <v>0</v>
      </c>
      <c r="U100" s="77" t="str">
        <f>April!U100</f>
        <v/>
      </c>
      <c r="V100" s="327" t="str">
        <f>April!V100</f>
        <v/>
      </c>
      <c r="W100" s="325" t="str">
        <f>IFERROR(VLOOKUP(V100, Tarieven!$A$2:$J$150, 10, FALSE), "0")</f>
        <v>0</v>
      </c>
      <c r="X100" s="138">
        <f>April!X100</f>
        <v>0</v>
      </c>
      <c r="Y100" s="398">
        <v>0.0</v>
      </c>
      <c r="Z100" s="329">
        <f t="shared" si="3"/>
        <v>0</v>
      </c>
      <c r="AA100" s="32">
        <f t="shared" si="4"/>
        <v>0</v>
      </c>
      <c r="AB100" s="32">
        <f t="shared" si="5"/>
        <v>0</v>
      </c>
      <c r="AC100" s="32">
        <f t="shared" si="6"/>
        <v>0</v>
      </c>
    </row>
    <row r="101" ht="22.5" customHeight="1">
      <c r="A101" s="331" t="str">
        <f>Rooster!A102</f>
        <v/>
      </c>
      <c r="B101" s="396" t="str">
        <f>Rooster!B102</f>
        <v/>
      </c>
      <c r="C101" s="15" t="str">
        <f>Rooster!C102</f>
        <v/>
      </c>
      <c r="D101" s="11" t="str">
        <f>Rooster!D102</f>
        <v/>
      </c>
      <c r="E101" s="426"/>
      <c r="F101" s="331" t="str">
        <f>Rooster!E102</f>
        <v/>
      </c>
      <c r="G101" s="319" t="str">
        <f>IFERROR(VLOOKUP(F101, Docenten!$A$2:$G$30, 7, FALSE), "0")</f>
        <v>0</v>
      </c>
      <c r="H101" s="320">
        <f t="shared" si="7"/>
        <v>0</v>
      </c>
      <c r="I101" s="331" t="str">
        <f>Rooster!H102</f>
        <v/>
      </c>
      <c r="J101" s="321" t="str">
        <f>IFERROR(VLOOKUP(I101, Locaties!$A$2:$G$15, 7, FALSE), "0")</f>
        <v>0</v>
      </c>
      <c r="K101" s="42">
        <f t="shared" si="2"/>
        <v>0</v>
      </c>
      <c r="L101" s="450">
        <f>SUM(L2:L100)</f>
        <v>133</v>
      </c>
      <c r="M101" s="451"/>
      <c r="N101" s="321" t="str">
        <f>IFERROR(VLOOKUP(M101, Tarieven!$A$1:$J$150, 10, FALSE), "0")</f>
        <v>0</v>
      </c>
      <c r="O101" s="450">
        <f>SUM(O2:O100)</f>
        <v>70</v>
      </c>
      <c r="P101" s="451"/>
      <c r="Q101" s="325" t="str">
        <f>IFERROR(VLOOKUP(P101, Tarieven!$A$2:$J$150, 10, FALSE), "0")</f>
        <v>0</v>
      </c>
      <c r="R101" s="452">
        <f>SUM(R2:R100)</f>
        <v>24</v>
      </c>
      <c r="S101" s="451"/>
      <c r="T101" s="325" t="str">
        <f>IFERROR(VLOOKUP(S101, Tarieven!$A$2:$J$150, 10, FALSE), "0")</f>
        <v>0</v>
      </c>
      <c r="U101" s="413">
        <f>SUM(U2:U100)</f>
        <v>14</v>
      </c>
      <c r="V101" s="85"/>
      <c r="W101" s="325" t="str">
        <f>IFERROR(VLOOKUP(V101, Tarieven!$A$2:$J$150, 10, FALSE), "0")</f>
        <v>0</v>
      </c>
      <c r="X101" s="413">
        <f>SUM(X2:X100)</f>
        <v>220</v>
      </c>
      <c r="Y101" s="398">
        <v>0.0</v>
      </c>
      <c r="Z101" s="329">
        <f>SUM(Z2:Z100)</f>
        <v>461</v>
      </c>
      <c r="AA101" s="32">
        <f t="shared" si="4"/>
        <v>0</v>
      </c>
      <c r="AB101" s="32">
        <f t="shared" si="5"/>
        <v>0</v>
      </c>
      <c r="AC101" s="32">
        <f t="shared" si="6"/>
        <v>0</v>
      </c>
    </row>
  </sheetData>
  <conditionalFormatting sqref="AG7">
    <cfRule type="cellIs" dxfId="7" priority="1" operator="lessThan">
      <formula>0</formula>
    </cfRule>
  </conditionalFormatting>
  <conditionalFormatting sqref="AC2:AC101">
    <cfRule type="cellIs" dxfId="7" priority="2" operator="lessThan">
      <formula>0</formula>
    </cfRule>
  </conditionalFormatting>
  <dataValidations>
    <dataValidation type="list" allowBlank="1" sqref="A2:A101">
      <formula1>"Maandag,Dinsdag,Woensdag,Donderdag,Vrijdag,Zaterdag,Zondag"</formula1>
    </dataValidation>
    <dataValidation type="custom" allowBlank="1" showDropDown="1" sqref="B2:B101">
      <formula1>OR(TIMEVALUE(TEXT(B2, "hh:mm:ss"))=B2, AND(ISNUMBER(B2), LEFT(CELL("format", B2))="D"))</formula1>
    </dataValidation>
    <dataValidation type="custom" allowBlank="1" showDropDown="1" sqref="L2:L101 N2:N101 AA2:AB101">
      <formula1>AND(ISNUMBER(L2),(NOT(OR(NOT(ISERROR(DATEVALUE(L2))), AND(ISNUMBER(L2), LEFT(CELL("format", L2))="D")))))</formula1>
    </dataValidation>
    <dataValidation type="list" allowBlank="1" sqref="F2:F101 I2:I101 M2:M101 P2:P101 S2:S101 V2:V101">
      <formula1>#REF!</formula1>
    </dataValidation>
    <dataValidation allowBlank="1" showDropDown="1" sqref="D2:D101"/>
    <dataValidation type="custom" allowBlank="1" showDropDown="1" sqref="C2:C101 E2:E101 G2:H101 J2:K101 O2:O101 Q2:R101 T2:U101 W2:Z101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5.33"/>
    <col customWidth="1" min="2" max="2" width="13.67"/>
    <col customWidth="1" min="3" max="3" width="14.22"/>
    <col customWidth="1" min="4" max="4" width="22.0"/>
    <col customWidth="1" min="5" max="5" width="17.11"/>
    <col customWidth="1" min="6" max="6" width="15.11"/>
    <col customWidth="1" hidden="1" min="7" max="7" width="15.11"/>
    <col customWidth="1" min="8" max="8" width="16.22"/>
    <col customWidth="1" min="9" max="9" width="15.11"/>
    <col customWidth="1" hidden="1" min="10" max="10" width="15.44"/>
    <col customWidth="1" min="11" max="11" width="17.78"/>
    <col customWidth="1" min="12" max="12" width="17.56"/>
    <col customWidth="1" min="13" max="13" width="20.0"/>
    <col customWidth="1" min="14" max="14" width="16.78"/>
    <col customWidth="1" min="15" max="15" width="17.56"/>
    <col customWidth="1" min="16" max="16" width="20.0"/>
    <col customWidth="1" min="17" max="17" width="13.78"/>
    <col customWidth="1" min="18" max="18" width="17.56"/>
    <col customWidth="1" min="19" max="19" width="20.0"/>
    <col customWidth="1" min="20" max="20" width="13.78"/>
    <col customWidth="1" min="21" max="21" width="16.67"/>
    <col customWidth="1" min="22" max="22" width="18.56"/>
    <col customWidth="1" min="23" max="23" width="13.78"/>
    <col customWidth="1" min="24" max="24" width="23.11"/>
    <col customWidth="1" min="25" max="25" width="20.56"/>
    <col customWidth="1" min="26" max="26" width="18.0"/>
    <col customWidth="1" min="27" max="27" width="16.33"/>
    <col customWidth="1" min="28" max="28" width="19.22"/>
    <col customWidth="1" min="29" max="30" width="16.89"/>
    <col customWidth="1" min="31" max="31" width="16.78"/>
    <col customWidth="1" min="32" max="32" width="16.89"/>
    <col customWidth="1" min="33" max="34" width="17.0"/>
  </cols>
  <sheetData>
    <row r="1" ht="22.5" customHeight="1">
      <c r="A1" s="1" t="s">
        <v>94</v>
      </c>
      <c r="B1" s="1" t="s">
        <v>95</v>
      </c>
      <c r="C1" s="1" t="s">
        <v>273</v>
      </c>
      <c r="D1" s="1" t="s">
        <v>98</v>
      </c>
      <c r="E1" s="302" t="s">
        <v>274</v>
      </c>
      <c r="F1" s="302" t="s">
        <v>99</v>
      </c>
      <c r="G1" s="303" t="s">
        <v>100</v>
      </c>
      <c r="H1" s="303" t="s">
        <v>275</v>
      </c>
      <c r="I1" s="304" t="s">
        <v>102</v>
      </c>
      <c r="J1" s="304" t="s">
        <v>103</v>
      </c>
      <c r="K1" s="304" t="s">
        <v>104</v>
      </c>
      <c r="L1" s="422" t="s">
        <v>276</v>
      </c>
      <c r="M1" s="422" t="s">
        <v>298</v>
      </c>
      <c r="N1" s="306" t="s">
        <v>278</v>
      </c>
      <c r="O1" s="423" t="s">
        <v>279</v>
      </c>
      <c r="P1" s="392" t="s">
        <v>300</v>
      </c>
      <c r="Q1" s="308" t="s">
        <v>281</v>
      </c>
      <c r="R1" s="424" t="s">
        <v>282</v>
      </c>
      <c r="S1" s="424" t="s">
        <v>302</v>
      </c>
      <c r="T1" s="310" t="s">
        <v>284</v>
      </c>
      <c r="U1" s="393" t="s">
        <v>285</v>
      </c>
      <c r="V1" s="393" t="s">
        <v>304</v>
      </c>
      <c r="W1" s="311" t="s">
        <v>305</v>
      </c>
      <c r="X1" s="394" t="s">
        <v>306</v>
      </c>
      <c r="Y1" s="395" t="s">
        <v>307</v>
      </c>
      <c r="Z1" s="314" t="s">
        <v>294</v>
      </c>
      <c r="AA1" s="314" t="s">
        <v>295</v>
      </c>
      <c r="AB1" s="1" t="s">
        <v>308</v>
      </c>
      <c r="AC1" s="1" t="s">
        <v>297</v>
      </c>
    </row>
    <row r="2" ht="22.5" customHeight="1">
      <c r="A2" s="331" t="str">
        <f>Rooster!A3</f>
        <v/>
      </c>
      <c r="B2" s="396" t="str">
        <f>Rooster!B3</f>
        <v/>
      </c>
      <c r="C2" s="15" t="str">
        <f>Rooster!C3</f>
        <v/>
      </c>
      <c r="D2" s="11" t="str">
        <f>Rooster!D3</f>
        <v/>
      </c>
      <c r="E2" s="77"/>
      <c r="F2" s="327" t="str">
        <f>Rooster!E3</f>
        <v/>
      </c>
      <c r="G2" s="319" t="str">
        <f>IFERROR(VLOOKUP(F2, Docenten!$A$2:$G$30, 7, FALSE), "0")</f>
        <v>0</v>
      </c>
      <c r="H2" s="320">
        <f t="shared" ref="H2:H42" si="1">SUM(G2/60)*C2</f>
        <v>0</v>
      </c>
      <c r="I2" s="327" t="str">
        <f>Rooster!H3</f>
        <v/>
      </c>
      <c r="J2" s="321" t="str">
        <f>IFERROR(VLOOKUP(I2, Locaties!$A$2:$G$15, 7, FALSE), "0")</f>
        <v>0</v>
      </c>
      <c r="K2" s="42">
        <f t="shared" ref="K2:K101" si="2">SUM(J2/60)*C2</f>
        <v>0</v>
      </c>
      <c r="L2" s="427" t="str">
        <f>Mei!L2</f>
        <v/>
      </c>
      <c r="M2" s="428" t="str">
        <f>Mei!M2</f>
        <v/>
      </c>
      <c r="N2" s="321" t="str">
        <f>IFERROR(VLOOKUP(M2, Tarieven!$A$1:$J$150, 10, FALSE), "0")</f>
        <v>0</v>
      </c>
      <c r="O2" s="427" t="str">
        <f>Mei!O2</f>
        <v/>
      </c>
      <c r="P2" s="428" t="str">
        <f>Mei!P2</f>
        <v/>
      </c>
      <c r="Q2" s="325" t="str">
        <f>IFERROR(VLOOKUP(P2, Tarieven!$A$2:$J$150, 10, FALSE), "0")</f>
        <v>0</v>
      </c>
      <c r="R2" s="444" t="str">
        <f>Mei!R2</f>
        <v/>
      </c>
      <c r="S2" s="428" t="str">
        <f>Mei!S2</f>
        <v/>
      </c>
      <c r="T2" s="325" t="str">
        <f>IFERROR(VLOOKUP(S2, Tarieven!$A$2:$J$150, 10, FALSE), "0")</f>
        <v>0</v>
      </c>
      <c r="U2" s="77" t="str">
        <f>Mei!U2</f>
        <v/>
      </c>
      <c r="V2" s="327" t="str">
        <f>Mei!V2</f>
        <v/>
      </c>
      <c r="W2" s="325" t="str">
        <f>IFERROR(VLOOKUP(V2, Tarieven!$A$2:$J$150, 10, FALSE), "0")</f>
        <v>0</v>
      </c>
      <c r="X2" s="138">
        <f>Mei!X2</f>
        <v>0</v>
      </c>
      <c r="Y2" s="398">
        <v>0.0</v>
      </c>
      <c r="Z2" s="329">
        <f t="shared" ref="Z2:Z100" si="3">SUM(L2+O2+R2+U2+X2)</f>
        <v>0</v>
      </c>
      <c r="AA2" s="32">
        <f t="shared" ref="AA2:AA101" si="4">SUM(H2+K2)*E2</f>
        <v>0</v>
      </c>
      <c r="AB2" s="32">
        <f t="shared" ref="AB2:AB101" si="5">SUM((L2*N2)+(O2*Q2)+(R2*T2)+(U2*W2)+Y2)</f>
        <v>0</v>
      </c>
      <c r="AC2" s="32">
        <f t="shared" ref="AC2:AC101" si="6">SUM(AB2-AA2)</f>
        <v>0</v>
      </c>
      <c r="AE2" s="154" t="s">
        <v>309</v>
      </c>
      <c r="AF2" s="154" t="s">
        <v>310</v>
      </c>
      <c r="AG2" s="109" t="s">
        <v>311</v>
      </c>
    </row>
    <row r="3" ht="22.5" customHeight="1">
      <c r="A3" s="331" t="str">
        <f>Rooster!A4</f>
        <v/>
      </c>
      <c r="B3" s="396" t="str">
        <f>Rooster!B4</f>
        <v/>
      </c>
      <c r="C3" s="15" t="str">
        <f>Rooster!C4</f>
        <v/>
      </c>
      <c r="D3" s="11" t="str">
        <f>Rooster!D4</f>
        <v/>
      </c>
      <c r="E3" s="77"/>
      <c r="F3" s="327" t="str">
        <f>Rooster!E4</f>
        <v/>
      </c>
      <c r="G3" s="319" t="str">
        <f>IFERROR(VLOOKUP(F3, Docenten!$A$2:$G$30, 7, FALSE), "0")</f>
        <v>0</v>
      </c>
      <c r="H3" s="320">
        <f t="shared" si="1"/>
        <v>0</v>
      </c>
      <c r="I3" s="327" t="str">
        <f>Rooster!H4</f>
        <v/>
      </c>
      <c r="J3" s="321" t="str">
        <f>IFERROR(VLOOKUP(I3, Locaties!$A$2:$G$15, 7, FALSE), "0")</f>
        <v>0</v>
      </c>
      <c r="K3" s="42">
        <f t="shared" si="2"/>
        <v>0</v>
      </c>
      <c r="L3" s="427" t="str">
        <f>Mei!L3</f>
        <v/>
      </c>
      <c r="M3" s="428" t="str">
        <f>Mei!M3</f>
        <v/>
      </c>
      <c r="N3" s="321" t="str">
        <f>IFERROR(VLOOKUP(M3, Tarieven!$A$1:$J$150, 10, FALSE), "0")</f>
        <v>0</v>
      </c>
      <c r="O3" s="427" t="str">
        <f>Mei!O3</f>
        <v/>
      </c>
      <c r="P3" s="428" t="str">
        <f>Mei!P3</f>
        <v/>
      </c>
      <c r="Q3" s="325" t="str">
        <f>IFERROR(VLOOKUP(P3, Tarieven!$A$2:$J$150, 10, FALSE), "0")</f>
        <v>0</v>
      </c>
      <c r="R3" s="444" t="str">
        <f>Mei!R3</f>
        <v/>
      </c>
      <c r="S3" s="428" t="str">
        <f>Mei!S3</f>
        <v/>
      </c>
      <c r="T3" s="325" t="str">
        <f>IFERROR(VLOOKUP(S3, Tarieven!$A$2:$J$150, 10, FALSE), "0")</f>
        <v>0</v>
      </c>
      <c r="U3" s="77" t="str">
        <f>Mei!U3</f>
        <v/>
      </c>
      <c r="V3" s="327" t="str">
        <f>Mei!V3</f>
        <v/>
      </c>
      <c r="W3" s="325" t="str">
        <f>IFERROR(VLOOKUP(V3, Tarieven!$A$2:$J$150, 10, FALSE), "0")</f>
        <v>0</v>
      </c>
      <c r="X3" s="138">
        <f>Mei!X3</f>
        <v>0</v>
      </c>
      <c r="Y3" s="398">
        <v>0.0</v>
      </c>
      <c r="Z3" s="329">
        <f t="shared" si="3"/>
        <v>0</v>
      </c>
      <c r="AA3" s="32">
        <f t="shared" si="4"/>
        <v>0</v>
      </c>
      <c r="AB3" s="32">
        <f t="shared" si="5"/>
        <v>0</v>
      </c>
      <c r="AC3" s="32">
        <f t="shared" si="6"/>
        <v>0</v>
      </c>
      <c r="AD3" s="130"/>
      <c r="AE3" s="159" t="s">
        <v>312</v>
      </c>
      <c r="AF3" s="32">
        <f>SUM(AB2:AB101)</f>
        <v>8291.350333</v>
      </c>
      <c r="AG3" s="160"/>
    </row>
    <row r="4" ht="22.5" customHeight="1">
      <c r="A4" s="331" t="str">
        <f>Rooster!A5</f>
        <v>Maandag</v>
      </c>
      <c r="B4" s="396">
        <f>Rooster!B5</f>
        <v>0.625</v>
      </c>
      <c r="C4" s="15">
        <f>Rooster!C5</f>
        <v>60</v>
      </c>
      <c r="D4" s="11" t="str">
        <f>Rooster!D5</f>
        <v>Kleuterdans</v>
      </c>
      <c r="E4" s="77"/>
      <c r="F4" s="327"/>
      <c r="G4" s="319" t="str">
        <f>IFERROR(VLOOKUP(F4, Docenten!$A$2:$G$30, 7, FALSE), "0")</f>
        <v>0</v>
      </c>
      <c r="H4" s="320">
        <f t="shared" si="1"/>
        <v>0</v>
      </c>
      <c r="I4" s="327"/>
      <c r="J4" s="321" t="str">
        <f>IFERROR(VLOOKUP(I4, Locaties!$A$2:$G$15, 7, FALSE), "0")</f>
        <v>0</v>
      </c>
      <c r="K4" s="42">
        <f t="shared" si="2"/>
        <v>0</v>
      </c>
      <c r="L4" s="427" t="str">
        <f>Mei!L4</f>
        <v/>
      </c>
      <c r="M4" s="428" t="str">
        <f>Mei!M4</f>
        <v/>
      </c>
      <c r="N4" s="321" t="str">
        <f>IFERROR(VLOOKUP(M4, Tarieven!$A$1:$J$150, 10, FALSE), "0")</f>
        <v>0</v>
      </c>
      <c r="O4" s="427" t="str">
        <f>Mei!O4</f>
        <v/>
      </c>
      <c r="P4" s="428" t="str">
        <f>Mei!P4</f>
        <v/>
      </c>
      <c r="Q4" s="325" t="str">
        <f>IFERROR(VLOOKUP(P4, Tarieven!$A$2:$J$150, 10, FALSE), "0")</f>
        <v>0</v>
      </c>
      <c r="R4" s="444" t="str">
        <f>Mei!R4</f>
        <v/>
      </c>
      <c r="S4" s="428" t="str">
        <f>Mei!S4</f>
        <v/>
      </c>
      <c r="T4" s="325" t="str">
        <f>IFERROR(VLOOKUP(S4, Tarieven!$A$2:$J$150, 10, FALSE), "0")</f>
        <v>0</v>
      </c>
      <c r="U4" s="77" t="str">
        <f>Mei!U4</f>
        <v/>
      </c>
      <c r="V4" s="327" t="str">
        <f>Mei!V4</f>
        <v/>
      </c>
      <c r="W4" s="325" t="str">
        <f>IFERROR(VLOOKUP(V4, Tarieven!$A$2:$J$150, 10, FALSE), "0")</f>
        <v>0</v>
      </c>
      <c r="X4" s="138">
        <f>Mei!X4</f>
        <v>0</v>
      </c>
      <c r="Y4" s="398">
        <v>0.0</v>
      </c>
      <c r="Z4" s="329">
        <f t="shared" si="3"/>
        <v>0</v>
      </c>
      <c r="AA4" s="32">
        <f t="shared" si="4"/>
        <v>0</v>
      </c>
      <c r="AB4" s="32">
        <f t="shared" si="5"/>
        <v>0</v>
      </c>
      <c r="AC4" s="32">
        <f t="shared" si="6"/>
        <v>0</v>
      </c>
      <c r="AD4" s="130"/>
      <c r="AE4" s="159" t="s">
        <v>313</v>
      </c>
      <c r="AF4" s="32">
        <f>'Extra activiteiten'!K12</f>
        <v>422.5</v>
      </c>
      <c r="AG4" s="159"/>
    </row>
    <row r="5" ht="22.5" customHeight="1">
      <c r="A5" s="17" t="s">
        <v>112</v>
      </c>
      <c r="B5" s="396">
        <v>0.625</v>
      </c>
      <c r="C5" s="15">
        <v>60.0</v>
      </c>
      <c r="D5" s="11" t="s">
        <v>130</v>
      </c>
      <c r="E5" s="77">
        <v>0.0</v>
      </c>
      <c r="F5" s="70" t="s">
        <v>56</v>
      </c>
      <c r="G5" s="319">
        <f>IFERROR(VLOOKUP(F5, Docenten!$A$2:$G$30, 7, FALSE), "0")</f>
        <v>22.5</v>
      </c>
      <c r="H5" s="320">
        <f t="shared" si="1"/>
        <v>22.5</v>
      </c>
      <c r="I5" s="327" t="str">
        <f>Rooster!H6</f>
        <v>Santpoort Zuid</v>
      </c>
      <c r="J5" s="321"/>
      <c r="K5" s="42">
        <f t="shared" si="2"/>
        <v>0</v>
      </c>
      <c r="L5" s="427" t="str">
        <f>Mei!L5</f>
        <v/>
      </c>
      <c r="M5" s="428" t="str">
        <f>Mei!M5</f>
        <v/>
      </c>
      <c r="N5" s="321" t="str">
        <f>IFERROR(VLOOKUP(M5, Tarieven!$A$1:$J$150, 10, FALSE), "0")</f>
        <v>0</v>
      </c>
      <c r="O5" s="427" t="str">
        <f>Mei!O5</f>
        <v/>
      </c>
      <c r="P5" s="428" t="str">
        <f>Mei!P5</f>
        <v/>
      </c>
      <c r="Q5" s="325" t="str">
        <f>IFERROR(VLOOKUP(P5, Tarieven!$A$2:$J$150, 10, FALSE), "0")</f>
        <v>0</v>
      </c>
      <c r="R5" s="444" t="str">
        <f>Mei!R5</f>
        <v/>
      </c>
      <c r="S5" s="428" t="str">
        <f>Mei!S5</f>
        <v/>
      </c>
      <c r="T5" s="325" t="str">
        <f>IFERROR(VLOOKUP(S5, Tarieven!$A$2:$J$150, 10, FALSE), "0")</f>
        <v>0</v>
      </c>
      <c r="U5" s="77" t="str">
        <f>Mei!U5</f>
        <v/>
      </c>
      <c r="V5" s="327" t="str">
        <f>Mei!V5</f>
        <v/>
      </c>
      <c r="W5" s="325" t="str">
        <f>IFERROR(VLOOKUP(V5, Tarieven!$A$2:$J$150, 10, FALSE), "0")</f>
        <v>0</v>
      </c>
      <c r="X5" s="138">
        <f>Mei!X5</f>
        <v>0</v>
      </c>
      <c r="Y5" s="398">
        <v>0.0</v>
      </c>
      <c r="Z5" s="329">
        <f t="shared" si="3"/>
        <v>0</v>
      </c>
      <c r="AA5" s="32">
        <f t="shared" si="4"/>
        <v>0</v>
      </c>
      <c r="AB5" s="32">
        <f t="shared" si="5"/>
        <v>0</v>
      </c>
      <c r="AC5" s="32">
        <f t="shared" si="6"/>
        <v>0</v>
      </c>
      <c r="AE5" s="159" t="s">
        <v>314</v>
      </c>
      <c r="AF5" s="32">
        <f>SUM(Juni[Kosten per maand])</f>
        <v>3495.85</v>
      </c>
      <c r="AG5" s="159"/>
    </row>
    <row r="6" ht="22.5" customHeight="1">
      <c r="A6" s="331" t="str">
        <f>Rooster!A7</f>
        <v>Maandag</v>
      </c>
      <c r="B6" s="396">
        <f>Rooster!B7</f>
        <v>0.6666666667</v>
      </c>
      <c r="C6" s="15">
        <f>Rooster!C7</f>
        <v>60</v>
      </c>
      <c r="D6" s="11" t="str">
        <f>Rooster!D7</f>
        <v>Urban-Pop-Show 10+</v>
      </c>
      <c r="E6" s="77">
        <v>3.0</v>
      </c>
      <c r="F6" s="70" t="s">
        <v>318</v>
      </c>
      <c r="G6" s="319" t="str">
        <f>IFERROR(VLOOKUP(F6, Docenten!$A$2:$G$30, 7, FALSE), "0")</f>
        <v>0</v>
      </c>
      <c r="H6" s="320">
        <f t="shared" si="1"/>
        <v>0</v>
      </c>
      <c r="I6" s="327" t="str">
        <f>Rooster!H7</f>
        <v>Santpoort Zuid</v>
      </c>
      <c r="J6" s="321">
        <f>IFERROR(VLOOKUP(I6, Locaties!$A$2:$G$15, 7, FALSE), "0")</f>
        <v>18.9</v>
      </c>
      <c r="K6" s="42">
        <f t="shared" si="2"/>
        <v>18.9</v>
      </c>
      <c r="L6" s="427">
        <f>Mei!L6</f>
        <v>7</v>
      </c>
      <c r="M6" s="428" t="str">
        <f>Mei!M6</f>
        <v>1x per week abbo</v>
      </c>
      <c r="N6" s="321">
        <f>IFERROR(VLOOKUP(M6, Tarieven!$A$1:$J$150, 10, FALSE), "0")</f>
        <v>31</v>
      </c>
      <c r="O6" s="427">
        <f>Mei!O6</f>
        <v>1</v>
      </c>
      <c r="P6" s="428" t="str">
        <f>Mei!P6</f>
        <v>Cheer regulier +1 abbo</v>
      </c>
      <c r="Q6" s="325">
        <f>IFERROR(VLOOKUP(P6, Tarieven!$A$2:$J$150, 10, FALSE), "0")</f>
        <v>32.25</v>
      </c>
      <c r="R6" s="444">
        <f>Mei!R6</f>
        <v>1</v>
      </c>
      <c r="S6" s="428" t="str">
        <f>Mei!S6</f>
        <v>2x per week abbo</v>
      </c>
      <c r="T6" s="325">
        <f>IFERROR(VLOOKUP(S6, Tarieven!$A$2:$J$150, 10, FALSE), "0")</f>
        <v>28.55</v>
      </c>
      <c r="U6" s="77">
        <f>Mei!U6</f>
        <v>1</v>
      </c>
      <c r="V6" s="327" t="str">
        <f>Mei!V6</f>
        <v>Cheer regulier + onbeperkt abbo</v>
      </c>
      <c r="W6" s="325">
        <f>IFERROR(VLOOKUP(V6, Tarieven!$A$2:$J$150, 10, FALSE), "0")</f>
        <v>44.45</v>
      </c>
      <c r="X6" s="138">
        <f>Mei!X6</f>
        <v>4</v>
      </c>
      <c r="Y6" s="398">
        <v>0.0</v>
      </c>
      <c r="Z6" s="329">
        <f t="shared" si="3"/>
        <v>14</v>
      </c>
      <c r="AA6" s="32">
        <f t="shared" si="4"/>
        <v>56.7</v>
      </c>
      <c r="AB6" s="32">
        <f t="shared" si="5"/>
        <v>322.25</v>
      </c>
      <c r="AC6" s="32">
        <f t="shared" si="6"/>
        <v>265.55</v>
      </c>
      <c r="AD6" s="130"/>
      <c r="AE6" s="159" t="s">
        <v>315</v>
      </c>
      <c r="AF6" s="408">
        <f>Kosten!L69</f>
        <v>3146.93</v>
      </c>
      <c r="AG6" s="159" t="s">
        <v>316</v>
      </c>
    </row>
    <row r="7" ht="22.5" customHeight="1">
      <c r="A7" s="331" t="str">
        <f>Rooster!A8</f>
        <v>Maandag</v>
      </c>
      <c r="B7" s="396">
        <f>Rooster!B8</f>
        <v>0.7083333333</v>
      </c>
      <c r="C7" s="15">
        <f>Rooster!C8</f>
        <v>60</v>
      </c>
      <c r="D7" s="11" t="str">
        <f>Rooster!D8</f>
        <v>Urban-Pop-Show 12+</v>
      </c>
      <c r="E7" s="77">
        <v>3.0</v>
      </c>
      <c r="F7" s="327" t="str">
        <f>Rooster!E8</f>
        <v>Nova</v>
      </c>
      <c r="G7" s="319">
        <f>IFERROR(VLOOKUP(F7, Docenten!$A$2:$G$30, 7, FALSE), "0")</f>
        <v>22.5</v>
      </c>
      <c r="H7" s="320">
        <f t="shared" si="1"/>
        <v>22.5</v>
      </c>
      <c r="I7" s="327" t="str">
        <f>Rooster!H8</f>
        <v>Santpoort Zuid</v>
      </c>
      <c r="J7" s="321">
        <f>IFERROR(VLOOKUP(I7, Locaties!$A$2:$G$15, 7, FALSE), "0")</f>
        <v>18.9</v>
      </c>
      <c r="K7" s="42">
        <f t="shared" si="2"/>
        <v>18.9</v>
      </c>
      <c r="L7" s="427">
        <f>Mei!L7</f>
        <v>3</v>
      </c>
      <c r="M7" s="428" t="str">
        <f>Mei!M7</f>
        <v>2x per week abbo</v>
      </c>
      <c r="N7" s="321">
        <f>IFERROR(VLOOKUP(M7, Tarieven!$A$1:$J$150, 10, FALSE), "0")</f>
        <v>28.55</v>
      </c>
      <c r="O7" s="427">
        <f>Mei!O7</f>
        <v>1</v>
      </c>
      <c r="P7" s="428" t="str">
        <f>Mei!P7</f>
        <v>1x per week </v>
      </c>
      <c r="Q7" s="325">
        <f>IFERROR(VLOOKUP(P7, Tarieven!$A$2:$J$150, 10, FALSE), "0")</f>
        <v>279</v>
      </c>
      <c r="R7" s="444">
        <f>Mei!R7</f>
        <v>1</v>
      </c>
      <c r="S7" s="428" t="str">
        <f>Mei!S7</f>
        <v>Cheer regulier +1 abbo</v>
      </c>
      <c r="T7" s="325">
        <f>IFERROR(VLOOKUP(S7, Tarieven!$A$2:$J$150, 10, FALSE), "0")</f>
        <v>32.25</v>
      </c>
      <c r="U7" s="77" t="str">
        <f>Mei!U7</f>
        <v/>
      </c>
      <c r="V7" s="327" t="str">
        <f>Mei!V7</f>
        <v/>
      </c>
      <c r="W7" s="325" t="str">
        <f>IFERROR(VLOOKUP(V7, Tarieven!$A$2:$J$150, 10, FALSE), "0")</f>
        <v>0</v>
      </c>
      <c r="X7" s="138">
        <f>Mei!X7</f>
        <v>11</v>
      </c>
      <c r="Y7" s="398">
        <v>0.0</v>
      </c>
      <c r="Z7" s="329">
        <f t="shared" si="3"/>
        <v>16</v>
      </c>
      <c r="AA7" s="32">
        <f t="shared" si="4"/>
        <v>124.2</v>
      </c>
      <c r="AB7" s="32">
        <f t="shared" si="5"/>
        <v>396.9</v>
      </c>
      <c r="AC7" s="32">
        <f t="shared" si="6"/>
        <v>272.7</v>
      </c>
      <c r="AD7" s="409"/>
      <c r="AE7" s="410" t="s">
        <v>317</v>
      </c>
      <c r="AF7" s="411">
        <f>SUM(AF3+AF4)-AF5-AF6</f>
        <v>2071.070333</v>
      </c>
      <c r="AG7" s="412">
        <f>'Doel vs Werkelijkheid'!B2</f>
        <v>3000</v>
      </c>
    </row>
    <row r="8" ht="22.5" customHeight="1">
      <c r="A8" s="331" t="str">
        <f>Rooster!A9</f>
        <v>Maandag</v>
      </c>
      <c r="B8" s="396">
        <f>Rooster!B9</f>
        <v>0.75</v>
      </c>
      <c r="C8" s="15">
        <f>Rooster!C9</f>
        <v>60</v>
      </c>
      <c r="D8" s="11" t="str">
        <f>Rooster!D9</f>
        <v>Selectie Show</v>
      </c>
      <c r="E8" s="77">
        <v>3.0</v>
      </c>
      <c r="F8" s="327" t="str">
        <f>Rooster!E9</f>
        <v>Nova</v>
      </c>
      <c r="G8" s="319">
        <f>IFERROR(VLOOKUP(F8, Docenten!$A$2:$G$30, 7, FALSE), "0")</f>
        <v>22.5</v>
      </c>
      <c r="H8" s="320">
        <f t="shared" si="1"/>
        <v>22.5</v>
      </c>
      <c r="I8" s="327" t="str">
        <f>Rooster!H9</f>
        <v>Santpoort Zuid</v>
      </c>
      <c r="J8" s="321">
        <f>IFERROR(VLOOKUP(I8, Locaties!$A$2:$G$15, 7, FALSE), "0")</f>
        <v>18.9</v>
      </c>
      <c r="K8" s="42">
        <f t="shared" si="2"/>
        <v>18.9</v>
      </c>
      <c r="L8" s="427" t="str">
        <f>Mei!L8</f>
        <v/>
      </c>
      <c r="M8" s="428" t="str">
        <f>Mei!M8</f>
        <v/>
      </c>
      <c r="N8" s="321" t="str">
        <f>IFERROR(VLOOKUP(M8, Tarieven!$A$1:$J$150, 10, FALSE), "0")</f>
        <v>0</v>
      </c>
      <c r="O8" s="427">
        <f>Mei!O8</f>
        <v>3</v>
      </c>
      <c r="P8" s="428" t="str">
        <f>Mei!P8</f>
        <v>2x per week abbo</v>
      </c>
      <c r="Q8" s="325">
        <f>IFERROR(VLOOKUP(P8, Tarieven!$A$2:$J$150, 10, FALSE), "0")</f>
        <v>28.55</v>
      </c>
      <c r="R8" s="444">
        <f>Mei!R8</f>
        <v>2</v>
      </c>
      <c r="S8" s="428" t="str">
        <f>Mei!S8</f>
        <v>3x per week abbo</v>
      </c>
      <c r="T8" s="325">
        <f>IFERROR(VLOOKUP(S8, Tarieven!$A$2:$J$150, 10, FALSE), "0")</f>
        <v>28.93333333</v>
      </c>
      <c r="U8" s="77">
        <f>Mei!U8</f>
        <v>3</v>
      </c>
      <c r="V8" s="327" t="str">
        <f>Mei!V8</f>
        <v>Onbeperkt abbo</v>
      </c>
      <c r="W8" s="325">
        <f>IFERROR(VLOOKUP(V8, Tarieven!$A$2:$J$150, 10, FALSE), "0")</f>
        <v>27</v>
      </c>
      <c r="X8" s="138">
        <f>Mei!X8</f>
        <v>4</v>
      </c>
      <c r="Y8" s="398">
        <v>0.0</v>
      </c>
      <c r="Z8" s="329">
        <f t="shared" si="3"/>
        <v>12</v>
      </c>
      <c r="AA8" s="32">
        <f t="shared" si="4"/>
        <v>124.2</v>
      </c>
      <c r="AB8" s="32">
        <f t="shared" si="5"/>
        <v>224.5166667</v>
      </c>
      <c r="AC8" s="32">
        <f t="shared" si="6"/>
        <v>100.3166667</v>
      </c>
      <c r="AE8" s="160"/>
      <c r="AF8" s="160"/>
      <c r="AG8" s="160"/>
    </row>
    <row r="9" ht="22.5" customHeight="1">
      <c r="A9" s="331" t="str">
        <f>Rooster!A10</f>
        <v>Maandag</v>
      </c>
      <c r="B9" s="396">
        <f>Rooster!B10</f>
        <v>0.7916666667</v>
      </c>
      <c r="C9" s="15">
        <f>Rooster!C10</f>
        <v>60</v>
      </c>
      <c r="D9" s="11" t="str">
        <f>Rooster!D10</f>
        <v>Commercial 16+</v>
      </c>
      <c r="E9" s="77">
        <v>3.0</v>
      </c>
      <c r="F9" s="327" t="str">
        <f>Rooster!E10</f>
        <v>Nova</v>
      </c>
      <c r="G9" s="319">
        <f>IFERROR(VLOOKUP(F9, Docenten!$A$2:$G$30, 7, FALSE), "0")</f>
        <v>22.5</v>
      </c>
      <c r="H9" s="320">
        <f t="shared" si="1"/>
        <v>22.5</v>
      </c>
      <c r="I9" s="327" t="str">
        <f>Rooster!H10</f>
        <v>Santpoort Zuid</v>
      </c>
      <c r="J9" s="321">
        <f>IFERROR(VLOOKUP(I9, Locaties!$A$2:$G$15, 7, FALSE), "0")</f>
        <v>18.9</v>
      </c>
      <c r="K9" s="42">
        <f t="shared" si="2"/>
        <v>18.9</v>
      </c>
      <c r="L9" s="427">
        <f>Mei!L9</f>
        <v>2</v>
      </c>
      <c r="M9" s="428" t="str">
        <f>Mei!M9</f>
        <v>3x per week abbo</v>
      </c>
      <c r="N9" s="321">
        <f>IFERROR(VLOOKUP(M9, Tarieven!$A$1:$J$150, 10, FALSE), "0")</f>
        <v>28.93333333</v>
      </c>
      <c r="O9" s="427">
        <f>Mei!O9</f>
        <v>3</v>
      </c>
      <c r="P9" s="428" t="str">
        <f>Mei!P9</f>
        <v>2x per week abbo</v>
      </c>
      <c r="Q9" s="325">
        <f>IFERROR(VLOOKUP(P9, Tarieven!$A$2:$J$150, 10, FALSE), "0")</f>
        <v>28.55</v>
      </c>
      <c r="R9" s="444">
        <f>Mei!R9</f>
        <v>2</v>
      </c>
      <c r="S9" s="428" t="str">
        <f>Mei!S9</f>
        <v>Onbeperkt abbo</v>
      </c>
      <c r="T9" s="325">
        <f>IFERROR(VLOOKUP(S9, Tarieven!$A$2:$J$150, 10, FALSE), "0")</f>
        <v>27</v>
      </c>
      <c r="U9" s="77">
        <f>Mei!U9</f>
        <v>2</v>
      </c>
      <c r="V9" s="327" t="str">
        <f>Mei!V9</f>
        <v>1x per week abbo</v>
      </c>
      <c r="W9" s="325">
        <f>IFERROR(VLOOKUP(V9, Tarieven!$A$2:$J$150, 10, FALSE), "0")</f>
        <v>31</v>
      </c>
      <c r="X9" s="138">
        <f>Mei!X9</f>
        <v>5</v>
      </c>
      <c r="Y9" s="398">
        <v>0.0</v>
      </c>
      <c r="Z9" s="329">
        <f t="shared" si="3"/>
        <v>14</v>
      </c>
      <c r="AA9" s="32">
        <f t="shared" si="4"/>
        <v>124.2</v>
      </c>
      <c r="AB9" s="32">
        <f t="shared" si="5"/>
        <v>259.5166667</v>
      </c>
      <c r="AC9" s="32">
        <f t="shared" si="6"/>
        <v>135.3166667</v>
      </c>
      <c r="AE9" s="159" t="s">
        <v>19</v>
      </c>
      <c r="AF9" s="413">
        <f>Z101</f>
        <v>461</v>
      </c>
      <c r="AG9" s="160"/>
    </row>
    <row r="10" ht="22.5" customHeight="1">
      <c r="A10" s="331" t="str">
        <f>Rooster!A11</f>
        <v>Maandag</v>
      </c>
      <c r="B10" s="396">
        <f>Rooster!B11</f>
        <v>0.8333333333</v>
      </c>
      <c r="C10" s="15">
        <f>Rooster!C11</f>
        <v>60</v>
      </c>
      <c r="D10" s="11" t="str">
        <f>Rooster!D11</f>
        <v>Commercial 20+</v>
      </c>
      <c r="E10" s="77">
        <v>3.0</v>
      </c>
      <c r="F10" s="327" t="str">
        <f>Rooster!E11</f>
        <v>Nova</v>
      </c>
      <c r="G10" s="319">
        <f>IFERROR(VLOOKUP(F10, Docenten!$A$2:$G$30, 7, FALSE), "0")</f>
        <v>22.5</v>
      </c>
      <c r="H10" s="320">
        <f t="shared" si="1"/>
        <v>22.5</v>
      </c>
      <c r="I10" s="327" t="str">
        <f>Rooster!H11</f>
        <v>Santpoort Zuid</v>
      </c>
      <c r="J10" s="321">
        <f>IFERROR(VLOOKUP(I10, Locaties!$A$2:$G$15, 7, FALSE), "0")</f>
        <v>18.9</v>
      </c>
      <c r="K10" s="42">
        <f t="shared" si="2"/>
        <v>18.9</v>
      </c>
      <c r="L10" s="427">
        <f>Mei!L10</f>
        <v>5</v>
      </c>
      <c r="M10" s="428" t="str">
        <f>Mei!M10</f>
        <v>Volwassenen 2x abbo</v>
      </c>
      <c r="N10" s="321">
        <f>IFERROR(VLOOKUP(M10, Tarieven!$A$1:$J$150, 10, FALSE), "0")</f>
        <v>27.255</v>
      </c>
      <c r="O10" s="427">
        <f>Mei!O10</f>
        <v>2</v>
      </c>
      <c r="P10" s="428" t="str">
        <f>Mei!P10</f>
        <v>Volwassenen 1x abbo</v>
      </c>
      <c r="Q10" s="325">
        <f>IFERROR(VLOOKUP(P10, Tarieven!$A$2:$J$150, 10, FALSE), "0")</f>
        <v>25.596</v>
      </c>
      <c r="R10" s="444" t="str">
        <f>Mei!R10</f>
        <v/>
      </c>
      <c r="S10" s="428" t="str">
        <f>Mei!S10</f>
        <v/>
      </c>
      <c r="T10" s="325" t="str">
        <f>IFERROR(VLOOKUP(S10, Tarieven!$A$2:$J$150, 10, FALSE), "0")</f>
        <v>0</v>
      </c>
      <c r="U10" s="77" t="str">
        <f>Mei!U10</f>
        <v/>
      </c>
      <c r="V10" s="327" t="str">
        <f>Mei!V10</f>
        <v/>
      </c>
      <c r="W10" s="325" t="str">
        <f>IFERROR(VLOOKUP(V10, Tarieven!$A$2:$J$150, 10, FALSE), "0")</f>
        <v>0</v>
      </c>
      <c r="X10" s="138">
        <f>Mei!X10</f>
        <v>8</v>
      </c>
      <c r="Y10" s="398">
        <v>0.0</v>
      </c>
      <c r="Z10" s="329">
        <f t="shared" si="3"/>
        <v>15</v>
      </c>
      <c r="AA10" s="32">
        <f t="shared" si="4"/>
        <v>124.2</v>
      </c>
      <c r="AB10" s="32">
        <f t="shared" si="5"/>
        <v>187.467</v>
      </c>
      <c r="AC10" s="32">
        <f t="shared" si="6"/>
        <v>63.267</v>
      </c>
      <c r="AE10" s="330"/>
      <c r="AF10" s="330"/>
    </row>
    <row r="11" ht="22.5" customHeight="1">
      <c r="A11" s="331" t="str">
        <f>Rooster!A12</f>
        <v>Maandag</v>
      </c>
      <c r="B11" s="396">
        <f>Rooster!B12</f>
        <v>0.875</v>
      </c>
      <c r="C11" s="15">
        <f>Rooster!C12</f>
        <v>60</v>
      </c>
      <c r="D11" s="11" t="str">
        <f>Rooster!D12</f>
        <v>Jazz 20+</v>
      </c>
      <c r="E11" s="77">
        <v>3.0</v>
      </c>
      <c r="F11" s="327" t="str">
        <f>Rooster!E12</f>
        <v>Nova</v>
      </c>
      <c r="G11" s="319">
        <f>IFERROR(VLOOKUP(F11, Docenten!$A$2:$G$30, 7, FALSE), "0")</f>
        <v>22.5</v>
      </c>
      <c r="H11" s="320">
        <f t="shared" si="1"/>
        <v>22.5</v>
      </c>
      <c r="I11" s="327" t="str">
        <f>Rooster!H12</f>
        <v>Santpoort Zuid</v>
      </c>
      <c r="J11" s="321">
        <f>IFERROR(VLOOKUP(I11, Locaties!$A$2:$G$15, 7, FALSE), "0")</f>
        <v>18.9</v>
      </c>
      <c r="K11" s="42">
        <f t="shared" si="2"/>
        <v>18.9</v>
      </c>
      <c r="L11" s="427">
        <f>Mei!L11</f>
        <v>4</v>
      </c>
      <c r="M11" s="428" t="str">
        <f>Mei!M11</f>
        <v>Volwassenen 2x abbo</v>
      </c>
      <c r="N11" s="321">
        <f>IFERROR(VLOOKUP(M11, Tarieven!$A$1:$J$150, 10, FALSE), "0")</f>
        <v>27.255</v>
      </c>
      <c r="O11" s="427">
        <f>Mei!O11</f>
        <v>1</v>
      </c>
      <c r="P11" s="428" t="str">
        <f>Mei!P11</f>
        <v>Volwassenen 1x</v>
      </c>
      <c r="Q11" s="325">
        <f>IFERROR(VLOOKUP(P11, Tarieven!$A$2:$J$150, 10, FALSE), "0")</f>
        <v>266.23</v>
      </c>
      <c r="R11" s="444" t="str">
        <f>Mei!R11</f>
        <v/>
      </c>
      <c r="S11" s="428" t="str">
        <f>Mei!S11</f>
        <v/>
      </c>
      <c r="T11" s="325" t="str">
        <f>IFERROR(VLOOKUP(S11, Tarieven!$A$2:$J$150, 10, FALSE), "0")</f>
        <v>0</v>
      </c>
      <c r="U11" s="77" t="str">
        <f>Mei!U11</f>
        <v/>
      </c>
      <c r="V11" s="327" t="str">
        <f>Mei!V11</f>
        <v/>
      </c>
      <c r="W11" s="325" t="str">
        <f>IFERROR(VLOOKUP(V11, Tarieven!$A$2:$J$150, 10, FALSE), "0")</f>
        <v>0</v>
      </c>
      <c r="X11" s="138">
        <f>Mei!X11</f>
        <v>4</v>
      </c>
      <c r="Y11" s="398">
        <v>0.0</v>
      </c>
      <c r="Z11" s="329">
        <f t="shared" si="3"/>
        <v>9</v>
      </c>
      <c r="AA11" s="32">
        <f t="shared" si="4"/>
        <v>124.2</v>
      </c>
      <c r="AB11" s="32">
        <f t="shared" si="5"/>
        <v>375.25</v>
      </c>
      <c r="AC11" s="32">
        <f t="shared" si="6"/>
        <v>251.05</v>
      </c>
      <c r="AE11" s="330"/>
      <c r="AF11" s="330"/>
    </row>
    <row r="12" ht="22.5" customHeight="1">
      <c r="A12" s="331" t="str">
        <f>Rooster!A13</f>
        <v>Maandag</v>
      </c>
      <c r="B12" s="396">
        <f>Rooster!B13</f>
        <v>0.6666666667</v>
      </c>
      <c r="C12" s="15">
        <f>Rooster!C13</f>
        <v>60</v>
      </c>
      <c r="D12" s="11" t="str">
        <f>Rooster!D13</f>
        <v>Streetdance 6+</v>
      </c>
      <c r="E12" s="77">
        <v>3.0</v>
      </c>
      <c r="F12" s="327" t="str">
        <f>Rooster!E13</f>
        <v>Julia</v>
      </c>
      <c r="G12" s="319">
        <f>IFERROR(VLOOKUP(F12, Docenten!$A$2:$G$30, 7, FALSE), "0")</f>
        <v>15</v>
      </c>
      <c r="H12" s="320">
        <f t="shared" si="1"/>
        <v>15</v>
      </c>
      <c r="I12" s="327" t="str">
        <f>Rooster!H13</f>
        <v>Santpoort Noord</v>
      </c>
      <c r="J12" s="321">
        <f>IFERROR(VLOOKUP(I12, Locaties!$A$2:$G$15, 7, FALSE), "0")</f>
        <v>14.2</v>
      </c>
      <c r="K12" s="42">
        <f t="shared" si="2"/>
        <v>14.2</v>
      </c>
      <c r="L12" s="427">
        <f>Mei!L12</f>
        <v>2</v>
      </c>
      <c r="M12" s="428" t="str">
        <f>Mei!M12</f>
        <v>2x per week abbo</v>
      </c>
      <c r="N12" s="321">
        <f>IFERROR(VLOOKUP(M12, Tarieven!$A$1:$J$150, 10, FALSE), "0")</f>
        <v>28.55</v>
      </c>
      <c r="O12" s="427">
        <f>Mei!O12</f>
        <v>8</v>
      </c>
      <c r="P12" s="428" t="str">
        <f>Mei!P12</f>
        <v>1x per week abbo</v>
      </c>
      <c r="Q12" s="325">
        <f>IFERROR(VLOOKUP(P12, Tarieven!$A$2:$J$150, 10, FALSE), "0")</f>
        <v>31</v>
      </c>
      <c r="R12" s="444" t="str">
        <f>Mei!R12</f>
        <v/>
      </c>
      <c r="S12" s="428" t="str">
        <f>Mei!S12</f>
        <v/>
      </c>
      <c r="T12" s="325" t="str">
        <f>IFERROR(VLOOKUP(S12, Tarieven!$A$2:$J$150, 10, FALSE), "0")</f>
        <v>0</v>
      </c>
      <c r="U12" s="77" t="str">
        <f>Mei!U12</f>
        <v/>
      </c>
      <c r="V12" s="327" t="str">
        <f>Mei!V12</f>
        <v/>
      </c>
      <c r="W12" s="325" t="str">
        <f>IFERROR(VLOOKUP(V12, Tarieven!$A$2:$J$150, 10, FALSE), "0")</f>
        <v>0</v>
      </c>
      <c r="X12" s="138">
        <f>Mei!X12</f>
        <v>2</v>
      </c>
      <c r="Y12" s="398">
        <v>0.0</v>
      </c>
      <c r="Z12" s="329">
        <f t="shared" si="3"/>
        <v>12</v>
      </c>
      <c r="AA12" s="32">
        <f t="shared" si="4"/>
        <v>87.6</v>
      </c>
      <c r="AB12" s="32">
        <f t="shared" si="5"/>
        <v>305.1</v>
      </c>
      <c r="AC12" s="32">
        <f t="shared" si="6"/>
        <v>217.5</v>
      </c>
      <c r="AE12" s="330"/>
      <c r="AF12" s="330"/>
    </row>
    <row r="13" ht="22.5" customHeight="1">
      <c r="A13" s="331" t="str">
        <f>Rooster!A14</f>
        <v>Maandag</v>
      </c>
      <c r="B13" s="396">
        <f>Rooster!B14</f>
        <v>0.7083333333</v>
      </c>
      <c r="C13" s="15">
        <f>Rooster!C14</f>
        <v>60</v>
      </c>
      <c r="D13" s="11" t="str">
        <f>Rooster!D14</f>
        <v>Streetdance 8+</v>
      </c>
      <c r="E13" s="77">
        <v>3.0</v>
      </c>
      <c r="F13" s="327" t="str">
        <f>Rooster!E14</f>
        <v>Julia</v>
      </c>
      <c r="G13" s="319">
        <f>IFERROR(VLOOKUP(F13, Docenten!$A$2:$G$30, 7, FALSE), "0")</f>
        <v>15</v>
      </c>
      <c r="H13" s="320">
        <f t="shared" si="1"/>
        <v>15</v>
      </c>
      <c r="I13" s="327" t="str">
        <f>Rooster!H14</f>
        <v>Santpoort Noord</v>
      </c>
      <c r="J13" s="321">
        <f>IFERROR(VLOOKUP(I13, Locaties!$A$2:$G$15, 7, FALSE), "0")</f>
        <v>14.2</v>
      </c>
      <c r="K13" s="42">
        <f t="shared" si="2"/>
        <v>14.2</v>
      </c>
      <c r="L13" s="427">
        <f>Mei!L13</f>
        <v>1</v>
      </c>
      <c r="M13" s="428" t="str">
        <f>Mei!M13</f>
        <v>1x per week abbo</v>
      </c>
      <c r="N13" s="321">
        <f>IFERROR(VLOOKUP(M13, Tarieven!$A$1:$J$150, 10, FALSE), "0")</f>
        <v>31</v>
      </c>
      <c r="O13" s="427">
        <f>Mei!O13</f>
        <v>5</v>
      </c>
      <c r="P13" s="428" t="str">
        <f>Mei!P13</f>
        <v>2x per week abbo</v>
      </c>
      <c r="Q13" s="325">
        <f>IFERROR(VLOOKUP(P13, Tarieven!$A$2:$J$150, 10, FALSE), "0")</f>
        <v>28.55</v>
      </c>
      <c r="R13" s="444">
        <f>Mei!R13</f>
        <v>1</v>
      </c>
      <c r="S13" s="428" t="str">
        <f>Mei!S13</f>
        <v>Aangepast tarief</v>
      </c>
      <c r="T13" s="325">
        <f>IFERROR(VLOOKUP(S13, Tarieven!$A$2:$J$150, 10, FALSE), "0")</f>
        <v>0</v>
      </c>
      <c r="U13" s="77" t="str">
        <f>Mei!U13</f>
        <v/>
      </c>
      <c r="V13" s="327" t="str">
        <f>Mei!V13</f>
        <v/>
      </c>
      <c r="W13" s="325" t="str">
        <f>IFERROR(VLOOKUP(V13, Tarieven!$A$2:$J$150, 10, FALSE), "0")</f>
        <v>0</v>
      </c>
      <c r="X13" s="138">
        <f>Mei!X13</f>
        <v>13</v>
      </c>
      <c r="Y13" s="398">
        <v>0.0</v>
      </c>
      <c r="Z13" s="329">
        <f t="shared" si="3"/>
        <v>20</v>
      </c>
      <c r="AA13" s="32">
        <f t="shared" si="4"/>
        <v>87.6</v>
      </c>
      <c r="AB13" s="32">
        <f t="shared" si="5"/>
        <v>173.75</v>
      </c>
      <c r="AC13" s="32">
        <f t="shared" si="6"/>
        <v>86.15</v>
      </c>
      <c r="AE13" s="330"/>
      <c r="AF13" s="330"/>
    </row>
    <row r="14" ht="22.5" customHeight="1">
      <c r="A14" s="331" t="str">
        <f>Rooster!A15</f>
        <v>Dinsdag</v>
      </c>
      <c r="B14" s="396">
        <f>Rooster!B15</f>
        <v>0.6666666667</v>
      </c>
      <c r="C14" s="15">
        <f>Rooster!C15</f>
        <v>60</v>
      </c>
      <c r="D14" s="11" t="str">
        <f>Rooster!D15</f>
        <v>Modern 8+</v>
      </c>
      <c r="E14" s="77">
        <v>3.0</v>
      </c>
      <c r="F14" s="327" t="str">
        <f>Rooster!E15</f>
        <v>Eigenaar</v>
      </c>
      <c r="G14" s="319">
        <f>IFERROR(VLOOKUP(F14, Docenten!$A$2:$G$30, 7, FALSE), "0")</f>
        <v>0</v>
      </c>
      <c r="H14" s="320">
        <f t="shared" si="1"/>
        <v>0</v>
      </c>
      <c r="I14" s="327" t="str">
        <f>Rooster!H15</f>
        <v>Santpoort Zuid</v>
      </c>
      <c r="J14" s="321">
        <f>IFERROR(VLOOKUP(I14, Locaties!$A$2:$G$15, 7, FALSE), "0")</f>
        <v>18.9</v>
      </c>
      <c r="K14" s="42">
        <f t="shared" si="2"/>
        <v>18.9</v>
      </c>
      <c r="L14" s="427">
        <f>Mei!L14</f>
        <v>5</v>
      </c>
      <c r="M14" s="428" t="str">
        <f>Mei!M14</f>
        <v>2x per week abbo</v>
      </c>
      <c r="N14" s="321">
        <f>IFERROR(VLOOKUP(M14, Tarieven!$A$1:$J$150, 10, FALSE), "0")</f>
        <v>28.55</v>
      </c>
      <c r="O14" s="427">
        <f>Mei!O14</f>
        <v>1</v>
      </c>
      <c r="P14" s="428" t="str">
        <f>Mei!P14</f>
        <v>1x per week abbo</v>
      </c>
      <c r="Q14" s="325">
        <f>IFERROR(VLOOKUP(P14, Tarieven!$A$2:$J$150, 10, FALSE), "0")</f>
        <v>31</v>
      </c>
      <c r="R14" s="444">
        <f>Mei!R14</f>
        <v>2</v>
      </c>
      <c r="S14" s="428" t="str">
        <f>Mei!S14</f>
        <v>Cheer regulier + onbeperkt abbo</v>
      </c>
      <c r="T14" s="325">
        <f>IFERROR(VLOOKUP(S14, Tarieven!$A$2:$J$150, 10, FALSE), "0")</f>
        <v>44.45</v>
      </c>
      <c r="U14" s="77">
        <f>Mei!U14</f>
        <v>1</v>
      </c>
      <c r="V14" s="327" t="str">
        <f>Mei!V14</f>
        <v>Cheer regulier +1 abbo</v>
      </c>
      <c r="W14" s="325">
        <f>IFERROR(VLOOKUP(V14, Tarieven!$A$2:$J$150, 10, FALSE), "0")</f>
        <v>32.25</v>
      </c>
      <c r="X14" s="138">
        <f>Mei!X14</f>
        <v>8</v>
      </c>
      <c r="Y14" s="398">
        <v>0.0</v>
      </c>
      <c r="Z14" s="329">
        <f t="shared" si="3"/>
        <v>17</v>
      </c>
      <c r="AA14" s="32">
        <f t="shared" si="4"/>
        <v>56.7</v>
      </c>
      <c r="AB14" s="32">
        <f t="shared" si="5"/>
        <v>294.9</v>
      </c>
      <c r="AC14" s="32">
        <f t="shared" si="6"/>
        <v>238.2</v>
      </c>
    </row>
    <row r="15" ht="22.5" customHeight="1">
      <c r="A15" s="331" t="str">
        <f>Rooster!A16</f>
        <v>Dinsdag</v>
      </c>
      <c r="B15" s="396">
        <f>Rooster!B16</f>
        <v>0.7083333333</v>
      </c>
      <c r="C15" s="15">
        <f>Rooster!C16</f>
        <v>60</v>
      </c>
      <c r="D15" s="11" t="str">
        <f>Rooster!D16</f>
        <v>Selectie show 8+</v>
      </c>
      <c r="E15" s="77">
        <v>3.0</v>
      </c>
      <c r="F15" s="327" t="str">
        <f>Rooster!E16</f>
        <v>Eigenaar</v>
      </c>
      <c r="G15" s="319">
        <f>IFERROR(VLOOKUP(F15, Docenten!$A$2:$G$30, 7, FALSE), "0")</f>
        <v>0</v>
      </c>
      <c r="H15" s="320">
        <f t="shared" si="1"/>
        <v>0</v>
      </c>
      <c r="I15" s="327" t="str">
        <f>Rooster!H16</f>
        <v>Santpoort Zuid</v>
      </c>
      <c r="J15" s="321">
        <f>IFERROR(VLOOKUP(I15, Locaties!$A$2:$G$15, 7, FALSE), "0")</f>
        <v>18.9</v>
      </c>
      <c r="K15" s="42">
        <f t="shared" si="2"/>
        <v>18.9</v>
      </c>
      <c r="L15" s="427">
        <f>Mei!L15</f>
        <v>2</v>
      </c>
      <c r="M15" s="428" t="str">
        <f>Mei!M15</f>
        <v>Cheer regulier + onbeperkt abbo</v>
      </c>
      <c r="N15" s="321">
        <f>IFERROR(VLOOKUP(M15, Tarieven!$A$1:$J$150, 10, FALSE), "0")</f>
        <v>44.45</v>
      </c>
      <c r="O15" s="427">
        <f>Mei!O15</f>
        <v>2</v>
      </c>
      <c r="P15" s="428" t="str">
        <f>Mei!P15</f>
        <v>2x per week abbo</v>
      </c>
      <c r="Q15" s="325">
        <f>IFERROR(VLOOKUP(P15, Tarieven!$A$2:$J$150, 10, FALSE), "0")</f>
        <v>28.55</v>
      </c>
      <c r="R15" s="444" t="str">
        <f>Mei!R15</f>
        <v/>
      </c>
      <c r="S15" s="428" t="str">
        <f>Mei!S15</f>
        <v/>
      </c>
      <c r="T15" s="325" t="str">
        <f>IFERROR(VLOOKUP(S15, Tarieven!$A$2:$J$150, 10, FALSE), "0")</f>
        <v>0</v>
      </c>
      <c r="U15" s="77">
        <f>Mei!U15</f>
        <v>1</v>
      </c>
      <c r="V15" s="327" t="str">
        <f>Mei!V15</f>
        <v>Cheer regulier +2 abbo</v>
      </c>
      <c r="W15" s="325">
        <f>IFERROR(VLOOKUP(V15, Tarieven!$A$2:$J$150, 10, FALSE), "0")</f>
        <v>29.03333333</v>
      </c>
      <c r="X15" s="138">
        <f>Mei!X15</f>
        <v>7</v>
      </c>
      <c r="Y15" s="398">
        <v>0.0</v>
      </c>
      <c r="Z15" s="329">
        <f t="shared" si="3"/>
        <v>12</v>
      </c>
      <c r="AA15" s="32">
        <f t="shared" si="4"/>
        <v>56.7</v>
      </c>
      <c r="AB15" s="32">
        <f t="shared" si="5"/>
        <v>175.0333333</v>
      </c>
      <c r="AC15" s="32">
        <f t="shared" si="6"/>
        <v>118.3333333</v>
      </c>
    </row>
    <row r="16" ht="22.5" customHeight="1">
      <c r="A16" s="331" t="str">
        <f>Rooster!A17</f>
        <v>Dinsdag</v>
      </c>
      <c r="B16" s="396">
        <f>Rooster!B17</f>
        <v>0.75</v>
      </c>
      <c r="C16" s="15">
        <f>Rooster!C17</f>
        <v>90</v>
      </c>
      <c r="D16" s="11" t="str">
        <f>Rooster!D17</f>
        <v>Selectie Cheer</v>
      </c>
      <c r="E16" s="77">
        <v>3.0</v>
      </c>
      <c r="F16" s="327" t="str">
        <f>Rooster!E17</f>
        <v>Eigenaar</v>
      </c>
      <c r="G16" s="319">
        <f>IFERROR(VLOOKUP(F16, Docenten!$A$2:$G$30, 7, FALSE), "0")</f>
        <v>0</v>
      </c>
      <c r="H16" s="320">
        <f t="shared" si="1"/>
        <v>0</v>
      </c>
      <c r="I16" s="327" t="str">
        <f>Rooster!H17</f>
        <v>Santpoort Zuid</v>
      </c>
      <c r="J16" s="321">
        <f>IFERROR(VLOOKUP(I16, Locaties!$A$2:$G$15, 7, FALSE), "0")</f>
        <v>18.9</v>
      </c>
      <c r="K16" s="42">
        <f t="shared" si="2"/>
        <v>28.35</v>
      </c>
      <c r="L16" s="427">
        <f>Mei!L16</f>
        <v>2</v>
      </c>
      <c r="M16" s="428" t="str">
        <f>Mei!M16</f>
        <v>Cheer selectie +2 abbo</v>
      </c>
      <c r="N16" s="321">
        <f>IFERROR(VLOOKUP(M16, Tarieven!$A$1:$J$150, 10, FALSE), "0")</f>
        <v>31.53333333</v>
      </c>
      <c r="O16" s="427">
        <f>Mei!O16</f>
        <v>1</v>
      </c>
      <c r="P16" s="428" t="str">
        <f>Mei!P16</f>
        <v>Cheer selectie +1 abbo</v>
      </c>
      <c r="Q16" s="325">
        <f>IFERROR(VLOOKUP(P16, Tarieven!$A$2:$J$150, 10, FALSE), "0")</f>
        <v>34.25</v>
      </c>
      <c r="R16" s="444" t="str">
        <f>Mei!R16</f>
        <v/>
      </c>
      <c r="S16" s="428" t="str">
        <f>Mei!S16</f>
        <v/>
      </c>
      <c r="T16" s="325" t="str">
        <f>IFERROR(VLOOKUP(S16, Tarieven!$A$2:$J$150, 10, FALSE), "0")</f>
        <v>0</v>
      </c>
      <c r="U16" s="77" t="str">
        <f>Mei!U16</f>
        <v/>
      </c>
      <c r="V16" s="327" t="str">
        <f>Mei!V16</f>
        <v/>
      </c>
      <c r="W16" s="325" t="str">
        <f>IFERROR(VLOOKUP(V16, Tarieven!$A$2:$J$150, 10, FALSE), "0")</f>
        <v>0</v>
      </c>
      <c r="X16" s="138">
        <f>Mei!X16</f>
        <v>8</v>
      </c>
      <c r="Y16" s="398">
        <v>0.0</v>
      </c>
      <c r="Z16" s="329">
        <f t="shared" si="3"/>
        <v>11</v>
      </c>
      <c r="AA16" s="32">
        <f t="shared" si="4"/>
        <v>85.05</v>
      </c>
      <c r="AB16" s="32">
        <f t="shared" si="5"/>
        <v>97.31666667</v>
      </c>
      <c r="AC16" s="32">
        <f t="shared" si="6"/>
        <v>12.26666667</v>
      </c>
    </row>
    <row r="17" ht="22.5" customHeight="1">
      <c r="A17" s="331" t="str">
        <f>Rooster!A18</f>
        <v>Dinsdag</v>
      </c>
      <c r="B17" s="396">
        <f>Rooster!B18</f>
        <v>0.8125</v>
      </c>
      <c r="C17" s="15">
        <f>Rooster!C18</f>
        <v>60</v>
      </c>
      <c r="D17" s="11" t="str">
        <f>Rooster!D18</f>
        <v>Hiphop 15+</v>
      </c>
      <c r="E17" s="77">
        <v>3.0</v>
      </c>
      <c r="F17" s="327" t="str">
        <f>Rooster!E18</f>
        <v>Eigenaar</v>
      </c>
      <c r="G17" s="319">
        <f>IFERROR(VLOOKUP(F17, Docenten!$A$2:$G$30, 7, FALSE), "0")</f>
        <v>0</v>
      </c>
      <c r="H17" s="320">
        <f t="shared" si="1"/>
        <v>0</v>
      </c>
      <c r="I17" s="327" t="str">
        <f>Rooster!H18</f>
        <v>Santpoort Zuid</v>
      </c>
      <c r="J17" s="321">
        <f>IFERROR(VLOOKUP(I17, Locaties!$A$2:$G$15, 7, FALSE), "0")</f>
        <v>18.9</v>
      </c>
      <c r="K17" s="42">
        <f t="shared" si="2"/>
        <v>18.9</v>
      </c>
      <c r="L17" s="427">
        <f>Mei!L17</f>
        <v>4</v>
      </c>
      <c r="M17" s="428" t="str">
        <f>Mei!M17</f>
        <v>3x per week abbo</v>
      </c>
      <c r="N17" s="321">
        <f>IFERROR(VLOOKUP(M17, Tarieven!$A$1:$J$150, 10, FALSE), "0")</f>
        <v>28.93333333</v>
      </c>
      <c r="O17" s="427">
        <f>Mei!O17</f>
        <v>1</v>
      </c>
      <c r="P17" s="428" t="str">
        <f>Mei!P17</f>
        <v>2x per week abbo</v>
      </c>
      <c r="Q17" s="325">
        <f>IFERROR(VLOOKUP(P17, Tarieven!$A$2:$J$150, 10, FALSE), "0")</f>
        <v>28.55</v>
      </c>
      <c r="R17" s="444">
        <f>Mei!R17</f>
        <v>2</v>
      </c>
      <c r="S17" s="428" t="str">
        <f>Mei!S17</f>
        <v>1x per week abbo</v>
      </c>
      <c r="T17" s="325">
        <f>IFERROR(VLOOKUP(S17, Tarieven!$A$2:$J$150, 10, FALSE), "0")</f>
        <v>31</v>
      </c>
      <c r="U17" s="77" t="str">
        <f>Mei!U17</f>
        <v/>
      </c>
      <c r="V17" s="327" t="str">
        <f>Mei!V17</f>
        <v/>
      </c>
      <c r="W17" s="325" t="str">
        <f>IFERROR(VLOOKUP(V17, Tarieven!$A$2:$J$150, 10, FALSE), "0")</f>
        <v>0</v>
      </c>
      <c r="X17" s="138">
        <f>Mei!X17</f>
        <v>9</v>
      </c>
      <c r="Y17" s="398">
        <v>0.0</v>
      </c>
      <c r="Z17" s="329">
        <f t="shared" si="3"/>
        <v>16</v>
      </c>
      <c r="AA17" s="32">
        <f t="shared" si="4"/>
        <v>56.7</v>
      </c>
      <c r="AB17" s="32">
        <f t="shared" si="5"/>
        <v>206.2833333</v>
      </c>
      <c r="AC17" s="32">
        <f t="shared" si="6"/>
        <v>149.5833333</v>
      </c>
    </row>
    <row r="18" ht="22.5" customHeight="1">
      <c r="A18" s="331" t="str">
        <f>Rooster!A19</f>
        <v>Woensdag</v>
      </c>
      <c r="B18" s="396">
        <f>Rooster!B19</f>
        <v>0.6041666667</v>
      </c>
      <c r="C18" s="15">
        <f>Rooster!C19</f>
        <v>60</v>
      </c>
      <c r="D18" s="11" t="str">
        <f>Rooster!D19</f>
        <v>Streetdance 6+</v>
      </c>
      <c r="E18" s="77">
        <v>3.0</v>
      </c>
      <c r="F18" s="327" t="str">
        <f>Rooster!E19</f>
        <v>Julia</v>
      </c>
      <c r="G18" s="319">
        <f>IFERROR(VLOOKUP(F18, Docenten!$A$2:$G$30, 7, FALSE), "0")</f>
        <v>15</v>
      </c>
      <c r="H18" s="320">
        <f t="shared" si="1"/>
        <v>15</v>
      </c>
      <c r="I18" s="327" t="str">
        <f>Rooster!H19</f>
        <v>Santpoort Noord</v>
      </c>
      <c r="J18" s="321">
        <f>IFERROR(VLOOKUP(I18, Locaties!$A$2:$G$15, 7, FALSE), "0")</f>
        <v>14.2</v>
      </c>
      <c r="K18" s="42">
        <f t="shared" si="2"/>
        <v>14.2</v>
      </c>
      <c r="L18" s="427">
        <f>Mei!L18</f>
        <v>1</v>
      </c>
      <c r="M18" s="428" t="str">
        <f>Mei!M18</f>
        <v>2x per week abbo</v>
      </c>
      <c r="N18" s="321">
        <f>IFERROR(VLOOKUP(M18, Tarieven!$A$1:$J$150, 10, FALSE), "0")</f>
        <v>28.55</v>
      </c>
      <c r="O18" s="427">
        <f>Mei!O18</f>
        <v>3</v>
      </c>
      <c r="P18" s="428" t="str">
        <f>Mei!P18</f>
        <v>1x per week abbo</v>
      </c>
      <c r="Q18" s="325">
        <f>IFERROR(VLOOKUP(P18, Tarieven!$A$2:$J$150, 10, FALSE), "0")</f>
        <v>31</v>
      </c>
      <c r="R18" s="444" t="str">
        <f>Mei!R18</f>
        <v/>
      </c>
      <c r="S18" s="428" t="str">
        <f>Mei!S18</f>
        <v/>
      </c>
      <c r="T18" s="325" t="str">
        <f>IFERROR(VLOOKUP(S18, Tarieven!$A$2:$J$150, 10, FALSE), "0")</f>
        <v>0</v>
      </c>
      <c r="U18" s="77" t="str">
        <f>Mei!U18</f>
        <v/>
      </c>
      <c r="V18" s="327" t="str">
        <f>Mei!V18</f>
        <v/>
      </c>
      <c r="W18" s="325" t="str">
        <f>IFERROR(VLOOKUP(V18, Tarieven!$A$2:$J$150, 10, FALSE), "0")</f>
        <v>0</v>
      </c>
      <c r="X18" s="138">
        <f>Mei!X18</f>
        <v>9</v>
      </c>
      <c r="Y18" s="398">
        <v>0.0</v>
      </c>
      <c r="Z18" s="329">
        <f t="shared" si="3"/>
        <v>13</v>
      </c>
      <c r="AA18" s="32">
        <f t="shared" si="4"/>
        <v>87.6</v>
      </c>
      <c r="AB18" s="32">
        <f t="shared" si="5"/>
        <v>121.55</v>
      </c>
      <c r="AC18" s="32">
        <f t="shared" si="6"/>
        <v>33.95</v>
      </c>
    </row>
    <row r="19" ht="22.5" customHeight="1">
      <c r="A19" s="331" t="str">
        <f>Rooster!A20</f>
        <v>Woensdag</v>
      </c>
      <c r="B19" s="396">
        <f>Rooster!B20</f>
        <v>0.6458333333</v>
      </c>
      <c r="C19" s="15">
        <f>Rooster!C20</f>
        <v>60</v>
      </c>
      <c r="D19" s="11" t="str">
        <f>Rooster!D20</f>
        <v>Streetdance 8+</v>
      </c>
      <c r="E19" s="77">
        <v>3.0</v>
      </c>
      <c r="F19" s="327" t="str">
        <f>Rooster!E20</f>
        <v>Julia</v>
      </c>
      <c r="G19" s="319">
        <f>IFERROR(VLOOKUP(F19, Docenten!$A$2:$G$30, 7, FALSE), "0")</f>
        <v>15</v>
      </c>
      <c r="H19" s="320">
        <f t="shared" si="1"/>
        <v>15</v>
      </c>
      <c r="I19" s="327" t="str">
        <f>Rooster!H20</f>
        <v>Santpoort Noord</v>
      </c>
      <c r="J19" s="321">
        <f>IFERROR(VLOOKUP(I19, Locaties!$A$2:$G$15, 7, FALSE), "0")</f>
        <v>14.2</v>
      </c>
      <c r="K19" s="42">
        <f t="shared" si="2"/>
        <v>14.2</v>
      </c>
      <c r="L19" s="427">
        <f>Mei!L19</f>
        <v>4</v>
      </c>
      <c r="M19" s="428" t="str">
        <f>Mei!M19</f>
        <v>1x per week abbo</v>
      </c>
      <c r="N19" s="321">
        <f>IFERROR(VLOOKUP(M19, Tarieven!$A$1:$J$150, 10, FALSE), "0")</f>
        <v>31</v>
      </c>
      <c r="O19" s="427">
        <f>Mei!O19</f>
        <v>1</v>
      </c>
      <c r="P19" s="428" t="str">
        <f>Mei!P19</f>
        <v>Cheer regulier +1 abbo</v>
      </c>
      <c r="Q19" s="325">
        <f>IFERROR(VLOOKUP(P19, Tarieven!$A$2:$J$150, 10, FALSE), "0")</f>
        <v>32.25</v>
      </c>
      <c r="R19" s="444">
        <f>Mei!R19</f>
        <v>1</v>
      </c>
      <c r="S19" s="428" t="str">
        <f>Mei!S19</f>
        <v>Cheer regulier + onbeperkt abbo</v>
      </c>
      <c r="T19" s="325">
        <f>IFERROR(VLOOKUP(S19, Tarieven!$A$2:$J$150, 10, FALSE), "0")</f>
        <v>44.45</v>
      </c>
      <c r="U19" s="77">
        <f>Mei!U19</f>
        <v>1</v>
      </c>
      <c r="V19" s="327" t="str">
        <f>Mei!V19</f>
        <v>1x per week </v>
      </c>
      <c r="W19" s="325">
        <f>IFERROR(VLOOKUP(V19, Tarieven!$A$2:$J$150, 10, FALSE), "0")</f>
        <v>279</v>
      </c>
      <c r="X19" s="138">
        <f>Mei!X19</f>
        <v>11</v>
      </c>
      <c r="Y19" s="398">
        <v>0.0</v>
      </c>
      <c r="Z19" s="329">
        <f t="shared" si="3"/>
        <v>18</v>
      </c>
      <c r="AA19" s="32">
        <f t="shared" si="4"/>
        <v>87.6</v>
      </c>
      <c r="AB19" s="32">
        <f t="shared" si="5"/>
        <v>479.7</v>
      </c>
      <c r="AC19" s="32">
        <f t="shared" si="6"/>
        <v>392.1</v>
      </c>
    </row>
    <row r="20" ht="22.5" customHeight="1">
      <c r="A20" s="331" t="str">
        <f>Rooster!A21</f>
        <v>Woensdag</v>
      </c>
      <c r="B20" s="396">
        <f>Rooster!B21</f>
        <v>0.6875</v>
      </c>
      <c r="C20" s="15">
        <f>Rooster!C21</f>
        <v>60</v>
      </c>
      <c r="D20" s="11" t="str">
        <f>Rooster!D21</f>
        <v>Modern 11+</v>
      </c>
      <c r="E20" s="77">
        <v>3.0</v>
      </c>
      <c r="F20" s="327" t="str">
        <f>Rooster!E21</f>
        <v>Julia</v>
      </c>
      <c r="G20" s="319">
        <f>IFERROR(VLOOKUP(F20, Docenten!$A$2:$G$30, 7, FALSE), "0")</f>
        <v>15</v>
      </c>
      <c r="H20" s="320">
        <f t="shared" si="1"/>
        <v>15</v>
      </c>
      <c r="I20" s="327" t="str">
        <f>Rooster!H21</f>
        <v>Santpoort Noord</v>
      </c>
      <c r="J20" s="321">
        <f>IFERROR(VLOOKUP(I20, Locaties!$A$2:$G$15, 7, FALSE), "0")</f>
        <v>14.2</v>
      </c>
      <c r="K20" s="42">
        <f t="shared" si="2"/>
        <v>14.2</v>
      </c>
      <c r="L20" s="427">
        <f>Mei!L20</f>
        <v>3</v>
      </c>
      <c r="M20" s="428" t="str">
        <f>Mei!M20</f>
        <v>1x per week abbo</v>
      </c>
      <c r="N20" s="321">
        <f>IFERROR(VLOOKUP(M20, Tarieven!$A$1:$J$150, 10, FALSE), "0")</f>
        <v>31</v>
      </c>
      <c r="O20" s="427">
        <f>Mei!O20</f>
        <v>1</v>
      </c>
      <c r="P20" s="428" t="str">
        <f>Mei!P20</f>
        <v>Cheer regulier +1 abbo</v>
      </c>
      <c r="Q20" s="325">
        <f>IFERROR(VLOOKUP(P20, Tarieven!$A$2:$J$150, 10, FALSE), "0")</f>
        <v>32.25</v>
      </c>
      <c r="R20" s="444">
        <f>Mei!R20</f>
        <v>1</v>
      </c>
      <c r="S20" s="428" t="str">
        <f>Mei!S20</f>
        <v>Cheer regulier + onbeperkt abbo</v>
      </c>
      <c r="T20" s="325">
        <f>IFERROR(VLOOKUP(S20, Tarieven!$A$2:$J$150, 10, FALSE), "0")</f>
        <v>44.45</v>
      </c>
      <c r="U20" s="77" t="str">
        <f>Mei!U20</f>
        <v/>
      </c>
      <c r="V20" s="327" t="str">
        <f>Mei!V20</f>
        <v/>
      </c>
      <c r="W20" s="325" t="str">
        <f>IFERROR(VLOOKUP(V20, Tarieven!$A$2:$J$150, 10, FALSE), "0")</f>
        <v>0</v>
      </c>
      <c r="X20" s="138">
        <f>Mei!X20</f>
        <v>9</v>
      </c>
      <c r="Y20" s="398">
        <v>0.0</v>
      </c>
      <c r="Z20" s="329">
        <f t="shared" si="3"/>
        <v>14</v>
      </c>
      <c r="AA20" s="32">
        <f t="shared" si="4"/>
        <v>87.6</v>
      </c>
      <c r="AB20" s="32">
        <f t="shared" si="5"/>
        <v>169.7</v>
      </c>
      <c r="AC20" s="32">
        <f t="shared" si="6"/>
        <v>82.1</v>
      </c>
    </row>
    <row r="21" ht="22.5" customHeight="1">
      <c r="A21" s="331" t="str">
        <f>Rooster!A22</f>
        <v>Woensdag</v>
      </c>
      <c r="B21" s="396">
        <f>Rooster!B22</f>
        <v>0.7291666667</v>
      </c>
      <c r="C21" s="15">
        <f>Rooster!C22</f>
        <v>60</v>
      </c>
      <c r="D21" s="11" t="str">
        <f>Rooster!D22</f>
        <v>Selectie Hiphop 11+</v>
      </c>
      <c r="E21" s="77">
        <v>3.0</v>
      </c>
      <c r="F21" s="327" t="str">
        <f>Rooster!E22</f>
        <v>Eigenaar</v>
      </c>
      <c r="G21" s="319">
        <f>IFERROR(VLOOKUP(F21, Docenten!$A$2:$G$30, 7, FALSE), "0")</f>
        <v>0</v>
      </c>
      <c r="H21" s="320">
        <f t="shared" si="1"/>
        <v>0</v>
      </c>
      <c r="I21" s="327" t="str">
        <f>Rooster!H22</f>
        <v>Santpoort Noord</v>
      </c>
      <c r="J21" s="321">
        <f>IFERROR(VLOOKUP(I21, Locaties!$A$2:$G$15, 7, FALSE), "0")</f>
        <v>14.2</v>
      </c>
      <c r="K21" s="42">
        <f t="shared" si="2"/>
        <v>14.2</v>
      </c>
      <c r="L21" s="427">
        <f>Mei!L21</f>
        <v>1</v>
      </c>
      <c r="M21" s="428" t="str">
        <f>Mei!M21</f>
        <v>1x per week abbo</v>
      </c>
      <c r="N21" s="321">
        <f>IFERROR(VLOOKUP(M21, Tarieven!$A$1:$J$150, 10, FALSE), "0")</f>
        <v>31</v>
      </c>
      <c r="O21" s="427">
        <f>Mei!O21</f>
        <v>3</v>
      </c>
      <c r="P21" s="428" t="str">
        <f>Mei!P21</f>
        <v>2x per week abbo</v>
      </c>
      <c r="Q21" s="325">
        <f>IFERROR(VLOOKUP(P21, Tarieven!$A$2:$J$150, 10, FALSE), "0")</f>
        <v>28.55</v>
      </c>
      <c r="R21" s="444">
        <f>Mei!R21</f>
        <v>1</v>
      </c>
      <c r="S21" s="428" t="str">
        <f>Mei!S21</f>
        <v>Cheer regulier +1 abbo</v>
      </c>
      <c r="T21" s="325">
        <f>IFERROR(VLOOKUP(S21, Tarieven!$A$2:$J$150, 10, FALSE), "0")</f>
        <v>32.25</v>
      </c>
      <c r="U21" s="77" t="str">
        <f>Mei!U21</f>
        <v/>
      </c>
      <c r="V21" s="327" t="str">
        <f>Mei!V21</f>
        <v/>
      </c>
      <c r="W21" s="325" t="str">
        <f>IFERROR(VLOOKUP(V21, Tarieven!$A$2:$J$150, 10, FALSE), "0")</f>
        <v>0</v>
      </c>
      <c r="X21" s="138">
        <f>Mei!X21</f>
        <v>11</v>
      </c>
      <c r="Y21" s="398">
        <v>0.0</v>
      </c>
      <c r="Z21" s="329">
        <f t="shared" si="3"/>
        <v>16</v>
      </c>
      <c r="AA21" s="32">
        <f t="shared" si="4"/>
        <v>42.6</v>
      </c>
      <c r="AB21" s="32">
        <f t="shared" si="5"/>
        <v>148.9</v>
      </c>
      <c r="AC21" s="32">
        <f t="shared" si="6"/>
        <v>106.3</v>
      </c>
    </row>
    <row r="22" ht="22.5" customHeight="1">
      <c r="A22" s="331" t="str">
        <f>Rooster!A23</f>
        <v>Woensdag</v>
      </c>
      <c r="B22" s="396">
        <f>Rooster!B23</f>
        <v>0.7708333333</v>
      </c>
      <c r="C22" s="15">
        <f>Rooster!C23</f>
        <v>60</v>
      </c>
      <c r="D22" s="11" t="str">
        <f>Rooster!D23</f>
        <v>Show 12+</v>
      </c>
      <c r="E22" s="77">
        <v>3.0</v>
      </c>
      <c r="F22" s="327" t="str">
        <f>Rooster!E23</f>
        <v>Eigenaar</v>
      </c>
      <c r="G22" s="319">
        <f>IFERROR(VLOOKUP(F22, Docenten!$A$2:$G$30, 7, FALSE), "0")</f>
        <v>0</v>
      </c>
      <c r="H22" s="320">
        <f t="shared" si="1"/>
        <v>0</v>
      </c>
      <c r="I22" s="327" t="str">
        <f>Rooster!H23</f>
        <v>Santpoort Noord</v>
      </c>
      <c r="J22" s="321">
        <f>IFERROR(VLOOKUP(I22, Locaties!$A$2:$G$15, 7, FALSE), "0")</f>
        <v>14.2</v>
      </c>
      <c r="K22" s="42">
        <f t="shared" si="2"/>
        <v>14.2</v>
      </c>
      <c r="L22" s="427">
        <f>Mei!L22</f>
        <v>1</v>
      </c>
      <c r="M22" s="428" t="str">
        <f>Mei!M22</f>
        <v>Cheer selectie +1 abbo</v>
      </c>
      <c r="N22" s="321">
        <f>IFERROR(VLOOKUP(M22, Tarieven!$A$1:$J$150, 10, FALSE), "0")</f>
        <v>34.25</v>
      </c>
      <c r="O22" s="427" t="str">
        <f>Mei!O22</f>
        <v/>
      </c>
      <c r="P22" s="428" t="str">
        <f>Mei!P22</f>
        <v/>
      </c>
      <c r="Q22" s="325" t="str">
        <f>IFERROR(VLOOKUP(P22, Tarieven!$A$2:$J$150, 10, FALSE), "0")</f>
        <v>0</v>
      </c>
      <c r="R22" s="444" t="str">
        <f>Mei!R22</f>
        <v/>
      </c>
      <c r="S22" s="428" t="str">
        <f>Mei!S22</f>
        <v/>
      </c>
      <c r="T22" s="325" t="str">
        <f>IFERROR(VLOOKUP(S22, Tarieven!$A$2:$J$150, 10, FALSE), "0")</f>
        <v>0</v>
      </c>
      <c r="U22" s="77" t="str">
        <f>Mei!U22</f>
        <v/>
      </c>
      <c r="V22" s="327" t="str">
        <f>Mei!V22</f>
        <v/>
      </c>
      <c r="W22" s="325" t="str">
        <f>IFERROR(VLOOKUP(V22, Tarieven!$A$2:$J$150, 10, FALSE), "0")</f>
        <v>0</v>
      </c>
      <c r="X22" s="138">
        <f>Mei!X22</f>
        <v>9</v>
      </c>
      <c r="Y22" s="398">
        <v>0.0</v>
      </c>
      <c r="Z22" s="329">
        <f t="shared" si="3"/>
        <v>10</v>
      </c>
      <c r="AA22" s="32">
        <f t="shared" si="4"/>
        <v>42.6</v>
      </c>
      <c r="AB22" s="32">
        <f t="shared" si="5"/>
        <v>34.25</v>
      </c>
      <c r="AC22" s="32">
        <f t="shared" si="6"/>
        <v>-8.35</v>
      </c>
    </row>
    <row r="23" ht="22.5" customHeight="1">
      <c r="A23" s="331" t="str">
        <f>Rooster!A24</f>
        <v/>
      </c>
      <c r="B23" s="396" t="str">
        <f>Rooster!B24</f>
        <v/>
      </c>
      <c r="C23" s="15" t="str">
        <f>Rooster!C24</f>
        <v/>
      </c>
      <c r="D23" s="11" t="str">
        <f>Rooster!D24</f>
        <v/>
      </c>
      <c r="E23" s="77"/>
      <c r="F23" s="327" t="str">
        <f>Rooster!E24</f>
        <v/>
      </c>
      <c r="G23" s="319" t="str">
        <f>IFERROR(VLOOKUP(F23, Docenten!$A$2:$G$30, 7, FALSE), "0")</f>
        <v>0</v>
      </c>
      <c r="H23" s="320">
        <f t="shared" si="1"/>
        <v>0</v>
      </c>
      <c r="I23" s="327" t="str">
        <f>Rooster!H24</f>
        <v/>
      </c>
      <c r="J23" s="321" t="str">
        <f>IFERROR(VLOOKUP(I23, Locaties!$A$2:$G$15, 7, FALSE), "0")</f>
        <v>0</v>
      </c>
      <c r="K23" s="42">
        <f t="shared" si="2"/>
        <v>0</v>
      </c>
      <c r="L23" s="427" t="str">
        <f>Mei!L23</f>
        <v/>
      </c>
      <c r="M23" s="428" t="str">
        <f>Mei!M23</f>
        <v/>
      </c>
      <c r="N23" s="321" t="str">
        <f>IFERROR(VLOOKUP(M23, Tarieven!$A$1:$J$150, 10, FALSE), "0")</f>
        <v>0</v>
      </c>
      <c r="O23" s="427" t="str">
        <f>Mei!O23</f>
        <v/>
      </c>
      <c r="P23" s="428" t="str">
        <f>Mei!P23</f>
        <v/>
      </c>
      <c r="Q23" s="325" t="str">
        <f>IFERROR(VLOOKUP(P23, Tarieven!$A$2:$J$150, 10, FALSE), "0")</f>
        <v>0</v>
      </c>
      <c r="R23" s="444" t="str">
        <f>Mei!R23</f>
        <v/>
      </c>
      <c r="S23" s="428" t="str">
        <f>Mei!S23</f>
        <v/>
      </c>
      <c r="T23" s="325" t="str">
        <f>IFERROR(VLOOKUP(S23, Tarieven!$A$2:$J$150, 10, FALSE), "0")</f>
        <v>0</v>
      </c>
      <c r="U23" s="77" t="str">
        <f>Mei!U23</f>
        <v/>
      </c>
      <c r="V23" s="327" t="str">
        <f>Mei!V23</f>
        <v/>
      </c>
      <c r="W23" s="325" t="str">
        <f>IFERROR(VLOOKUP(V23, Tarieven!$A$2:$J$150, 10, FALSE), "0")</f>
        <v>0</v>
      </c>
      <c r="X23" s="138">
        <f>Mei!X23</f>
        <v>0</v>
      </c>
      <c r="Y23" s="398">
        <v>0.0</v>
      </c>
      <c r="Z23" s="329">
        <f t="shared" si="3"/>
        <v>0</v>
      </c>
      <c r="AA23" s="32">
        <f t="shared" si="4"/>
        <v>0</v>
      </c>
      <c r="AB23" s="32">
        <f t="shared" si="5"/>
        <v>0</v>
      </c>
      <c r="AC23" s="32">
        <f t="shared" si="6"/>
        <v>0</v>
      </c>
    </row>
    <row r="24" ht="22.5" customHeight="1">
      <c r="A24" s="331" t="str">
        <f>Rooster!A25</f>
        <v>Donderdag</v>
      </c>
      <c r="B24" s="396">
        <f>Rooster!B25</f>
        <v>0.6458333333</v>
      </c>
      <c r="C24" s="15">
        <f>Rooster!C25</f>
        <v>60</v>
      </c>
      <c r="D24" s="11" t="str">
        <f>Rooster!D25</f>
        <v>Showdance 6+</v>
      </c>
      <c r="E24" s="77">
        <v>3.0</v>
      </c>
      <c r="F24" s="70" t="s">
        <v>59</v>
      </c>
      <c r="G24" s="319">
        <f>IFERROR(VLOOKUP(F24, Docenten!$A$2:$G$30, 7, FALSE), "0")</f>
        <v>20</v>
      </c>
      <c r="H24" s="320">
        <f t="shared" si="1"/>
        <v>20</v>
      </c>
      <c r="I24" s="327" t="str">
        <f>Rooster!H25</f>
        <v>Santpoort Zuid</v>
      </c>
      <c r="J24" s="321">
        <f>IFERROR(VLOOKUP(I24, Locaties!$A$2:$G$15, 7, FALSE), "0")</f>
        <v>18.9</v>
      </c>
      <c r="K24" s="42">
        <f t="shared" si="2"/>
        <v>18.9</v>
      </c>
      <c r="L24" s="427">
        <f>Mei!L24</f>
        <v>6</v>
      </c>
      <c r="M24" s="428" t="str">
        <f>Mei!M24</f>
        <v>1x per week abbo</v>
      </c>
      <c r="N24" s="321">
        <f>IFERROR(VLOOKUP(M24, Tarieven!$A$1:$J$150, 10, FALSE), "0")</f>
        <v>31</v>
      </c>
      <c r="O24" s="427">
        <f>Mei!O24</f>
        <v>3</v>
      </c>
      <c r="P24" s="428" t="str">
        <f>Mei!P24</f>
        <v>2x per week abbo</v>
      </c>
      <c r="Q24" s="325">
        <f>IFERROR(VLOOKUP(P24, Tarieven!$A$2:$J$150, 10, FALSE), "0")</f>
        <v>28.55</v>
      </c>
      <c r="R24" s="444" t="str">
        <f>Mei!R24</f>
        <v/>
      </c>
      <c r="S24" s="428" t="str">
        <f>Mei!S24</f>
        <v/>
      </c>
      <c r="T24" s="325" t="str">
        <f>IFERROR(VLOOKUP(S24, Tarieven!$A$2:$J$150, 10, FALSE), "0")</f>
        <v>0</v>
      </c>
      <c r="U24" s="77" t="str">
        <f>Mei!U24</f>
        <v/>
      </c>
      <c r="V24" s="327" t="str">
        <f>Mei!V24</f>
        <v/>
      </c>
      <c r="W24" s="325" t="str">
        <f>IFERROR(VLOOKUP(V24, Tarieven!$A$2:$J$150, 10, FALSE), "0")</f>
        <v>0</v>
      </c>
      <c r="X24" s="138">
        <f>Mei!X24</f>
        <v>4</v>
      </c>
      <c r="Y24" s="398">
        <v>0.0</v>
      </c>
      <c r="Z24" s="329">
        <f t="shared" si="3"/>
        <v>13</v>
      </c>
      <c r="AA24" s="32">
        <f t="shared" si="4"/>
        <v>116.7</v>
      </c>
      <c r="AB24" s="32">
        <f t="shared" si="5"/>
        <v>271.65</v>
      </c>
      <c r="AC24" s="32">
        <f t="shared" si="6"/>
        <v>154.95</v>
      </c>
    </row>
    <row r="25" ht="22.5" customHeight="1">
      <c r="A25" s="331" t="str">
        <f>Rooster!A26</f>
        <v>Donderdag</v>
      </c>
      <c r="B25" s="396">
        <f>Rooster!B26</f>
        <v>0.6875</v>
      </c>
      <c r="C25" s="15">
        <f>Rooster!C26</f>
        <v>60</v>
      </c>
      <c r="D25" s="11" t="str">
        <f>Rooster!D26</f>
        <v>Showdance 8+</v>
      </c>
      <c r="E25" s="77">
        <v>3.0</v>
      </c>
      <c r="F25" s="70" t="s">
        <v>59</v>
      </c>
      <c r="G25" s="319">
        <f>IFERROR(VLOOKUP(F25, Docenten!$A$2:$G$30, 7, FALSE), "0")</f>
        <v>20</v>
      </c>
      <c r="H25" s="320">
        <f t="shared" si="1"/>
        <v>20</v>
      </c>
      <c r="I25" s="327" t="str">
        <f>Rooster!H26</f>
        <v>Santpoort Zuid</v>
      </c>
      <c r="J25" s="321">
        <f>IFERROR(VLOOKUP(I25, Locaties!$A$2:$G$15, 7, FALSE), "0")</f>
        <v>18.9</v>
      </c>
      <c r="K25" s="42">
        <f t="shared" si="2"/>
        <v>18.9</v>
      </c>
      <c r="L25" s="427">
        <f>Mei!L25</f>
        <v>5</v>
      </c>
      <c r="M25" s="428" t="str">
        <f>Mei!M25</f>
        <v>1x per week abbo</v>
      </c>
      <c r="N25" s="321">
        <f>IFERROR(VLOOKUP(M25, Tarieven!$A$1:$J$150, 10, FALSE), "0")</f>
        <v>31</v>
      </c>
      <c r="O25" s="427">
        <f>Mei!O25</f>
        <v>2</v>
      </c>
      <c r="P25" s="428" t="str">
        <f>Mei!P25</f>
        <v>2x per week abbo</v>
      </c>
      <c r="Q25" s="325">
        <f>IFERROR(VLOOKUP(P25, Tarieven!$A$2:$J$150, 10, FALSE), "0")</f>
        <v>28.55</v>
      </c>
      <c r="R25" s="444" t="str">
        <f>Mei!R25</f>
        <v/>
      </c>
      <c r="S25" s="428" t="str">
        <f>Mei!S25</f>
        <v/>
      </c>
      <c r="T25" s="325" t="str">
        <f>IFERROR(VLOOKUP(S25, Tarieven!$A$2:$J$150, 10, FALSE), "0")</f>
        <v>0</v>
      </c>
      <c r="U25" s="77" t="str">
        <f>Mei!U25</f>
        <v/>
      </c>
      <c r="V25" s="327" t="str">
        <f>Mei!V25</f>
        <v/>
      </c>
      <c r="W25" s="325" t="str">
        <f>IFERROR(VLOOKUP(V25, Tarieven!$A$2:$J$150, 10, FALSE), "0")</f>
        <v>0</v>
      </c>
      <c r="X25" s="138">
        <f>Mei!X25</f>
        <v>4</v>
      </c>
      <c r="Y25" s="398">
        <v>0.0</v>
      </c>
      <c r="Z25" s="329">
        <f t="shared" si="3"/>
        <v>11</v>
      </c>
      <c r="AA25" s="32">
        <f t="shared" si="4"/>
        <v>116.7</v>
      </c>
      <c r="AB25" s="32">
        <f t="shared" si="5"/>
        <v>212.1</v>
      </c>
      <c r="AC25" s="32">
        <f t="shared" si="6"/>
        <v>95.4</v>
      </c>
    </row>
    <row r="26" ht="22.5" customHeight="1">
      <c r="A26" s="331" t="str">
        <f>Rooster!A27</f>
        <v>Donderdag</v>
      </c>
      <c r="B26" s="396">
        <f>Rooster!B27</f>
        <v>0.7291666667</v>
      </c>
      <c r="C26" s="15">
        <f>Rooster!C27</f>
        <v>60</v>
      </c>
      <c r="D26" s="11" t="str">
        <f>Rooster!D27</f>
        <v>Modern 14+</v>
      </c>
      <c r="E26" s="77">
        <v>3.0</v>
      </c>
      <c r="F26" s="70" t="s">
        <v>59</v>
      </c>
      <c r="G26" s="319">
        <f>IFERROR(VLOOKUP(F26, Docenten!$A$2:$G$30, 7, FALSE), "0")</f>
        <v>20</v>
      </c>
      <c r="H26" s="320">
        <f t="shared" si="1"/>
        <v>20</v>
      </c>
      <c r="I26" s="327" t="str">
        <f>Rooster!H27</f>
        <v>Santpoort Zuid</v>
      </c>
      <c r="J26" s="321">
        <f>IFERROR(VLOOKUP(I26, Locaties!$A$2:$G$15, 7, FALSE), "0")</f>
        <v>18.9</v>
      </c>
      <c r="K26" s="42">
        <f t="shared" si="2"/>
        <v>18.9</v>
      </c>
      <c r="L26" s="427">
        <f>Mei!L26</f>
        <v>3</v>
      </c>
      <c r="M26" s="428" t="str">
        <f>Mei!M26</f>
        <v>3x per week abbo</v>
      </c>
      <c r="N26" s="321">
        <f>IFERROR(VLOOKUP(M26, Tarieven!$A$1:$J$150, 10, FALSE), "0")</f>
        <v>28.93333333</v>
      </c>
      <c r="O26" s="427">
        <f>Mei!O26</f>
        <v>1</v>
      </c>
      <c r="P26" s="428" t="str">
        <f>Mei!P26</f>
        <v>2x per week abbo</v>
      </c>
      <c r="Q26" s="325">
        <f>IFERROR(VLOOKUP(P26, Tarieven!$A$2:$J$150, 10, FALSE), "0")</f>
        <v>28.55</v>
      </c>
      <c r="R26" s="444">
        <f>Mei!R26</f>
        <v>2</v>
      </c>
      <c r="S26" s="428" t="str">
        <f>Mei!S26</f>
        <v>Cheer selectie +2 abbo</v>
      </c>
      <c r="T26" s="325">
        <f>IFERROR(VLOOKUP(S26, Tarieven!$A$2:$J$150, 10, FALSE), "0")</f>
        <v>31.53333333</v>
      </c>
      <c r="U26" s="77" t="str">
        <f>Mei!U26</f>
        <v/>
      </c>
      <c r="V26" s="327" t="str">
        <f>Mei!V26</f>
        <v/>
      </c>
      <c r="W26" s="325" t="str">
        <f>IFERROR(VLOOKUP(V26, Tarieven!$A$2:$J$150, 10, FALSE), "0")</f>
        <v>0</v>
      </c>
      <c r="X26" s="138">
        <f>Mei!X26</f>
        <v>7</v>
      </c>
      <c r="Y26" s="398">
        <v>0.0</v>
      </c>
      <c r="Z26" s="329">
        <f t="shared" si="3"/>
        <v>13</v>
      </c>
      <c r="AA26" s="32">
        <f t="shared" si="4"/>
        <v>116.7</v>
      </c>
      <c r="AB26" s="32">
        <f t="shared" si="5"/>
        <v>178.4166667</v>
      </c>
      <c r="AC26" s="32">
        <f t="shared" si="6"/>
        <v>61.71666667</v>
      </c>
    </row>
    <row r="27" ht="22.5" customHeight="1">
      <c r="A27" s="331" t="str">
        <f>Rooster!A28</f>
        <v>Donderdag</v>
      </c>
      <c r="B27" s="396">
        <f>Rooster!B28</f>
        <v>0.7708333333</v>
      </c>
      <c r="C27" s="15">
        <f>Rooster!C28</f>
        <v>60</v>
      </c>
      <c r="D27" s="11" t="str">
        <f>Rooster!D28</f>
        <v>Commercial 14+</v>
      </c>
      <c r="E27" s="77">
        <v>3.0</v>
      </c>
      <c r="F27" s="327" t="str">
        <f>Rooster!E28</f>
        <v>Nova</v>
      </c>
      <c r="G27" s="319">
        <f>IFERROR(VLOOKUP(F27, Docenten!$A$2:$G$30, 7, FALSE), "0")</f>
        <v>22.5</v>
      </c>
      <c r="H27" s="320">
        <f t="shared" si="1"/>
        <v>22.5</v>
      </c>
      <c r="I27" s="327" t="str">
        <f>Rooster!H28</f>
        <v>Santpoort Zuid</v>
      </c>
      <c r="J27" s="321">
        <f>IFERROR(VLOOKUP(I27, Locaties!$A$2:$G$15, 7, FALSE), "0")</f>
        <v>18.9</v>
      </c>
      <c r="K27" s="42">
        <f t="shared" si="2"/>
        <v>18.9</v>
      </c>
      <c r="L27" s="427">
        <f>Mei!L27</f>
        <v>5</v>
      </c>
      <c r="M27" s="428" t="str">
        <f>Mei!M27</f>
        <v>3x per week abbo</v>
      </c>
      <c r="N27" s="321">
        <f>IFERROR(VLOOKUP(M27, Tarieven!$A$1:$J$150, 10, FALSE), "0")</f>
        <v>28.93333333</v>
      </c>
      <c r="O27" s="427">
        <f>Mei!O27</f>
        <v>2</v>
      </c>
      <c r="P27" s="428" t="str">
        <f>Mei!P27</f>
        <v>2x per week abbo</v>
      </c>
      <c r="Q27" s="325">
        <f>IFERROR(VLOOKUP(P27, Tarieven!$A$2:$J$150, 10, FALSE), "0")</f>
        <v>28.55</v>
      </c>
      <c r="R27" s="444">
        <f>Mei!R27</f>
        <v>2</v>
      </c>
      <c r="S27" s="428" t="str">
        <f>Mei!S27</f>
        <v>Cheer selectie +2 abbo</v>
      </c>
      <c r="T27" s="325">
        <f>IFERROR(VLOOKUP(S27, Tarieven!$A$2:$J$150, 10, FALSE), "0")</f>
        <v>31.53333333</v>
      </c>
      <c r="U27" s="77">
        <f>Mei!U27</f>
        <v>1</v>
      </c>
      <c r="V27" s="327" t="str">
        <f>Mei!V27</f>
        <v>1x per week abbo</v>
      </c>
      <c r="W27" s="325">
        <f>IFERROR(VLOOKUP(V27, Tarieven!$A$2:$J$150, 10, FALSE), "0")</f>
        <v>31</v>
      </c>
      <c r="X27" s="138">
        <f>Mei!X27</f>
        <v>10</v>
      </c>
      <c r="Y27" s="398">
        <v>0.0</v>
      </c>
      <c r="Z27" s="329">
        <f t="shared" si="3"/>
        <v>20</v>
      </c>
      <c r="AA27" s="32">
        <f t="shared" si="4"/>
        <v>124.2</v>
      </c>
      <c r="AB27" s="32">
        <f t="shared" si="5"/>
        <v>295.8333333</v>
      </c>
      <c r="AC27" s="32">
        <f t="shared" si="6"/>
        <v>171.6333333</v>
      </c>
    </row>
    <row r="28" ht="22.5" customHeight="1">
      <c r="A28" s="331" t="str">
        <f>Rooster!A29</f>
        <v>Donderdag</v>
      </c>
      <c r="B28" s="396">
        <f>Rooster!B29</f>
        <v>0.8125</v>
      </c>
      <c r="C28" s="15">
        <f>Rooster!C29</f>
        <v>60</v>
      </c>
      <c r="D28" s="11" t="str">
        <f>Rooster!D29</f>
        <v>Selectie Hiphop 16+</v>
      </c>
      <c r="E28" s="77">
        <v>3.0</v>
      </c>
      <c r="F28" s="327" t="str">
        <f>Rooster!E29</f>
        <v>Nova</v>
      </c>
      <c r="G28" s="319">
        <f>IFERROR(VLOOKUP(F28, Docenten!$A$2:$G$30, 7, FALSE), "0")</f>
        <v>22.5</v>
      </c>
      <c r="H28" s="320">
        <f t="shared" si="1"/>
        <v>22.5</v>
      </c>
      <c r="I28" s="327" t="str">
        <f>Rooster!H29</f>
        <v>Santpoort Zuid</v>
      </c>
      <c r="J28" s="321">
        <f>IFERROR(VLOOKUP(I28, Locaties!$A$2:$G$15, 7, FALSE), "0")</f>
        <v>18.9</v>
      </c>
      <c r="K28" s="42">
        <f t="shared" si="2"/>
        <v>18.9</v>
      </c>
      <c r="L28" s="427">
        <f>Mei!L28</f>
        <v>2</v>
      </c>
      <c r="M28" s="428" t="str">
        <f>Mei!M28</f>
        <v>Cheer selectie +2 abbo</v>
      </c>
      <c r="N28" s="321">
        <f>IFERROR(VLOOKUP(M28, Tarieven!$A$1:$J$150, 10, FALSE), "0")</f>
        <v>31.53333333</v>
      </c>
      <c r="O28" s="427">
        <f>Mei!O28</f>
        <v>3</v>
      </c>
      <c r="P28" s="428" t="str">
        <f>Mei!P28</f>
        <v>3x per week abbo</v>
      </c>
      <c r="Q28" s="325">
        <f>IFERROR(VLOOKUP(P28, Tarieven!$A$2:$J$150, 10, FALSE), "0")</f>
        <v>28.93333333</v>
      </c>
      <c r="R28" s="444">
        <f>Mei!R28</f>
        <v>2</v>
      </c>
      <c r="S28" s="428" t="str">
        <f>Mei!S28</f>
        <v>2x per week abbo</v>
      </c>
      <c r="T28" s="325">
        <f>IFERROR(VLOOKUP(S28, Tarieven!$A$2:$J$150, 10, FALSE), "0")</f>
        <v>28.55</v>
      </c>
      <c r="U28" s="77" t="str">
        <f>Mei!U28</f>
        <v/>
      </c>
      <c r="V28" s="327" t="str">
        <f>Mei!V28</f>
        <v/>
      </c>
      <c r="W28" s="325" t="str">
        <f>IFERROR(VLOOKUP(V28, Tarieven!$A$2:$J$150, 10, FALSE), "0")</f>
        <v>0</v>
      </c>
      <c r="X28" s="138">
        <f>Mei!X28</f>
        <v>8</v>
      </c>
      <c r="Y28" s="398">
        <v>0.0</v>
      </c>
      <c r="Z28" s="329">
        <f t="shared" si="3"/>
        <v>15</v>
      </c>
      <c r="AA28" s="32">
        <f t="shared" si="4"/>
        <v>124.2</v>
      </c>
      <c r="AB28" s="32">
        <f t="shared" si="5"/>
        <v>206.9666667</v>
      </c>
      <c r="AC28" s="32">
        <f t="shared" si="6"/>
        <v>82.76666667</v>
      </c>
    </row>
    <row r="29" ht="22.5" customHeight="1">
      <c r="A29" s="331" t="str">
        <f>Rooster!A30</f>
        <v>Donderdag</v>
      </c>
      <c r="B29" s="396">
        <f>Rooster!B30</f>
        <v>0.8541666667</v>
      </c>
      <c r="C29" s="15">
        <f>Rooster!C30</f>
        <v>60</v>
      </c>
      <c r="D29" s="11" t="str">
        <f>Rooster!D30</f>
        <v>Modern 16+</v>
      </c>
      <c r="E29" s="77">
        <v>3.0</v>
      </c>
      <c r="F29" s="327" t="str">
        <f>Rooster!E30</f>
        <v>Nova</v>
      </c>
      <c r="G29" s="319">
        <f>IFERROR(VLOOKUP(F29, Docenten!$A$2:$G$30, 7, FALSE), "0")</f>
        <v>22.5</v>
      </c>
      <c r="H29" s="320">
        <f t="shared" si="1"/>
        <v>22.5</v>
      </c>
      <c r="I29" s="327" t="str">
        <f>Rooster!H30</f>
        <v>Santpoort Zuid</v>
      </c>
      <c r="J29" s="321">
        <f>IFERROR(VLOOKUP(I29, Locaties!$A$2:$G$15, 7, FALSE), "0")</f>
        <v>18.9</v>
      </c>
      <c r="K29" s="42">
        <f t="shared" si="2"/>
        <v>18.9</v>
      </c>
      <c r="L29" s="427">
        <f>Mei!L29</f>
        <v>1</v>
      </c>
      <c r="M29" s="428" t="str">
        <f>Mei!M29</f>
        <v>1x per week abbo</v>
      </c>
      <c r="N29" s="321">
        <f>IFERROR(VLOOKUP(M29, Tarieven!$A$1:$J$150, 10, FALSE), "0")</f>
        <v>31</v>
      </c>
      <c r="O29" s="427">
        <f>Mei!O29</f>
        <v>2</v>
      </c>
      <c r="P29" s="428" t="str">
        <f>Mei!P29</f>
        <v>3x per week abbo</v>
      </c>
      <c r="Q29" s="325">
        <f>IFERROR(VLOOKUP(P29, Tarieven!$A$2:$J$150, 10, FALSE), "0")</f>
        <v>28.93333333</v>
      </c>
      <c r="R29" s="444" t="str">
        <f>Mei!R29</f>
        <v/>
      </c>
      <c r="S29" s="428" t="str">
        <f>Mei!S29</f>
        <v/>
      </c>
      <c r="T29" s="325" t="str">
        <f>IFERROR(VLOOKUP(S29, Tarieven!$A$2:$J$150, 10, FALSE), "0")</f>
        <v>0</v>
      </c>
      <c r="U29" s="77" t="str">
        <f>Mei!U29</f>
        <v/>
      </c>
      <c r="V29" s="327" t="str">
        <f>Mei!V29</f>
        <v/>
      </c>
      <c r="W29" s="325" t="str">
        <f>IFERROR(VLOOKUP(V29, Tarieven!$A$2:$J$150, 10, FALSE), "0")</f>
        <v>0</v>
      </c>
      <c r="X29" s="138">
        <f>Mei!X29</f>
        <v>5</v>
      </c>
      <c r="Y29" s="398">
        <v>0.0</v>
      </c>
      <c r="Z29" s="329">
        <f t="shared" si="3"/>
        <v>8</v>
      </c>
      <c r="AA29" s="32">
        <f t="shared" si="4"/>
        <v>124.2</v>
      </c>
      <c r="AB29" s="32">
        <f t="shared" si="5"/>
        <v>88.86666667</v>
      </c>
      <c r="AC29" s="32">
        <f t="shared" si="6"/>
        <v>-35.33333333</v>
      </c>
    </row>
    <row r="30" ht="22.5" customHeight="1">
      <c r="A30" s="331" t="str">
        <f>Rooster!A31</f>
        <v>Vrijdag</v>
      </c>
      <c r="B30" s="396">
        <f>Rooster!B31</f>
        <v>0.625</v>
      </c>
      <c r="C30" s="15">
        <f>Rooster!C31</f>
        <v>60</v>
      </c>
      <c r="D30" s="11" t="str">
        <f>Rooster!D31</f>
        <v>Selectie Hiphop 8+</v>
      </c>
      <c r="E30" s="77">
        <v>3.0</v>
      </c>
      <c r="F30" s="327" t="str">
        <f>Rooster!E31</f>
        <v>Eigenaar</v>
      </c>
      <c r="G30" s="319">
        <f>IFERROR(VLOOKUP(F30, Docenten!$A$2:$G$30, 7, FALSE), "0")</f>
        <v>0</v>
      </c>
      <c r="H30" s="320">
        <f t="shared" si="1"/>
        <v>0</v>
      </c>
      <c r="I30" s="327" t="str">
        <f>Rooster!H31</f>
        <v>Santpoort Zuid</v>
      </c>
      <c r="J30" s="321">
        <f>IFERROR(VLOOKUP(I30, Locaties!$A$2:$G$15, 7, FALSE), "0")</f>
        <v>18.9</v>
      </c>
      <c r="K30" s="42">
        <f t="shared" si="2"/>
        <v>18.9</v>
      </c>
      <c r="L30" s="427">
        <f>Mei!L30</f>
        <v>5</v>
      </c>
      <c r="M30" s="428" t="str">
        <f>Mei!M30</f>
        <v>2x per week abbo</v>
      </c>
      <c r="N30" s="321">
        <f>IFERROR(VLOOKUP(M30, Tarieven!$A$1:$J$150, 10, FALSE), "0")</f>
        <v>28.55</v>
      </c>
      <c r="O30" s="427">
        <f>Mei!O30</f>
        <v>3</v>
      </c>
      <c r="P30" s="428" t="str">
        <f>Mei!P30</f>
        <v>Cheer regulier + onbeperkt abbo</v>
      </c>
      <c r="Q30" s="325">
        <f>IFERROR(VLOOKUP(P30, Tarieven!$A$2:$J$150, 10, FALSE), "0")</f>
        <v>44.45</v>
      </c>
      <c r="R30" s="444">
        <f>Mei!R30</f>
        <v>1</v>
      </c>
      <c r="S30" s="428" t="str">
        <f>Mei!S30</f>
        <v>Cheer regulier +2 abbo</v>
      </c>
      <c r="T30" s="325">
        <f>IFERROR(VLOOKUP(S30, Tarieven!$A$2:$J$150, 10, FALSE), "0")</f>
        <v>29.03333333</v>
      </c>
      <c r="U30" s="77" t="str">
        <f>Mei!U30</f>
        <v/>
      </c>
      <c r="V30" s="327" t="str">
        <f>Mei!V30</f>
        <v/>
      </c>
      <c r="W30" s="325" t="str">
        <f>IFERROR(VLOOKUP(V30, Tarieven!$A$2:$J$150, 10, FALSE), "0")</f>
        <v>0</v>
      </c>
      <c r="X30" s="138">
        <f>Mei!X30</f>
        <v>4</v>
      </c>
      <c r="Y30" s="398">
        <v>0.0</v>
      </c>
      <c r="Z30" s="329">
        <f t="shared" si="3"/>
        <v>13</v>
      </c>
      <c r="AA30" s="32">
        <f t="shared" si="4"/>
        <v>56.7</v>
      </c>
      <c r="AB30" s="32">
        <f t="shared" si="5"/>
        <v>305.1333333</v>
      </c>
      <c r="AC30" s="32">
        <f t="shared" si="6"/>
        <v>248.4333333</v>
      </c>
    </row>
    <row r="31" ht="22.5" customHeight="1">
      <c r="A31" s="331" t="str">
        <f>Rooster!A32</f>
        <v>Vrijdag</v>
      </c>
      <c r="B31" s="396">
        <f>Rooster!B32</f>
        <v>0.6666666667</v>
      </c>
      <c r="C31" s="15">
        <f>Rooster!C32</f>
        <v>60</v>
      </c>
      <c r="D31" s="11" t="str">
        <f>Rooster!D32</f>
        <v>Cheer 8+</v>
      </c>
      <c r="E31" s="77">
        <v>3.0</v>
      </c>
      <c r="F31" s="327" t="str">
        <f>Rooster!E32</f>
        <v>Eigenaar</v>
      </c>
      <c r="G31" s="319">
        <f>IFERROR(VLOOKUP(F31, Docenten!$A$2:$G$30, 7, FALSE), "0")</f>
        <v>0</v>
      </c>
      <c r="H31" s="320">
        <f t="shared" si="1"/>
        <v>0</v>
      </c>
      <c r="I31" s="327" t="str">
        <f>Rooster!H32</f>
        <v>Santpoort Zuid</v>
      </c>
      <c r="J31" s="321">
        <f>IFERROR(VLOOKUP(I31, Locaties!$A$2:$G$15, 7, FALSE), "0")</f>
        <v>18.9</v>
      </c>
      <c r="K31" s="42">
        <f t="shared" si="2"/>
        <v>18.9</v>
      </c>
      <c r="L31" s="427">
        <f>Mei!L31</f>
        <v>3</v>
      </c>
      <c r="M31" s="428" t="str">
        <f>Mei!M31</f>
        <v>Cheer regulier + onbeperkt abbo</v>
      </c>
      <c r="N31" s="321">
        <f>IFERROR(VLOOKUP(M31, Tarieven!$A$1:$J$150, 10, FALSE), "0")</f>
        <v>44.45</v>
      </c>
      <c r="O31" s="427">
        <f>Mei!O31</f>
        <v>5</v>
      </c>
      <c r="P31" s="428" t="str">
        <f>Mei!P31</f>
        <v>Cheer regulier +1 abbo</v>
      </c>
      <c r="Q31" s="325">
        <f>IFERROR(VLOOKUP(P31, Tarieven!$A$2:$J$150, 10, FALSE), "0")</f>
        <v>32.25</v>
      </c>
      <c r="R31" s="444">
        <f>Mei!R31</f>
        <v>1</v>
      </c>
      <c r="S31" s="428" t="str">
        <f>Mei!S31</f>
        <v>Cheer regulier abbo</v>
      </c>
      <c r="T31" s="325">
        <f>IFERROR(VLOOKUP(S31, Tarieven!$A$2:$J$150, 10, FALSE), "0")</f>
        <v>33.5</v>
      </c>
      <c r="U31" s="77">
        <f>Mei!U31</f>
        <v>1</v>
      </c>
      <c r="V31" s="327" t="str">
        <f>Mei!V31</f>
        <v>1x per week </v>
      </c>
      <c r="W31" s="325">
        <f>IFERROR(VLOOKUP(V31, Tarieven!$A$2:$J$150, 10, FALSE), "0")</f>
        <v>279</v>
      </c>
      <c r="X31" s="138">
        <f>Mei!X31</f>
        <v>11</v>
      </c>
      <c r="Y31" s="398">
        <v>0.0</v>
      </c>
      <c r="Z31" s="329">
        <f t="shared" si="3"/>
        <v>21</v>
      </c>
      <c r="AA31" s="32">
        <f t="shared" si="4"/>
        <v>56.7</v>
      </c>
      <c r="AB31" s="32">
        <f t="shared" si="5"/>
        <v>607.1</v>
      </c>
      <c r="AC31" s="32">
        <f t="shared" si="6"/>
        <v>550.4</v>
      </c>
    </row>
    <row r="32" ht="22.5" customHeight="1">
      <c r="A32" s="331" t="str">
        <f>Rooster!A33</f>
        <v>Vrijdag</v>
      </c>
      <c r="B32" s="396">
        <f>Rooster!B33</f>
        <v>0.7083333333</v>
      </c>
      <c r="C32" s="15">
        <f>Rooster!C33</f>
        <v>60</v>
      </c>
      <c r="D32" s="11" t="str">
        <f>Rooster!D33</f>
        <v>Cheer 12+</v>
      </c>
      <c r="E32" s="77">
        <v>3.0</v>
      </c>
      <c r="F32" s="327" t="str">
        <f>Rooster!E33</f>
        <v>Eigenaar</v>
      </c>
      <c r="G32" s="319">
        <f>IFERROR(VLOOKUP(F32, Docenten!$A$2:$G$30, 7, FALSE), "0")</f>
        <v>0</v>
      </c>
      <c r="H32" s="320">
        <f t="shared" si="1"/>
        <v>0</v>
      </c>
      <c r="I32" s="327" t="str">
        <f>Rooster!H33</f>
        <v>Santpoort Zuid</v>
      </c>
      <c r="J32" s="321">
        <f>IFERROR(VLOOKUP(I32, Locaties!$A$2:$G$15, 7, FALSE), "0")</f>
        <v>18.9</v>
      </c>
      <c r="K32" s="42">
        <f t="shared" si="2"/>
        <v>18.9</v>
      </c>
      <c r="L32" s="427">
        <f>Mei!L32</f>
        <v>4</v>
      </c>
      <c r="M32" s="428" t="str">
        <f>Mei!M32</f>
        <v>Cheer regulier +1 abbo</v>
      </c>
      <c r="N32" s="321">
        <f>IFERROR(VLOOKUP(M32, Tarieven!$A$1:$J$150, 10, FALSE), "0")</f>
        <v>32.25</v>
      </c>
      <c r="O32" s="427">
        <f>Mei!O32</f>
        <v>3</v>
      </c>
      <c r="P32" s="428" t="str">
        <f>Mei!P32</f>
        <v>Cheer regulier + onbeperkt abbo</v>
      </c>
      <c r="Q32" s="325">
        <f>IFERROR(VLOOKUP(P32, Tarieven!$A$2:$J$150, 10, FALSE), "0")</f>
        <v>44.45</v>
      </c>
      <c r="R32" s="444">
        <f>Mei!R32</f>
        <v>1</v>
      </c>
      <c r="S32" s="428" t="str">
        <f>Mei!S32</f>
        <v>Cheer regulier abbo</v>
      </c>
      <c r="T32" s="325">
        <f>IFERROR(VLOOKUP(S32, Tarieven!$A$2:$J$150, 10, FALSE), "0")</f>
        <v>33.5</v>
      </c>
      <c r="U32" s="77">
        <f>Mei!U32</f>
        <v>2</v>
      </c>
      <c r="V32" s="327" t="str">
        <f>Mei!V32</f>
        <v>1x per week abbo</v>
      </c>
      <c r="W32" s="325">
        <f>IFERROR(VLOOKUP(V32, Tarieven!$A$2:$J$150, 10, FALSE), "0")</f>
        <v>31</v>
      </c>
      <c r="X32" s="138">
        <f>Mei!X32</f>
        <v>5</v>
      </c>
      <c r="Y32" s="398">
        <v>0.0</v>
      </c>
      <c r="Z32" s="329">
        <f t="shared" si="3"/>
        <v>15</v>
      </c>
      <c r="AA32" s="32">
        <f t="shared" si="4"/>
        <v>56.7</v>
      </c>
      <c r="AB32" s="32">
        <f t="shared" si="5"/>
        <v>357.85</v>
      </c>
      <c r="AC32" s="32">
        <f t="shared" si="6"/>
        <v>301.15</v>
      </c>
    </row>
    <row r="33" ht="22.5" customHeight="1">
      <c r="A33" s="331" t="str">
        <f>Rooster!A34</f>
        <v>Vrijdag</v>
      </c>
      <c r="B33" s="396">
        <f>Rooster!B34</f>
        <v>0.75</v>
      </c>
      <c r="C33" s="15">
        <f>Rooster!C34</f>
        <v>60</v>
      </c>
      <c r="D33" s="11" t="str">
        <f>Rooster!D34</f>
        <v>Urban-pop-Show 11+</v>
      </c>
      <c r="E33" s="77">
        <v>3.0</v>
      </c>
      <c r="F33" s="327" t="str">
        <f>Rooster!E34</f>
        <v>Eigenaar</v>
      </c>
      <c r="G33" s="319">
        <f>IFERROR(VLOOKUP(F33, Docenten!$A$2:$G$30, 7, FALSE), "0")</f>
        <v>0</v>
      </c>
      <c r="H33" s="320">
        <f t="shared" si="1"/>
        <v>0</v>
      </c>
      <c r="I33" s="327" t="str">
        <f>Rooster!H34</f>
        <v>Santpoort Noord</v>
      </c>
      <c r="J33" s="321">
        <f>IFERROR(VLOOKUP(I33, Locaties!$A$2:$G$15, 7, FALSE), "0")</f>
        <v>14.2</v>
      </c>
      <c r="K33" s="42">
        <f t="shared" si="2"/>
        <v>14.2</v>
      </c>
      <c r="L33" s="427">
        <f>Mei!L33</f>
        <v>2</v>
      </c>
      <c r="M33" s="428" t="str">
        <f>Mei!M33</f>
        <v>Cheer regulier +1 abbo</v>
      </c>
      <c r="N33" s="321">
        <f>IFERROR(VLOOKUP(M33, Tarieven!$A$1:$J$150, 10, FALSE), "0")</f>
        <v>32.25</v>
      </c>
      <c r="O33" s="427">
        <f>Mei!O33</f>
        <v>3</v>
      </c>
      <c r="P33" s="428" t="str">
        <f>Mei!P33</f>
        <v>1x per week abbo</v>
      </c>
      <c r="Q33" s="325"/>
      <c r="R33" s="444" t="str">
        <f>Mei!R33</f>
        <v/>
      </c>
      <c r="S33" s="428" t="str">
        <f>Mei!S33</f>
        <v/>
      </c>
      <c r="T33" s="325" t="str">
        <f>IFERROR(VLOOKUP(S33, Tarieven!$A$2:$J$150, 10, FALSE), "0")</f>
        <v>0</v>
      </c>
      <c r="U33" s="77" t="str">
        <f>Mei!U33</f>
        <v/>
      </c>
      <c r="V33" s="327" t="str">
        <f>Mei!V33</f>
        <v/>
      </c>
      <c r="W33" s="325" t="str">
        <f>IFERROR(VLOOKUP(V33, Tarieven!$A$2:$J$150, 10, FALSE), "0")</f>
        <v>0</v>
      </c>
      <c r="X33" s="138">
        <f>Mei!X33</f>
        <v>8</v>
      </c>
      <c r="Y33" s="398">
        <v>0.0</v>
      </c>
      <c r="Z33" s="329">
        <f t="shared" si="3"/>
        <v>13</v>
      </c>
      <c r="AA33" s="32">
        <f t="shared" si="4"/>
        <v>42.6</v>
      </c>
      <c r="AB33" s="32">
        <f t="shared" si="5"/>
        <v>64.5</v>
      </c>
      <c r="AC33" s="32">
        <f t="shared" si="6"/>
        <v>21.9</v>
      </c>
    </row>
    <row r="34" ht="22.5" customHeight="1">
      <c r="A34" s="331" t="str">
        <f>Rooster!A35</f>
        <v>Zaterdag</v>
      </c>
      <c r="B34" s="396">
        <f>Rooster!B35</f>
        <v>0.375</v>
      </c>
      <c r="C34" s="15">
        <f>Rooster!C35</f>
        <v>60</v>
      </c>
      <c r="D34" s="11" t="str">
        <f>Rooster!D35</f>
        <v>Peuters</v>
      </c>
      <c r="E34" s="77">
        <v>3.0</v>
      </c>
      <c r="F34" s="327" t="str">
        <f>Rooster!E35</f>
        <v>Frederique</v>
      </c>
      <c r="G34" s="319">
        <f>IFERROR(VLOOKUP(F34, Docenten!$A$2:$G$30, 7, FALSE), "0")</f>
        <v>12.5</v>
      </c>
      <c r="H34" s="320">
        <f t="shared" si="1"/>
        <v>12.5</v>
      </c>
      <c r="I34" s="327" t="str">
        <f>Rooster!H35</f>
        <v>Santpoort Noord</v>
      </c>
      <c r="J34" s="321">
        <f>IFERROR(VLOOKUP(I34, Locaties!$A$2:$G$15, 7, FALSE), "0")</f>
        <v>14.2</v>
      </c>
      <c r="K34" s="42">
        <f t="shared" si="2"/>
        <v>14.2</v>
      </c>
      <c r="L34" s="427">
        <f>Mei!L34</f>
        <v>5</v>
      </c>
      <c r="M34" s="428" t="str">
        <f>Mei!M34</f>
        <v>1x per week abbo</v>
      </c>
      <c r="N34" s="321">
        <f>IFERROR(VLOOKUP(M34, Tarieven!$A$1:$J$150, 10, FALSE), "0")</f>
        <v>31</v>
      </c>
      <c r="O34" s="427">
        <f>Mei!O34</f>
        <v>1</v>
      </c>
      <c r="P34" s="428" t="str">
        <f>Mei!P34</f>
        <v/>
      </c>
      <c r="Q34" s="325" t="str">
        <f>IFERROR(VLOOKUP(P34, Tarieven!$A$2:$J$150, 10, FALSE), "0")</f>
        <v>0</v>
      </c>
      <c r="R34" s="444" t="str">
        <f>Mei!R34</f>
        <v/>
      </c>
      <c r="S34" s="428" t="str">
        <f>Mei!S34</f>
        <v/>
      </c>
      <c r="T34" s="325" t="str">
        <f>IFERROR(VLOOKUP(S34, Tarieven!$A$2:$J$150, 10, FALSE), "0")</f>
        <v>0</v>
      </c>
      <c r="U34" s="77" t="str">
        <f>Mei!U34</f>
        <v/>
      </c>
      <c r="V34" s="327" t="str">
        <f>Mei!V34</f>
        <v/>
      </c>
      <c r="W34" s="325" t="str">
        <f>IFERROR(VLOOKUP(V34, Tarieven!$A$2:$J$150, 10, FALSE), "0")</f>
        <v>0</v>
      </c>
      <c r="X34" s="138">
        <f>Mei!X34</f>
        <v>4</v>
      </c>
      <c r="Y34" s="398">
        <v>0.0</v>
      </c>
      <c r="Z34" s="329">
        <f t="shared" si="3"/>
        <v>10</v>
      </c>
      <c r="AA34" s="32">
        <f t="shared" si="4"/>
        <v>80.1</v>
      </c>
      <c r="AB34" s="32">
        <f t="shared" si="5"/>
        <v>155</v>
      </c>
      <c r="AC34" s="32">
        <f t="shared" si="6"/>
        <v>74.9</v>
      </c>
    </row>
    <row r="35" ht="22.5" customHeight="1">
      <c r="A35" s="331" t="str">
        <f>Rooster!A36</f>
        <v>Zaterdag</v>
      </c>
      <c r="B35" s="396">
        <f>Rooster!B36</f>
        <v>0.40625</v>
      </c>
      <c r="C35" s="15">
        <f>Rooster!C36</f>
        <v>60</v>
      </c>
      <c r="D35" s="11" t="str">
        <f>Rooster!D36</f>
        <v>Kleuters</v>
      </c>
      <c r="E35" s="77">
        <v>3.0</v>
      </c>
      <c r="F35" s="327" t="str">
        <f>Rooster!E36</f>
        <v>Frederique</v>
      </c>
      <c r="G35" s="319">
        <f>IFERROR(VLOOKUP(F35, Docenten!$A$2:$G$30, 7, FALSE), "0")</f>
        <v>12.5</v>
      </c>
      <c r="H35" s="320">
        <f t="shared" si="1"/>
        <v>12.5</v>
      </c>
      <c r="I35" s="327" t="str">
        <f>Rooster!H36</f>
        <v>Santpoort Noord</v>
      </c>
      <c r="J35" s="321">
        <f>IFERROR(VLOOKUP(I35, Locaties!$A$2:$G$15, 7, FALSE), "0")</f>
        <v>14.2</v>
      </c>
      <c r="K35" s="42">
        <f t="shared" si="2"/>
        <v>14.2</v>
      </c>
      <c r="L35" s="427">
        <f>Mei!L35</f>
        <v>11</v>
      </c>
      <c r="M35" s="428" t="str">
        <f>Mei!M35</f>
        <v>1x per week abbo</v>
      </c>
      <c r="N35" s="321">
        <f>IFERROR(VLOOKUP(M35, Tarieven!$A$1:$J$150, 10, FALSE), "0")</f>
        <v>31</v>
      </c>
      <c r="O35" s="427" t="str">
        <f>Mei!O35</f>
        <v/>
      </c>
      <c r="P35" s="428" t="str">
        <f>Mei!P35</f>
        <v/>
      </c>
      <c r="Q35" s="325"/>
      <c r="R35" s="444" t="str">
        <f>Mei!R35</f>
        <v/>
      </c>
      <c r="S35" s="428" t="str">
        <f>Mei!S35</f>
        <v/>
      </c>
      <c r="T35" s="325" t="str">
        <f>IFERROR(VLOOKUP(S35, Tarieven!$A$2:$J$150, 10, FALSE), "0")</f>
        <v>0</v>
      </c>
      <c r="U35" s="77" t="str">
        <f>Mei!U35</f>
        <v/>
      </c>
      <c r="V35" s="327" t="str">
        <f>Mei!V35</f>
        <v/>
      </c>
      <c r="W35" s="325" t="str">
        <f>IFERROR(VLOOKUP(V35, Tarieven!$A$2:$J$150, 10, FALSE), "0")</f>
        <v>0</v>
      </c>
      <c r="X35" s="138">
        <f>Mei!X35</f>
        <v>5</v>
      </c>
      <c r="Y35" s="398">
        <v>0.0</v>
      </c>
      <c r="Z35" s="329">
        <f t="shared" si="3"/>
        <v>16</v>
      </c>
      <c r="AA35" s="32">
        <f t="shared" si="4"/>
        <v>80.1</v>
      </c>
      <c r="AB35" s="32">
        <f t="shared" si="5"/>
        <v>341</v>
      </c>
      <c r="AC35" s="32">
        <f t="shared" si="6"/>
        <v>260.9</v>
      </c>
    </row>
    <row r="36" ht="22.5" customHeight="1">
      <c r="A36" s="331" t="str">
        <f>Rooster!A37</f>
        <v>Zaterdag</v>
      </c>
      <c r="B36" s="396">
        <f>Rooster!B37</f>
        <v>0.4375</v>
      </c>
      <c r="C36" s="15">
        <f>Rooster!C37</f>
        <v>60</v>
      </c>
      <c r="D36" s="11" t="str">
        <f>Rooster!D37</f>
        <v>Showdance 5-6</v>
      </c>
      <c r="E36" s="77">
        <v>3.0</v>
      </c>
      <c r="F36" s="327" t="str">
        <f>Rooster!E37</f>
        <v>Frederique</v>
      </c>
      <c r="G36" s="319">
        <f>IFERROR(VLOOKUP(F36, Docenten!$A$2:$G$30, 7, FALSE), "0")</f>
        <v>12.5</v>
      </c>
      <c r="H36" s="320">
        <f t="shared" si="1"/>
        <v>12.5</v>
      </c>
      <c r="I36" s="327" t="str">
        <f>Rooster!H37</f>
        <v>Santpoort Noord</v>
      </c>
      <c r="J36" s="321">
        <f>IFERROR(VLOOKUP(I36, Locaties!$A$2:$G$15, 7, FALSE), "0")</f>
        <v>14.2</v>
      </c>
      <c r="K36" s="42">
        <f t="shared" si="2"/>
        <v>14.2</v>
      </c>
      <c r="L36" s="427">
        <f>Mei!L36</f>
        <v>2</v>
      </c>
      <c r="M36" s="428" t="str">
        <f>Mei!M36</f>
        <v>1x per week abbo</v>
      </c>
      <c r="N36" s="321">
        <f>IFERROR(VLOOKUP(M36, Tarieven!$A$1:$J$150, 10, FALSE), "0")</f>
        <v>31</v>
      </c>
      <c r="O36" s="427" t="str">
        <f>Mei!O36</f>
        <v/>
      </c>
      <c r="P36" s="428" t="str">
        <f>Mei!P36</f>
        <v/>
      </c>
      <c r="Q36" s="325" t="str">
        <f>IFERROR(VLOOKUP(P36, Tarieven!$A$2:$J$150, 10, FALSE), "0")</f>
        <v>0</v>
      </c>
      <c r="R36" s="444" t="str">
        <f>Mei!R36</f>
        <v/>
      </c>
      <c r="S36" s="428" t="str">
        <f>Mei!S36</f>
        <v/>
      </c>
      <c r="T36" s="325" t="str">
        <f>IFERROR(VLOOKUP(S36, Tarieven!$A$2:$J$150, 10, FALSE), "0")</f>
        <v>0</v>
      </c>
      <c r="U36" s="77" t="str">
        <f>Mei!U36</f>
        <v/>
      </c>
      <c r="V36" s="327" t="str">
        <f>Mei!V36</f>
        <v/>
      </c>
      <c r="W36" s="325" t="str">
        <f>IFERROR(VLOOKUP(V36, Tarieven!$A$2:$J$150, 10, FALSE), "0")</f>
        <v>0</v>
      </c>
      <c r="X36" s="138">
        <f>Mei!X36</f>
        <v>9</v>
      </c>
      <c r="Y36" s="398">
        <v>0.0</v>
      </c>
      <c r="Z36" s="329">
        <f t="shared" si="3"/>
        <v>11</v>
      </c>
      <c r="AA36" s="32">
        <f t="shared" si="4"/>
        <v>80.1</v>
      </c>
      <c r="AB36" s="32">
        <f t="shared" si="5"/>
        <v>62</v>
      </c>
      <c r="AC36" s="32">
        <f t="shared" si="6"/>
        <v>-18.1</v>
      </c>
    </row>
    <row r="37" ht="22.5" customHeight="1">
      <c r="A37" s="331" t="str">
        <f>Rooster!A38</f>
        <v>Zaterdag</v>
      </c>
      <c r="B37" s="396">
        <f>Rooster!B38</f>
        <v>0.4791666667</v>
      </c>
      <c r="C37" s="15">
        <f>Rooster!C38</f>
        <v>60</v>
      </c>
      <c r="D37" s="11" t="str">
        <f>Rooster!D38</f>
        <v>Showdance 7+</v>
      </c>
      <c r="E37" s="77">
        <v>3.0</v>
      </c>
      <c r="F37" s="327" t="str">
        <f>Rooster!E38</f>
        <v>Frederique</v>
      </c>
      <c r="G37" s="319">
        <f>IFERROR(VLOOKUP(F37, Docenten!$A$2:$G$30, 7, FALSE), "0")</f>
        <v>12.5</v>
      </c>
      <c r="H37" s="320">
        <f t="shared" si="1"/>
        <v>12.5</v>
      </c>
      <c r="I37" s="327" t="str">
        <f>Rooster!H38</f>
        <v>Santpoort Noord</v>
      </c>
      <c r="J37" s="321">
        <f>IFERROR(VLOOKUP(I37, Locaties!$A$2:$G$15, 7, FALSE), "0")</f>
        <v>14.2</v>
      </c>
      <c r="K37" s="42">
        <f t="shared" si="2"/>
        <v>14.2</v>
      </c>
      <c r="L37" s="427">
        <f>Mei!L37</f>
        <v>6</v>
      </c>
      <c r="M37" s="428" t="str">
        <f>Mei!M37</f>
        <v>1x per week abbo</v>
      </c>
      <c r="N37" s="321">
        <f>IFERROR(VLOOKUP(M37, Tarieven!$A$1:$J$150, 10, FALSE), "0")</f>
        <v>31</v>
      </c>
      <c r="O37" s="427">
        <f>Mei!O37</f>
        <v>1</v>
      </c>
      <c r="P37" s="428" t="str">
        <f>Mei!P37</f>
        <v>2x per week abbo</v>
      </c>
      <c r="Q37" s="325">
        <f>IFERROR(VLOOKUP(P37, Tarieven!$A$2:$J$150, 10, FALSE), "0")</f>
        <v>28.55</v>
      </c>
      <c r="R37" s="444" t="str">
        <f>Mei!R37</f>
        <v/>
      </c>
      <c r="S37" s="428" t="str">
        <f>Mei!S37</f>
        <v/>
      </c>
      <c r="T37" s="325" t="str">
        <f>IFERROR(VLOOKUP(S37, Tarieven!$A$2:$J$150, 10, FALSE), "0")</f>
        <v>0</v>
      </c>
      <c r="U37" s="77" t="str">
        <f>Mei!U37</f>
        <v/>
      </c>
      <c r="V37" s="327" t="str">
        <f>Mei!V37</f>
        <v/>
      </c>
      <c r="W37" s="325" t="str">
        <f>IFERROR(VLOOKUP(V37, Tarieven!$A$2:$J$150, 10, FALSE), "0")</f>
        <v>0</v>
      </c>
      <c r="X37" s="138">
        <f>Mei!X37</f>
        <v>4</v>
      </c>
      <c r="Y37" s="398">
        <v>0.0</v>
      </c>
      <c r="Z37" s="329">
        <f t="shared" si="3"/>
        <v>11</v>
      </c>
      <c r="AA37" s="32">
        <f t="shared" si="4"/>
        <v>80.1</v>
      </c>
      <c r="AB37" s="32">
        <f t="shared" si="5"/>
        <v>214.55</v>
      </c>
      <c r="AC37" s="32">
        <f t="shared" si="6"/>
        <v>134.45</v>
      </c>
    </row>
    <row r="38" ht="22.5" customHeight="1">
      <c r="A38" s="331" t="str">
        <f>Rooster!A39</f>
        <v>Zaterdag</v>
      </c>
      <c r="B38" s="396">
        <f>Rooster!B39</f>
        <v>0.4166666667</v>
      </c>
      <c r="C38" s="15">
        <f>Rooster!C39</f>
        <v>60</v>
      </c>
      <c r="D38" s="11" t="str">
        <f>Rooster!D39</f>
        <v>Peuters</v>
      </c>
      <c r="E38" s="77">
        <v>3.0</v>
      </c>
      <c r="F38" s="327" t="str">
        <f>Rooster!E39</f>
        <v>Tess</v>
      </c>
      <c r="G38" s="319">
        <f>IFERROR(VLOOKUP(F38, Docenten!$A$2:$G$30, 7, FALSE), "0")</f>
        <v>17.5</v>
      </c>
      <c r="H38" s="320">
        <f t="shared" si="1"/>
        <v>17.5</v>
      </c>
      <c r="I38" s="327" t="str">
        <f>Rooster!H39</f>
        <v>Santpoort Zuid</v>
      </c>
      <c r="J38" s="321">
        <f>IFERROR(VLOOKUP(I38, Locaties!$A$2:$G$15, 7, FALSE), "0")</f>
        <v>18.9</v>
      </c>
      <c r="K38" s="42">
        <f t="shared" si="2"/>
        <v>18.9</v>
      </c>
      <c r="L38" s="427" t="str">
        <f>Mei!L38</f>
        <v/>
      </c>
      <c r="M38" s="428" t="str">
        <f>Mei!M38</f>
        <v/>
      </c>
      <c r="N38" s="321" t="str">
        <f>IFERROR(VLOOKUP(M38, Tarieven!$A$1:$J$150, 10, FALSE), "0")</f>
        <v>0</v>
      </c>
      <c r="O38" s="427" t="str">
        <f>Mei!O38</f>
        <v/>
      </c>
      <c r="P38" s="428" t="str">
        <f>Mei!P38</f>
        <v/>
      </c>
      <c r="Q38" s="325" t="str">
        <f>IFERROR(VLOOKUP(P38, Tarieven!$A$2:$J$150, 10, FALSE), "0")</f>
        <v>0</v>
      </c>
      <c r="R38" s="444" t="str">
        <f>Mei!R38</f>
        <v/>
      </c>
      <c r="S38" s="428" t="str">
        <f>Mei!S38</f>
        <v/>
      </c>
      <c r="T38" s="325" t="str">
        <f>IFERROR(VLOOKUP(S38, Tarieven!$A$2:$J$150, 10, FALSE), "0")</f>
        <v>0</v>
      </c>
      <c r="U38" s="77" t="str">
        <f>Mei!U38</f>
        <v/>
      </c>
      <c r="V38" s="327" t="str">
        <f>Mei!V38</f>
        <v/>
      </c>
      <c r="W38" s="325" t="str">
        <f>IFERROR(VLOOKUP(V38, Tarieven!$A$2:$J$150, 10, FALSE), "0")</f>
        <v>0</v>
      </c>
      <c r="X38" s="138">
        <f>Mei!X38</f>
        <v>0</v>
      </c>
      <c r="Y38" s="398">
        <v>0.0</v>
      </c>
      <c r="Z38" s="329">
        <f t="shared" si="3"/>
        <v>0</v>
      </c>
      <c r="AA38" s="32">
        <f t="shared" si="4"/>
        <v>109.2</v>
      </c>
      <c r="AB38" s="32">
        <f t="shared" si="5"/>
        <v>0</v>
      </c>
      <c r="AC38" s="32">
        <f t="shared" si="6"/>
        <v>-109.2</v>
      </c>
    </row>
    <row r="39" ht="22.5" customHeight="1">
      <c r="A39" s="331" t="str">
        <f>Rooster!A40</f>
        <v>Zaterdag</v>
      </c>
      <c r="B39" s="396">
        <f>Rooster!B40</f>
        <v>0.4479166667</v>
      </c>
      <c r="C39" s="15">
        <f>Rooster!C40</f>
        <v>60</v>
      </c>
      <c r="D39" s="11" t="str">
        <f>Rooster!D40</f>
        <v>Kleuters</v>
      </c>
      <c r="E39" s="77">
        <v>3.0</v>
      </c>
      <c r="F39" s="327" t="str">
        <f>Rooster!E40</f>
        <v>Tess</v>
      </c>
      <c r="G39" s="319">
        <f>IFERROR(VLOOKUP(F39, Docenten!$A$2:$G$30, 7, FALSE), "0")</f>
        <v>17.5</v>
      </c>
      <c r="H39" s="320">
        <f t="shared" si="1"/>
        <v>17.5</v>
      </c>
      <c r="I39" s="327" t="str">
        <f>Rooster!H40</f>
        <v>Santpoort Zuid</v>
      </c>
      <c r="J39" s="321">
        <f>IFERROR(VLOOKUP(I39, Locaties!$A$2:$G$15, 7, FALSE), "0")</f>
        <v>18.9</v>
      </c>
      <c r="K39" s="42">
        <f t="shared" si="2"/>
        <v>18.9</v>
      </c>
      <c r="L39" s="427">
        <f>Mei!L39</f>
        <v>9</v>
      </c>
      <c r="M39" s="428" t="str">
        <f>Mei!M39</f>
        <v>1x per week abbo</v>
      </c>
      <c r="N39" s="321">
        <f>IFERROR(VLOOKUP(M39, Tarieven!$A$1:$J$150, 10, FALSE), "0")</f>
        <v>31</v>
      </c>
      <c r="O39" s="427">
        <f>Mei!O39</f>
        <v>1</v>
      </c>
      <c r="P39" s="428" t="str">
        <f>Mei!P39</f>
        <v>Aangepast tarief</v>
      </c>
      <c r="Q39" s="325">
        <f>IFERROR(VLOOKUP(P39, Tarieven!$A$2:$J$150, 10, FALSE), "0")</f>
        <v>0</v>
      </c>
      <c r="R39" s="444">
        <f>Mei!R39</f>
        <v>1</v>
      </c>
      <c r="S39" s="428" t="str">
        <f>Mei!S39</f>
        <v>1x per week </v>
      </c>
      <c r="T39" s="325">
        <f>IFERROR(VLOOKUP(S39, Tarieven!$A$2:$J$150, 10, FALSE), "0")</f>
        <v>279</v>
      </c>
      <c r="U39" s="77">
        <f>Mei!U39</f>
        <v>1</v>
      </c>
      <c r="V39" s="327" t="str">
        <f>Mei!V39</f>
        <v>Aangepast tarief</v>
      </c>
      <c r="W39" s="325">
        <f>IFERROR(VLOOKUP(V39, Tarieven!$A$2:$J$150, 10, FALSE), "0")</f>
        <v>0</v>
      </c>
      <c r="X39" s="138">
        <f>Mei!X39</f>
        <v>0</v>
      </c>
      <c r="Y39" s="398">
        <v>0.0</v>
      </c>
      <c r="Z39" s="329">
        <f t="shared" si="3"/>
        <v>12</v>
      </c>
      <c r="AA39" s="32">
        <f t="shared" si="4"/>
        <v>109.2</v>
      </c>
      <c r="AB39" s="32">
        <f t="shared" si="5"/>
        <v>558</v>
      </c>
      <c r="AC39" s="32">
        <f t="shared" si="6"/>
        <v>448.8</v>
      </c>
    </row>
    <row r="40" ht="22.5" customHeight="1">
      <c r="A40" s="331" t="str">
        <f>Rooster!A41</f>
        <v/>
      </c>
      <c r="B40" s="396" t="str">
        <f>Rooster!B41</f>
        <v/>
      </c>
      <c r="C40" s="15" t="str">
        <f>Rooster!C41</f>
        <v/>
      </c>
      <c r="D40" s="11" t="str">
        <f>Rooster!D41</f>
        <v/>
      </c>
      <c r="E40" s="77"/>
      <c r="F40" s="327" t="str">
        <f>Rooster!E41</f>
        <v/>
      </c>
      <c r="G40" s="319" t="str">
        <f>IFERROR(VLOOKUP(F40, Docenten!$A$2:$G$30, 7, FALSE), "0")</f>
        <v>0</v>
      </c>
      <c r="H40" s="320">
        <f t="shared" si="1"/>
        <v>0</v>
      </c>
      <c r="I40" s="327" t="str">
        <f>Rooster!H41</f>
        <v/>
      </c>
      <c r="J40" s="321" t="str">
        <f>IFERROR(VLOOKUP(I40, Locaties!$A$2:$G$15, 7, FALSE), "0")</f>
        <v>0</v>
      </c>
      <c r="K40" s="42">
        <f t="shared" si="2"/>
        <v>0</v>
      </c>
      <c r="L40" s="427" t="str">
        <f>Mei!L40</f>
        <v/>
      </c>
      <c r="M40" s="428" t="str">
        <f>Mei!M40</f>
        <v/>
      </c>
      <c r="N40" s="321" t="str">
        <f>IFERROR(VLOOKUP(M40, Tarieven!$A$1:$J$150, 10, FALSE), "0")</f>
        <v>0</v>
      </c>
      <c r="O40" s="427" t="str">
        <f>Mei!O40</f>
        <v/>
      </c>
      <c r="P40" s="428" t="str">
        <f>Mei!P40</f>
        <v/>
      </c>
      <c r="Q40" s="325" t="str">
        <f>IFERROR(VLOOKUP(P40, Tarieven!$A$2:$J$150, 10, FALSE), "0")</f>
        <v>0</v>
      </c>
      <c r="R40" s="444" t="str">
        <f>Mei!R40</f>
        <v/>
      </c>
      <c r="S40" s="428" t="str">
        <f>Mei!S40</f>
        <v/>
      </c>
      <c r="T40" s="325" t="str">
        <f>IFERROR(VLOOKUP(S40, Tarieven!$A$2:$J$150, 10, FALSE), "0")</f>
        <v>0</v>
      </c>
      <c r="U40" s="77" t="str">
        <f>Mei!U40</f>
        <v/>
      </c>
      <c r="V40" s="327" t="str">
        <f>Mei!V40</f>
        <v/>
      </c>
      <c r="W40" s="325" t="str">
        <f>IFERROR(VLOOKUP(V40, Tarieven!$A$2:$J$150, 10, FALSE), "0")</f>
        <v>0</v>
      </c>
      <c r="X40" s="138">
        <f>Mei!X40</f>
        <v>0</v>
      </c>
      <c r="Y40" s="398">
        <v>0.0</v>
      </c>
      <c r="Z40" s="329">
        <f t="shared" si="3"/>
        <v>0</v>
      </c>
      <c r="AA40" s="32">
        <f t="shared" si="4"/>
        <v>0</v>
      </c>
      <c r="AB40" s="32">
        <f t="shared" si="5"/>
        <v>0</v>
      </c>
      <c r="AC40" s="32">
        <f t="shared" si="6"/>
        <v>0</v>
      </c>
    </row>
    <row r="41" ht="22.5" customHeight="1">
      <c r="A41" s="331" t="str">
        <f>Rooster!A42</f>
        <v/>
      </c>
      <c r="B41" s="396" t="str">
        <f>Rooster!B42</f>
        <v/>
      </c>
      <c r="C41" s="15" t="str">
        <f>Rooster!C42</f>
        <v/>
      </c>
      <c r="D41" s="11" t="str">
        <f>Rooster!D42</f>
        <v/>
      </c>
      <c r="E41" s="77"/>
      <c r="F41" s="327" t="str">
        <f>Rooster!E42</f>
        <v/>
      </c>
      <c r="G41" s="319" t="str">
        <f>IFERROR(VLOOKUP(F41, Docenten!$A$2:$G$30, 7, FALSE), "0")</f>
        <v>0</v>
      </c>
      <c r="H41" s="320">
        <f t="shared" si="1"/>
        <v>0</v>
      </c>
      <c r="I41" s="327" t="str">
        <f>Rooster!H42</f>
        <v/>
      </c>
      <c r="J41" s="321" t="str">
        <f>IFERROR(VLOOKUP(I41, Locaties!$A$2:$G$15, 7, FALSE), "0")</f>
        <v>0</v>
      </c>
      <c r="K41" s="42">
        <f t="shared" si="2"/>
        <v>0</v>
      </c>
      <c r="L41" s="427" t="str">
        <f>Mei!L41</f>
        <v/>
      </c>
      <c r="M41" s="428" t="str">
        <f>Mei!M41</f>
        <v/>
      </c>
      <c r="N41" s="321" t="str">
        <f>IFERROR(VLOOKUP(M41, Tarieven!$A$1:$J$150, 10, FALSE), "0")</f>
        <v>0</v>
      </c>
      <c r="O41" s="427" t="str">
        <f>Mei!O41</f>
        <v/>
      </c>
      <c r="P41" s="428" t="str">
        <f>Mei!P41</f>
        <v/>
      </c>
      <c r="Q41" s="325" t="str">
        <f>IFERROR(VLOOKUP(P41, Tarieven!$A$2:$J$150, 10, FALSE), "0")</f>
        <v>0</v>
      </c>
      <c r="R41" s="444" t="str">
        <f>Mei!R41</f>
        <v/>
      </c>
      <c r="S41" s="428" t="str">
        <f>Mei!S41</f>
        <v/>
      </c>
      <c r="T41" s="325" t="str">
        <f>IFERROR(VLOOKUP(S41, Tarieven!$A$2:$J$150, 10, FALSE), "0")</f>
        <v>0</v>
      </c>
      <c r="U41" s="77" t="str">
        <f>Mei!U41</f>
        <v/>
      </c>
      <c r="V41" s="327" t="str">
        <f>Mei!V41</f>
        <v/>
      </c>
      <c r="W41" s="325" t="str">
        <f>IFERROR(VLOOKUP(V41, Tarieven!$A$2:$J$150, 10, FALSE), "0")</f>
        <v>0</v>
      </c>
      <c r="X41" s="138">
        <f>Mei!X41</f>
        <v>0</v>
      </c>
      <c r="Y41" s="398">
        <v>0.0</v>
      </c>
      <c r="Z41" s="329">
        <f t="shared" si="3"/>
        <v>0</v>
      </c>
      <c r="AA41" s="32">
        <f t="shared" si="4"/>
        <v>0</v>
      </c>
      <c r="AB41" s="32">
        <f t="shared" si="5"/>
        <v>0</v>
      </c>
      <c r="AC41" s="32">
        <f t="shared" si="6"/>
        <v>0</v>
      </c>
    </row>
    <row r="42" ht="22.5" customHeight="1">
      <c r="A42" s="331" t="str">
        <f>Rooster!A43</f>
        <v>Maandag</v>
      </c>
      <c r="B42" s="396">
        <f>Rooster!B43</f>
        <v>0.3958333333</v>
      </c>
      <c r="C42" s="15">
        <f>Rooster!C43</f>
        <v>60</v>
      </c>
      <c r="D42" s="11" t="str">
        <f>Rooster!D43</f>
        <v>Kinderopvang</v>
      </c>
      <c r="E42" s="77">
        <v>4.0</v>
      </c>
      <c r="F42" s="327" t="str">
        <f>Rooster!E43</f>
        <v>Opvang T</v>
      </c>
      <c r="G42" s="319">
        <f>IFERROR(VLOOKUP(F42, Docenten!$A$2:$G$30, 7, FALSE), "0")</f>
        <v>45</v>
      </c>
      <c r="H42" s="320">
        <f t="shared" si="1"/>
        <v>45</v>
      </c>
      <c r="I42" s="327" t="str">
        <f>Rooster!H43</f>
        <v/>
      </c>
      <c r="J42" s="321" t="str">
        <f>IFERROR(VLOOKUP(I42, Locaties!$A$2:$G$15, 7, FALSE), "0")</f>
        <v>0</v>
      </c>
      <c r="K42" s="42">
        <f t="shared" si="2"/>
        <v>0</v>
      </c>
      <c r="L42" s="427">
        <f>Mei!L42</f>
        <v>1</v>
      </c>
      <c r="M42" s="428" t="str">
        <f>Mei!M42</f>
        <v>Aangepast tarief</v>
      </c>
      <c r="N42" s="442">
        <v>400.0</v>
      </c>
      <c r="O42" s="427" t="str">
        <f>Mei!O42</f>
        <v/>
      </c>
      <c r="P42" s="428" t="str">
        <f>Mei!P42</f>
        <v/>
      </c>
      <c r="Q42" s="325" t="str">
        <f>IFERROR(VLOOKUP(P42, Tarieven!$A$2:$J$150, 10, FALSE), "0")</f>
        <v>0</v>
      </c>
      <c r="R42" s="444" t="str">
        <f>Mei!R42</f>
        <v/>
      </c>
      <c r="S42" s="428" t="str">
        <f>Mei!S42</f>
        <v/>
      </c>
      <c r="T42" s="325" t="str">
        <f>IFERROR(VLOOKUP(S42, Tarieven!$A$2:$J$150, 10, FALSE), "0")</f>
        <v>0</v>
      </c>
      <c r="U42" s="77" t="str">
        <f>Mei!U42</f>
        <v/>
      </c>
      <c r="V42" s="327" t="str">
        <f>Mei!V42</f>
        <v/>
      </c>
      <c r="W42" s="325" t="str">
        <f>IFERROR(VLOOKUP(V42, Tarieven!$A$2:$J$150, 10, FALSE), "0")</f>
        <v>0</v>
      </c>
      <c r="X42" s="138">
        <f>Mei!X42</f>
        <v>0</v>
      </c>
      <c r="Y42" s="398">
        <v>0.0</v>
      </c>
      <c r="Z42" s="329">
        <f t="shared" si="3"/>
        <v>1</v>
      </c>
      <c r="AA42" s="32">
        <f t="shared" si="4"/>
        <v>180</v>
      </c>
      <c r="AB42" s="32">
        <f t="shared" si="5"/>
        <v>400</v>
      </c>
      <c r="AC42" s="32">
        <f t="shared" si="6"/>
        <v>220</v>
      </c>
    </row>
    <row r="43" ht="22.5" customHeight="1">
      <c r="A43" s="331" t="str">
        <f>Rooster!A44</f>
        <v>Vrijdag</v>
      </c>
      <c r="B43" s="396">
        <f>Rooster!B44</f>
        <v>0.7916666667</v>
      </c>
      <c r="C43" s="15">
        <v>60.0</v>
      </c>
      <c r="D43" s="11" t="str">
        <f>Rooster!D44</f>
        <v>Prive training</v>
      </c>
      <c r="E43" s="77"/>
      <c r="F43" s="327"/>
      <c r="G43" s="319"/>
      <c r="H43" s="320"/>
      <c r="I43" s="70"/>
      <c r="J43" s="321" t="str">
        <f>IFERROR(VLOOKUP(I43, Locaties!$A$2:$G$15, 7, FALSE), "0")</f>
        <v>0</v>
      </c>
      <c r="K43" s="42">
        <f t="shared" si="2"/>
        <v>0</v>
      </c>
      <c r="L43" s="427" t="str">
        <f>Mei!L43</f>
        <v/>
      </c>
      <c r="M43" s="428" t="str">
        <f>Mei!M43</f>
        <v/>
      </c>
      <c r="N43" s="321" t="str">
        <f>IFERROR(VLOOKUP(M43, Tarieven!$A$1:$J$150, 10, FALSE), "0")</f>
        <v>0</v>
      </c>
      <c r="O43" s="427" t="str">
        <f>Mei!O43</f>
        <v/>
      </c>
      <c r="P43" s="428" t="str">
        <f>Mei!P43</f>
        <v/>
      </c>
      <c r="Q43" s="325" t="str">
        <f>IFERROR(VLOOKUP(P43, Tarieven!$A$2:$J$150, 10, FALSE), "0")</f>
        <v>0</v>
      </c>
      <c r="R43" s="444" t="str">
        <f>Mei!R43</f>
        <v/>
      </c>
      <c r="S43" s="428" t="str">
        <f>Mei!S43</f>
        <v/>
      </c>
      <c r="T43" s="325" t="str">
        <f>IFERROR(VLOOKUP(S43, Tarieven!$A$2:$J$150, 10, FALSE), "0")</f>
        <v>0</v>
      </c>
      <c r="U43" s="77" t="str">
        <f>Mei!U43</f>
        <v/>
      </c>
      <c r="V43" s="327" t="str">
        <f>Mei!V43</f>
        <v/>
      </c>
      <c r="W43" s="325" t="str">
        <f>IFERROR(VLOOKUP(V43, Tarieven!$A$2:$J$150, 10, FALSE), "0")</f>
        <v>0</v>
      </c>
      <c r="X43" s="138">
        <f>Mei!X43</f>
        <v>0</v>
      </c>
      <c r="Y43" s="398">
        <v>0.0</v>
      </c>
      <c r="Z43" s="329">
        <f t="shared" si="3"/>
        <v>0</v>
      </c>
      <c r="AA43" s="32">
        <f t="shared" si="4"/>
        <v>0</v>
      </c>
      <c r="AB43" s="32">
        <f t="shared" si="5"/>
        <v>0</v>
      </c>
      <c r="AC43" s="32">
        <f t="shared" si="6"/>
        <v>0</v>
      </c>
    </row>
    <row r="44" ht="22.5" customHeight="1">
      <c r="A44" s="331" t="str">
        <f>Rooster!A45</f>
        <v>Zaterdag</v>
      </c>
      <c r="B44" s="396">
        <f>Rooster!B45</f>
        <v>0.5625</v>
      </c>
      <c r="C44" s="15">
        <v>60.0</v>
      </c>
      <c r="D44" s="11" t="str">
        <f>Rooster!D45</f>
        <v>Prive training</v>
      </c>
      <c r="E44" s="77"/>
      <c r="F44" s="327"/>
      <c r="G44" s="319"/>
      <c r="H44" s="320"/>
      <c r="I44" s="70"/>
      <c r="J44" s="321" t="str">
        <f>IFERROR(VLOOKUP(I44, Locaties!$A$2:$G$15, 7, FALSE), "0")</f>
        <v>0</v>
      </c>
      <c r="K44" s="42">
        <f t="shared" si="2"/>
        <v>0</v>
      </c>
      <c r="L44" s="427" t="str">
        <f>Mei!L44</f>
        <v/>
      </c>
      <c r="M44" s="428" t="str">
        <f>Mei!M44</f>
        <v/>
      </c>
      <c r="N44" s="321" t="str">
        <f>IFERROR(VLOOKUP(M44, Tarieven!$A$1:$J$150, 10, FALSE), "0")</f>
        <v>0</v>
      </c>
      <c r="O44" s="427" t="str">
        <f>Mei!O44</f>
        <v/>
      </c>
      <c r="P44" s="428" t="str">
        <f>Mei!P44</f>
        <v/>
      </c>
      <c r="Q44" s="325" t="str">
        <f>IFERROR(VLOOKUP(P44, Tarieven!$A$2:$J$150, 10, FALSE), "0")</f>
        <v>0</v>
      </c>
      <c r="R44" s="444" t="str">
        <f>Mei!R44</f>
        <v/>
      </c>
      <c r="S44" s="428" t="str">
        <f>Mei!S44</f>
        <v/>
      </c>
      <c r="T44" s="325" t="str">
        <f>IFERROR(VLOOKUP(S44, Tarieven!$A$2:$J$150, 10, FALSE), "0")</f>
        <v>0</v>
      </c>
      <c r="U44" s="77" t="str">
        <f>Mei!U44</f>
        <v/>
      </c>
      <c r="V44" s="327" t="str">
        <f>Mei!V44</f>
        <v/>
      </c>
      <c r="W44" s="325" t="str">
        <f>IFERROR(VLOOKUP(V44, Tarieven!$A$2:$J$150, 10, FALSE), "0")</f>
        <v>0</v>
      </c>
      <c r="X44" s="138">
        <f>Mei!X44</f>
        <v>0</v>
      </c>
      <c r="Y44" s="398">
        <v>0.0</v>
      </c>
      <c r="Z44" s="329">
        <f t="shared" si="3"/>
        <v>0</v>
      </c>
      <c r="AA44" s="32">
        <f t="shared" si="4"/>
        <v>0</v>
      </c>
      <c r="AB44" s="32">
        <f t="shared" si="5"/>
        <v>0</v>
      </c>
      <c r="AC44" s="32">
        <f t="shared" si="6"/>
        <v>0</v>
      </c>
    </row>
    <row r="45" ht="22.5" customHeight="1">
      <c r="A45" s="331" t="str">
        <f>Rooster!A46</f>
        <v/>
      </c>
      <c r="B45" s="396" t="str">
        <f>Rooster!B46</f>
        <v/>
      </c>
      <c r="C45" s="15" t="str">
        <f>Rooster!C46</f>
        <v/>
      </c>
      <c r="D45" s="11" t="str">
        <f>Rooster!D46</f>
        <v/>
      </c>
      <c r="E45" s="77"/>
      <c r="F45" s="327" t="str">
        <f>Rooster!E46</f>
        <v/>
      </c>
      <c r="G45" s="319" t="str">
        <f>IFERROR(VLOOKUP(F45, Docenten!$A$2:$G$30, 7, FALSE), "0")</f>
        <v>0</v>
      </c>
      <c r="H45" s="320">
        <f t="shared" ref="H45:H101" si="7">SUM(G45/60)*C45</f>
        <v>0</v>
      </c>
      <c r="I45" s="327" t="str">
        <f>Rooster!H46</f>
        <v/>
      </c>
      <c r="J45" s="321" t="str">
        <f>IFERROR(VLOOKUP(I45, Locaties!$A$2:$G$15, 7, FALSE), "0")</f>
        <v>0</v>
      </c>
      <c r="K45" s="42">
        <f t="shared" si="2"/>
        <v>0</v>
      </c>
      <c r="L45" s="427" t="str">
        <f>Mei!L45</f>
        <v/>
      </c>
      <c r="M45" s="428" t="str">
        <f>Mei!M45</f>
        <v/>
      </c>
      <c r="N45" s="321" t="str">
        <f>IFERROR(VLOOKUP(M45, Tarieven!$A$1:$J$150, 10, FALSE), "0")</f>
        <v>0</v>
      </c>
      <c r="O45" s="427" t="str">
        <f>Mei!O45</f>
        <v/>
      </c>
      <c r="P45" s="428" t="str">
        <f>Mei!P45</f>
        <v/>
      </c>
      <c r="Q45" s="325" t="str">
        <f>IFERROR(VLOOKUP(P45, Tarieven!$A$2:$J$150, 10, FALSE), "0")</f>
        <v>0</v>
      </c>
      <c r="R45" s="444" t="str">
        <f>Mei!R45</f>
        <v/>
      </c>
      <c r="S45" s="428" t="str">
        <f>Mei!S45</f>
        <v/>
      </c>
      <c r="T45" s="325" t="str">
        <f>IFERROR(VLOOKUP(S45, Tarieven!$A$2:$J$150, 10, FALSE), "0")</f>
        <v>0</v>
      </c>
      <c r="U45" s="77" t="str">
        <f>Mei!U45</f>
        <v/>
      </c>
      <c r="V45" s="327" t="str">
        <f>Mei!V45</f>
        <v/>
      </c>
      <c r="W45" s="325" t="str">
        <f>IFERROR(VLOOKUP(V45, Tarieven!$A$2:$J$150, 10, FALSE), "0")</f>
        <v>0</v>
      </c>
      <c r="X45" s="138">
        <f>Mei!X45</f>
        <v>0</v>
      </c>
      <c r="Y45" s="398">
        <v>0.0</v>
      </c>
      <c r="Z45" s="329">
        <f t="shared" si="3"/>
        <v>0</v>
      </c>
      <c r="AA45" s="32">
        <f t="shared" si="4"/>
        <v>0</v>
      </c>
      <c r="AB45" s="32">
        <f t="shared" si="5"/>
        <v>0</v>
      </c>
      <c r="AC45" s="32">
        <f t="shared" si="6"/>
        <v>0</v>
      </c>
    </row>
    <row r="46" ht="22.5" customHeight="1">
      <c r="A46" s="331" t="str">
        <f>Rooster!A47</f>
        <v/>
      </c>
      <c r="B46" s="396" t="str">
        <f>Rooster!B47</f>
        <v/>
      </c>
      <c r="C46" s="15" t="str">
        <f>Rooster!C47</f>
        <v/>
      </c>
      <c r="D46" s="11" t="str">
        <f>Rooster!D47</f>
        <v/>
      </c>
      <c r="E46" s="77"/>
      <c r="F46" s="327" t="str">
        <f>Rooster!E47</f>
        <v/>
      </c>
      <c r="G46" s="319" t="str">
        <f>IFERROR(VLOOKUP(F46, Docenten!$A$2:$G$30, 7, FALSE), "0")</f>
        <v>0</v>
      </c>
      <c r="H46" s="320">
        <f t="shared" si="7"/>
        <v>0</v>
      </c>
      <c r="I46" s="327" t="str">
        <f>Rooster!H47</f>
        <v/>
      </c>
      <c r="J46" s="321" t="str">
        <f>IFERROR(VLOOKUP(I46, Locaties!$A$2:$G$15, 7, FALSE), "0")</f>
        <v>0</v>
      </c>
      <c r="K46" s="42">
        <f t="shared" si="2"/>
        <v>0</v>
      </c>
      <c r="L46" s="427" t="str">
        <f>Mei!L46</f>
        <v/>
      </c>
      <c r="M46" s="428" t="str">
        <f>Mei!M46</f>
        <v/>
      </c>
      <c r="N46" s="321" t="str">
        <f>IFERROR(VLOOKUP(M46, Tarieven!$A$1:$J$150, 10, FALSE), "0")</f>
        <v>0</v>
      </c>
      <c r="O46" s="427" t="str">
        <f>Mei!O46</f>
        <v/>
      </c>
      <c r="P46" s="428" t="str">
        <f>Mei!P46</f>
        <v/>
      </c>
      <c r="Q46" s="325" t="str">
        <f>IFERROR(VLOOKUP(P46, Tarieven!$A$2:$J$150, 10, FALSE), "0")</f>
        <v>0</v>
      </c>
      <c r="R46" s="444" t="str">
        <f>Mei!R46</f>
        <v/>
      </c>
      <c r="S46" s="428" t="str">
        <f>Mei!S46</f>
        <v/>
      </c>
      <c r="T46" s="325" t="str">
        <f>IFERROR(VLOOKUP(S46, Tarieven!$A$2:$J$150, 10, FALSE), "0")</f>
        <v>0</v>
      </c>
      <c r="U46" s="77" t="str">
        <f>Mei!U46</f>
        <v/>
      </c>
      <c r="V46" s="327" t="str">
        <f>Mei!V46</f>
        <v/>
      </c>
      <c r="W46" s="325" t="str">
        <f>IFERROR(VLOOKUP(V46, Tarieven!$A$2:$J$150, 10, FALSE), "0")</f>
        <v>0</v>
      </c>
      <c r="X46" s="138">
        <f>Mei!X46</f>
        <v>0</v>
      </c>
      <c r="Y46" s="398">
        <v>0.0</v>
      </c>
      <c r="Z46" s="329">
        <f t="shared" si="3"/>
        <v>0</v>
      </c>
      <c r="AA46" s="32">
        <f t="shared" si="4"/>
        <v>0</v>
      </c>
      <c r="AB46" s="32">
        <f t="shared" si="5"/>
        <v>0</v>
      </c>
      <c r="AC46" s="32">
        <f t="shared" si="6"/>
        <v>0</v>
      </c>
    </row>
    <row r="47" ht="22.5" customHeight="1">
      <c r="A47" s="331" t="str">
        <f>Rooster!A48</f>
        <v>Donderdag</v>
      </c>
      <c r="B47" s="396">
        <f>Rooster!B48</f>
        <v>0.75</v>
      </c>
      <c r="C47" s="15">
        <f>Rooster!C48</f>
        <v>60</v>
      </c>
      <c r="D47" s="11" t="str">
        <f>Rooster!D48</f>
        <v>Turnen 6+</v>
      </c>
      <c r="E47" s="77">
        <v>4.0</v>
      </c>
      <c r="F47" s="327" t="str">
        <f>Rooster!E48</f>
        <v>Dion + 3</v>
      </c>
      <c r="G47" s="319">
        <f>IFERROR(VLOOKUP(F47, Docenten!$A$2:$G$30, 7, FALSE), "0")</f>
        <v>34</v>
      </c>
      <c r="H47" s="320">
        <f t="shared" si="7"/>
        <v>34</v>
      </c>
      <c r="I47" s="327" t="str">
        <f>Rooster!H48</f>
        <v>Santpoort Noord</v>
      </c>
      <c r="J47" s="321">
        <f>IFERROR(VLOOKUP(I47, Locaties!$A$2:$G$15, 7, FALSE), "0")</f>
        <v>14.2</v>
      </c>
      <c r="K47" s="42">
        <f t="shared" si="2"/>
        <v>14.2</v>
      </c>
      <c r="L47" s="427">
        <f>Mei!L47</f>
        <v>10</v>
      </c>
      <c r="M47" s="428" t="str">
        <f>Mei!M47</f>
        <v>Aangepast tarief</v>
      </c>
      <c r="N47" s="321">
        <f>IFERROR(VLOOKUP(M47, Tarieven!$A$1:$J$150, 10, FALSE), "0")</f>
        <v>0</v>
      </c>
      <c r="O47" s="427">
        <f>Mei!O47</f>
        <v>1</v>
      </c>
      <c r="P47" s="428" t="str">
        <f>Mei!P47</f>
        <v>Aangepast tarief</v>
      </c>
      <c r="Q47" s="325">
        <f>IFERROR(VLOOKUP(P47, Tarieven!$A$2:$J$150, 10, FALSE), "0")</f>
        <v>0</v>
      </c>
      <c r="R47" s="444" t="str">
        <f>Mei!R47</f>
        <v/>
      </c>
      <c r="S47" s="428" t="str">
        <f>Mei!S47</f>
        <v/>
      </c>
      <c r="T47" s="325" t="str">
        <f>IFERROR(VLOOKUP(S47, Tarieven!$A$2:$J$150, 10, FALSE), "0")</f>
        <v>0</v>
      </c>
      <c r="U47" s="77" t="str">
        <f>Mei!U47</f>
        <v/>
      </c>
      <c r="V47" s="327" t="str">
        <f>Mei!V47</f>
        <v/>
      </c>
      <c r="W47" s="325" t="str">
        <f>IFERROR(VLOOKUP(V47, Tarieven!$A$2:$J$150, 10, FALSE), "0")</f>
        <v>0</v>
      </c>
      <c r="X47" s="138">
        <f>Mei!X47</f>
        <v>0</v>
      </c>
      <c r="Y47" s="398">
        <v>0.0</v>
      </c>
      <c r="Z47" s="329">
        <f t="shared" si="3"/>
        <v>11</v>
      </c>
      <c r="AA47" s="32">
        <f t="shared" si="4"/>
        <v>192.8</v>
      </c>
      <c r="AB47" s="32">
        <f t="shared" si="5"/>
        <v>0</v>
      </c>
      <c r="AC47" s="32">
        <f t="shared" si="6"/>
        <v>-192.8</v>
      </c>
    </row>
    <row r="48" ht="22.5" customHeight="1">
      <c r="A48" s="331" t="str">
        <f>Rooster!A49</f>
        <v>Donderdag</v>
      </c>
      <c r="B48" s="396">
        <f>Rooster!B49</f>
        <v>0.7916666667</v>
      </c>
      <c r="C48" s="15">
        <f>Rooster!C49</f>
        <v>60</v>
      </c>
      <c r="D48" s="11" t="str">
        <f>Rooster!D49</f>
        <v>Turnen 12+</v>
      </c>
      <c r="E48" s="77">
        <v>4.0</v>
      </c>
      <c r="F48" s="327" t="str">
        <f>Rooster!E49</f>
        <v>Dion + 3</v>
      </c>
      <c r="G48" s="319">
        <f>IFERROR(VLOOKUP(F48, Docenten!$A$2:$G$30, 7, FALSE), "0")</f>
        <v>34</v>
      </c>
      <c r="H48" s="320">
        <f t="shared" si="7"/>
        <v>34</v>
      </c>
      <c r="I48" s="327" t="str">
        <f>Rooster!H49</f>
        <v>Santpoort Noord</v>
      </c>
      <c r="J48" s="321">
        <f>IFERROR(VLOOKUP(I48, Locaties!$A$2:$G$15, 7, FALSE), "0")</f>
        <v>14.2</v>
      </c>
      <c r="K48" s="42">
        <f t="shared" si="2"/>
        <v>14.2</v>
      </c>
      <c r="L48" s="427">
        <f>Mei!L48</f>
        <v>6</v>
      </c>
      <c r="M48" s="428" t="str">
        <f>Mei!M48</f>
        <v>Aangepast tarief</v>
      </c>
      <c r="N48" s="321">
        <f>IFERROR(VLOOKUP(M48, Tarieven!$A$1:$J$150, 10, FALSE), "0")</f>
        <v>0</v>
      </c>
      <c r="O48" s="427">
        <f>Mei!O48</f>
        <v>2</v>
      </c>
      <c r="P48" s="428" t="str">
        <f>Mei!P48</f>
        <v>Aangepast tarief</v>
      </c>
      <c r="Q48" s="325">
        <f>IFERROR(VLOOKUP(P48, Tarieven!$A$2:$J$150, 10, FALSE), "0")</f>
        <v>0</v>
      </c>
      <c r="R48" s="444" t="str">
        <f>Mei!R48</f>
        <v/>
      </c>
      <c r="S48" s="428" t="str">
        <f>Mei!S48</f>
        <v/>
      </c>
      <c r="T48" s="325" t="str">
        <f>IFERROR(VLOOKUP(S48, Tarieven!$A$2:$J$150, 10, FALSE), "0")</f>
        <v>0</v>
      </c>
      <c r="U48" s="77" t="str">
        <f>Mei!U48</f>
        <v/>
      </c>
      <c r="V48" s="327" t="str">
        <f>Mei!V48</f>
        <v/>
      </c>
      <c r="W48" s="325" t="str">
        <f>IFERROR(VLOOKUP(V48, Tarieven!$A$2:$J$150, 10, FALSE), "0")</f>
        <v>0</v>
      </c>
      <c r="X48" s="138">
        <f>Mei!X48</f>
        <v>0</v>
      </c>
      <c r="Y48" s="398">
        <v>0.0</v>
      </c>
      <c r="Z48" s="329">
        <f t="shared" si="3"/>
        <v>8</v>
      </c>
      <c r="AA48" s="32">
        <f t="shared" si="4"/>
        <v>192.8</v>
      </c>
      <c r="AB48" s="32">
        <f t="shared" si="5"/>
        <v>0</v>
      </c>
      <c r="AC48" s="32">
        <f t="shared" si="6"/>
        <v>-192.8</v>
      </c>
    </row>
    <row r="49" ht="22.5" customHeight="1">
      <c r="A49" s="331" t="str">
        <f>Rooster!A50</f>
        <v/>
      </c>
      <c r="B49" s="396" t="str">
        <f>Rooster!B50</f>
        <v/>
      </c>
      <c r="C49" s="15" t="str">
        <f>Rooster!C50</f>
        <v/>
      </c>
      <c r="D49" s="11" t="str">
        <f>Rooster!D50</f>
        <v/>
      </c>
      <c r="E49" s="77"/>
      <c r="F49" s="327" t="str">
        <f>Rooster!E50</f>
        <v/>
      </c>
      <c r="G49" s="319" t="str">
        <f>IFERROR(VLOOKUP(F49, Docenten!$A$2:$G$30, 7, FALSE), "0")</f>
        <v>0</v>
      </c>
      <c r="H49" s="320">
        <f t="shared" si="7"/>
        <v>0</v>
      </c>
      <c r="I49" s="327" t="str">
        <f>Rooster!H50</f>
        <v/>
      </c>
      <c r="J49" s="321" t="str">
        <f>IFERROR(VLOOKUP(I49, Locaties!$A$2:$G$15, 7, FALSE), "0")</f>
        <v>0</v>
      </c>
      <c r="K49" s="42">
        <f t="shared" si="2"/>
        <v>0</v>
      </c>
      <c r="L49" s="427" t="str">
        <f>Mei!L49</f>
        <v/>
      </c>
      <c r="M49" s="428" t="str">
        <f>Mei!M49</f>
        <v/>
      </c>
      <c r="N49" s="321" t="str">
        <f>IFERROR(VLOOKUP(M49, Tarieven!$A$1:$J$150, 10, FALSE), "0")</f>
        <v>0</v>
      </c>
      <c r="O49" s="427" t="str">
        <f>Mei!O49</f>
        <v/>
      </c>
      <c r="P49" s="428" t="str">
        <f>Mei!P49</f>
        <v/>
      </c>
      <c r="Q49" s="325" t="str">
        <f>IFERROR(VLOOKUP(P49, Tarieven!$A$2:$J$150, 10, FALSE), "0")</f>
        <v>0</v>
      </c>
      <c r="R49" s="444" t="str">
        <f>Mei!R49</f>
        <v/>
      </c>
      <c r="S49" s="428" t="str">
        <f>Mei!S49</f>
        <v/>
      </c>
      <c r="T49" s="325" t="str">
        <f>IFERROR(VLOOKUP(S49, Tarieven!$A$2:$J$150, 10, FALSE), "0")</f>
        <v>0</v>
      </c>
      <c r="U49" s="77" t="str">
        <f>Mei!U49</f>
        <v/>
      </c>
      <c r="V49" s="327" t="str">
        <f>Mei!V49</f>
        <v/>
      </c>
      <c r="W49" s="325" t="str">
        <f>IFERROR(VLOOKUP(V49, Tarieven!$A$2:$J$150, 10, FALSE), "0")</f>
        <v>0</v>
      </c>
      <c r="X49" s="138">
        <f>Mei!X49</f>
        <v>0</v>
      </c>
      <c r="Y49" s="398">
        <v>0.0</v>
      </c>
      <c r="Z49" s="329">
        <f t="shared" si="3"/>
        <v>0</v>
      </c>
      <c r="AA49" s="32">
        <f t="shared" si="4"/>
        <v>0</v>
      </c>
      <c r="AB49" s="32">
        <f t="shared" si="5"/>
        <v>0</v>
      </c>
      <c r="AC49" s="32">
        <f t="shared" si="6"/>
        <v>0</v>
      </c>
    </row>
    <row r="50" ht="22.5" customHeight="1">
      <c r="A50" s="331" t="str">
        <f>Rooster!A51</f>
        <v/>
      </c>
      <c r="B50" s="396" t="str">
        <f>Rooster!B51</f>
        <v/>
      </c>
      <c r="C50" s="15" t="str">
        <f>Rooster!C51</f>
        <v/>
      </c>
      <c r="D50" s="11" t="str">
        <f>Rooster!D51</f>
        <v/>
      </c>
      <c r="E50" s="77"/>
      <c r="F50" s="327" t="str">
        <f>Rooster!E51</f>
        <v/>
      </c>
      <c r="G50" s="319" t="str">
        <f>IFERROR(VLOOKUP(F50, Docenten!$A$2:$G$30, 7, FALSE), "0")</f>
        <v>0</v>
      </c>
      <c r="H50" s="320">
        <f t="shared" si="7"/>
        <v>0</v>
      </c>
      <c r="I50" s="327" t="str">
        <f>Rooster!H51</f>
        <v/>
      </c>
      <c r="J50" s="321" t="str">
        <f>IFERROR(VLOOKUP(I50, Locaties!$A$2:$G$15, 7, FALSE), "0")</f>
        <v>0</v>
      </c>
      <c r="K50" s="42">
        <f t="shared" si="2"/>
        <v>0</v>
      </c>
      <c r="L50" s="427" t="str">
        <f>Mei!L50</f>
        <v/>
      </c>
      <c r="M50" s="428" t="str">
        <f>Mei!M50</f>
        <v/>
      </c>
      <c r="N50" s="321" t="str">
        <f>IFERROR(VLOOKUP(M50, Tarieven!$A$1:$J$150, 10, FALSE), "0")</f>
        <v>0</v>
      </c>
      <c r="O50" s="427" t="str">
        <f>Mei!O50</f>
        <v/>
      </c>
      <c r="P50" s="428" t="str">
        <f>Mei!P50</f>
        <v/>
      </c>
      <c r="Q50" s="325" t="str">
        <f>IFERROR(VLOOKUP(P50, Tarieven!$A$2:$J$150, 10, FALSE), "0")</f>
        <v>0</v>
      </c>
      <c r="R50" s="444" t="str">
        <f>Mei!R50</f>
        <v/>
      </c>
      <c r="S50" s="428" t="str">
        <f>Mei!S50</f>
        <v/>
      </c>
      <c r="T50" s="325" t="str">
        <f>IFERROR(VLOOKUP(S50, Tarieven!$A$2:$J$150, 10, FALSE), "0")</f>
        <v>0</v>
      </c>
      <c r="U50" s="77" t="str">
        <f>Mei!U50</f>
        <v/>
      </c>
      <c r="V50" s="327" t="str">
        <f>Mei!V50</f>
        <v/>
      </c>
      <c r="W50" s="325" t="str">
        <f>IFERROR(VLOOKUP(V50, Tarieven!$A$2:$J$150, 10, FALSE), "0")</f>
        <v>0</v>
      </c>
      <c r="X50" s="138">
        <f>Mei!X50</f>
        <v>0</v>
      </c>
      <c r="Y50" s="398">
        <v>0.0</v>
      </c>
      <c r="Z50" s="329">
        <f t="shared" si="3"/>
        <v>0</v>
      </c>
      <c r="AA50" s="32">
        <f t="shared" si="4"/>
        <v>0</v>
      </c>
      <c r="AB50" s="32">
        <f t="shared" si="5"/>
        <v>0</v>
      </c>
      <c r="AC50" s="32">
        <f t="shared" si="6"/>
        <v>0</v>
      </c>
    </row>
    <row r="51" ht="22.5" customHeight="1">
      <c r="A51" s="331" t="str">
        <f>Rooster!A52</f>
        <v/>
      </c>
      <c r="B51" s="396" t="str">
        <f>Rooster!B52</f>
        <v/>
      </c>
      <c r="C51" s="15" t="str">
        <f>Rooster!C52</f>
        <v/>
      </c>
      <c r="D51" s="11" t="str">
        <f>Rooster!D52</f>
        <v/>
      </c>
      <c r="E51" s="77"/>
      <c r="F51" s="327" t="str">
        <f>Rooster!E52</f>
        <v/>
      </c>
      <c r="G51" s="319" t="str">
        <f>IFERROR(VLOOKUP(F51, Docenten!$A$2:$G$30, 7, FALSE), "0")</f>
        <v>0</v>
      </c>
      <c r="H51" s="320">
        <f t="shared" si="7"/>
        <v>0</v>
      </c>
      <c r="I51" s="327" t="str">
        <f>Rooster!H52</f>
        <v/>
      </c>
      <c r="J51" s="321" t="str">
        <f>IFERROR(VLOOKUP(I51, Locaties!$A$2:$G$15, 7, FALSE), "0")</f>
        <v>0</v>
      </c>
      <c r="K51" s="42">
        <f t="shared" si="2"/>
        <v>0</v>
      </c>
      <c r="L51" s="427" t="str">
        <f>Mei!L51</f>
        <v/>
      </c>
      <c r="M51" s="428" t="str">
        <f>Mei!M51</f>
        <v/>
      </c>
      <c r="N51" s="321" t="str">
        <f>IFERROR(VLOOKUP(M51, Tarieven!$A$1:$J$150, 10, FALSE), "0")</f>
        <v>0</v>
      </c>
      <c r="O51" s="427" t="str">
        <f>Mei!O51</f>
        <v/>
      </c>
      <c r="P51" s="428" t="str">
        <f>Mei!P51</f>
        <v/>
      </c>
      <c r="Q51" s="325" t="str">
        <f>IFERROR(VLOOKUP(P51, Tarieven!$A$2:$J$150, 10, FALSE), "0")</f>
        <v>0</v>
      </c>
      <c r="R51" s="444" t="str">
        <f>Mei!R51</f>
        <v/>
      </c>
      <c r="S51" s="428" t="str">
        <f>Mei!S51</f>
        <v/>
      </c>
      <c r="T51" s="325" t="str">
        <f>IFERROR(VLOOKUP(S51, Tarieven!$A$2:$J$150, 10, FALSE), "0")</f>
        <v>0</v>
      </c>
      <c r="U51" s="77" t="str">
        <f>Mei!U51</f>
        <v/>
      </c>
      <c r="V51" s="327" t="str">
        <f>Mei!V51</f>
        <v/>
      </c>
      <c r="W51" s="325" t="str">
        <f>IFERROR(VLOOKUP(V51, Tarieven!$A$2:$J$150, 10, FALSE), "0")</f>
        <v>0</v>
      </c>
      <c r="X51" s="138">
        <f>Mei!X51</f>
        <v>0</v>
      </c>
      <c r="Y51" s="398">
        <v>0.0</v>
      </c>
      <c r="Z51" s="329">
        <f t="shared" si="3"/>
        <v>0</v>
      </c>
      <c r="AA51" s="32">
        <f t="shared" si="4"/>
        <v>0</v>
      </c>
      <c r="AB51" s="32">
        <f t="shared" si="5"/>
        <v>0</v>
      </c>
      <c r="AC51" s="32">
        <f t="shared" si="6"/>
        <v>0</v>
      </c>
    </row>
    <row r="52" ht="22.5" customHeight="1">
      <c r="A52" s="331" t="str">
        <f>Rooster!A53</f>
        <v/>
      </c>
      <c r="B52" s="396" t="str">
        <f>Rooster!B53</f>
        <v/>
      </c>
      <c r="C52" s="15" t="str">
        <f>Rooster!C53</f>
        <v/>
      </c>
      <c r="D52" s="11" t="str">
        <f>Rooster!D53</f>
        <v/>
      </c>
      <c r="E52" s="77"/>
      <c r="F52" s="327" t="str">
        <f>Rooster!E53</f>
        <v/>
      </c>
      <c r="G52" s="319" t="str">
        <f>IFERROR(VLOOKUP(F52, Docenten!$A$2:$G$30, 7, FALSE), "0")</f>
        <v>0</v>
      </c>
      <c r="H52" s="320">
        <f t="shared" si="7"/>
        <v>0</v>
      </c>
      <c r="I52" s="327" t="str">
        <f>Rooster!H53</f>
        <v/>
      </c>
      <c r="J52" s="321" t="str">
        <f>IFERROR(VLOOKUP(I52, Locaties!$A$2:$G$15, 7, FALSE), "0")</f>
        <v>0</v>
      </c>
      <c r="K52" s="42">
        <f t="shared" si="2"/>
        <v>0</v>
      </c>
      <c r="L52" s="427" t="str">
        <f>Mei!L52</f>
        <v/>
      </c>
      <c r="M52" s="428" t="str">
        <f>Mei!M52</f>
        <v/>
      </c>
      <c r="N52" s="321" t="str">
        <f>IFERROR(VLOOKUP(M52, Tarieven!$A$1:$J$150, 10, FALSE), "0")</f>
        <v>0</v>
      </c>
      <c r="O52" s="427" t="str">
        <f>Mei!O52</f>
        <v/>
      </c>
      <c r="P52" s="428" t="str">
        <f>Mei!P52</f>
        <v/>
      </c>
      <c r="Q52" s="325" t="str">
        <f>IFERROR(VLOOKUP(P52, Tarieven!$A$2:$J$150, 10, FALSE), "0")</f>
        <v>0</v>
      </c>
      <c r="R52" s="444" t="str">
        <f>Mei!R52</f>
        <v/>
      </c>
      <c r="S52" s="428" t="str">
        <f>Mei!S52</f>
        <v/>
      </c>
      <c r="T52" s="325" t="str">
        <f>IFERROR(VLOOKUP(S52, Tarieven!$A$2:$J$150, 10, FALSE), "0")</f>
        <v>0</v>
      </c>
      <c r="U52" s="77" t="str">
        <f>Mei!U52</f>
        <v/>
      </c>
      <c r="V52" s="327" t="str">
        <f>Mei!V52</f>
        <v/>
      </c>
      <c r="W52" s="325" t="str">
        <f>IFERROR(VLOOKUP(V52, Tarieven!$A$2:$J$150, 10, FALSE), "0")</f>
        <v>0</v>
      </c>
      <c r="X52" s="138">
        <f>Mei!X52</f>
        <v>0</v>
      </c>
      <c r="Y52" s="398">
        <v>0.0</v>
      </c>
      <c r="Z52" s="329">
        <f t="shared" si="3"/>
        <v>0</v>
      </c>
      <c r="AA52" s="32">
        <f t="shared" si="4"/>
        <v>0</v>
      </c>
      <c r="AB52" s="32">
        <f t="shared" si="5"/>
        <v>0</v>
      </c>
      <c r="AC52" s="32">
        <f t="shared" si="6"/>
        <v>0</v>
      </c>
    </row>
    <row r="53" ht="22.5" customHeight="1">
      <c r="A53" s="331" t="str">
        <f>Rooster!A54</f>
        <v/>
      </c>
      <c r="B53" s="396" t="str">
        <f>Rooster!B54</f>
        <v/>
      </c>
      <c r="C53" s="15" t="str">
        <f>Rooster!C54</f>
        <v/>
      </c>
      <c r="D53" s="11" t="str">
        <f>Rooster!D54</f>
        <v/>
      </c>
      <c r="E53" s="77"/>
      <c r="F53" s="327" t="str">
        <f>Rooster!E54</f>
        <v/>
      </c>
      <c r="G53" s="319" t="str">
        <f>IFERROR(VLOOKUP(F53, Docenten!$A$2:$G$30, 7, FALSE), "0")</f>
        <v>0</v>
      </c>
      <c r="H53" s="320">
        <f t="shared" si="7"/>
        <v>0</v>
      </c>
      <c r="I53" s="327" t="str">
        <f>Rooster!H54</f>
        <v/>
      </c>
      <c r="J53" s="321" t="str">
        <f>IFERROR(VLOOKUP(I53, Locaties!$A$2:$G$15, 7, FALSE), "0")</f>
        <v>0</v>
      </c>
      <c r="K53" s="42">
        <f t="shared" si="2"/>
        <v>0</v>
      </c>
      <c r="L53" s="427" t="str">
        <f>Mei!L53</f>
        <v/>
      </c>
      <c r="M53" s="428" t="str">
        <f>Mei!M53</f>
        <v/>
      </c>
      <c r="N53" s="321" t="str">
        <f>IFERROR(VLOOKUP(M53, Tarieven!$A$1:$J$150, 10, FALSE), "0")</f>
        <v>0</v>
      </c>
      <c r="O53" s="427" t="str">
        <f>Mei!O53</f>
        <v/>
      </c>
      <c r="P53" s="428" t="str">
        <f>Mei!P53</f>
        <v/>
      </c>
      <c r="Q53" s="325" t="str">
        <f>IFERROR(VLOOKUP(P53, Tarieven!$A$2:$J$150, 10, FALSE), "0")</f>
        <v>0</v>
      </c>
      <c r="R53" s="444" t="str">
        <f>Mei!R53</f>
        <v/>
      </c>
      <c r="S53" s="428" t="str">
        <f>Mei!S53</f>
        <v/>
      </c>
      <c r="T53" s="325" t="str">
        <f>IFERROR(VLOOKUP(S53, Tarieven!$A$2:$J$150, 10, FALSE), "0")</f>
        <v>0</v>
      </c>
      <c r="U53" s="77" t="str">
        <f>Mei!U53</f>
        <v/>
      </c>
      <c r="V53" s="327" t="str">
        <f>Mei!V53</f>
        <v/>
      </c>
      <c r="W53" s="325" t="str">
        <f>IFERROR(VLOOKUP(V53, Tarieven!$A$2:$J$150, 10, FALSE), "0")</f>
        <v>0</v>
      </c>
      <c r="X53" s="138">
        <f>Mei!X53</f>
        <v>0</v>
      </c>
      <c r="Y53" s="398">
        <v>0.0</v>
      </c>
      <c r="Z53" s="329">
        <f t="shared" si="3"/>
        <v>0</v>
      </c>
      <c r="AA53" s="32">
        <f t="shared" si="4"/>
        <v>0</v>
      </c>
      <c r="AB53" s="32">
        <f t="shared" si="5"/>
        <v>0</v>
      </c>
      <c r="AC53" s="32">
        <f t="shared" si="6"/>
        <v>0</v>
      </c>
    </row>
    <row r="54" ht="22.5" customHeight="1">
      <c r="A54" s="331" t="str">
        <f>Rooster!A55</f>
        <v/>
      </c>
      <c r="B54" s="396" t="str">
        <f>Rooster!B55</f>
        <v/>
      </c>
      <c r="C54" s="15" t="str">
        <f>Rooster!C55</f>
        <v/>
      </c>
      <c r="D54" s="11" t="str">
        <f>Rooster!D55</f>
        <v/>
      </c>
      <c r="E54" s="77"/>
      <c r="F54" s="327" t="str">
        <f>Rooster!E55</f>
        <v/>
      </c>
      <c r="G54" s="319" t="str">
        <f>IFERROR(VLOOKUP(F54, Docenten!$A$2:$G$30, 7, FALSE), "0")</f>
        <v>0</v>
      </c>
      <c r="H54" s="320">
        <f t="shared" si="7"/>
        <v>0</v>
      </c>
      <c r="I54" s="327" t="str">
        <f>Rooster!H55</f>
        <v/>
      </c>
      <c r="J54" s="321" t="str">
        <f>IFERROR(VLOOKUP(I54, Locaties!$A$2:$G$15, 7, FALSE), "0")</f>
        <v>0</v>
      </c>
      <c r="K54" s="42">
        <f t="shared" si="2"/>
        <v>0</v>
      </c>
      <c r="L54" s="427" t="str">
        <f>Mei!L54</f>
        <v/>
      </c>
      <c r="M54" s="428" t="str">
        <f>Mei!M54</f>
        <v/>
      </c>
      <c r="N54" s="321" t="str">
        <f>IFERROR(VLOOKUP(M54, Tarieven!$A$1:$J$150, 10, FALSE), "0")</f>
        <v>0</v>
      </c>
      <c r="O54" s="427" t="str">
        <f>Mei!O54</f>
        <v/>
      </c>
      <c r="P54" s="428" t="str">
        <f>Mei!P54</f>
        <v/>
      </c>
      <c r="Q54" s="325" t="str">
        <f>IFERROR(VLOOKUP(P54, Tarieven!$A$2:$J$150, 10, FALSE), "0")</f>
        <v>0</v>
      </c>
      <c r="R54" s="444" t="str">
        <f>Mei!R54</f>
        <v/>
      </c>
      <c r="S54" s="428" t="str">
        <f>Mei!S54</f>
        <v/>
      </c>
      <c r="T54" s="325" t="str">
        <f>IFERROR(VLOOKUP(S54, Tarieven!$A$2:$J$150, 10, FALSE), "0")</f>
        <v>0</v>
      </c>
      <c r="U54" s="77" t="str">
        <f>Mei!U54</f>
        <v/>
      </c>
      <c r="V54" s="327" t="str">
        <f>Mei!V54</f>
        <v/>
      </c>
      <c r="W54" s="325" t="str">
        <f>IFERROR(VLOOKUP(V54, Tarieven!$A$2:$J$150, 10, FALSE), "0")</f>
        <v>0</v>
      </c>
      <c r="X54" s="138">
        <f>Mei!X54</f>
        <v>0</v>
      </c>
      <c r="Y54" s="398">
        <v>0.0</v>
      </c>
      <c r="Z54" s="329">
        <f t="shared" si="3"/>
        <v>0</v>
      </c>
      <c r="AA54" s="32">
        <f t="shared" si="4"/>
        <v>0</v>
      </c>
      <c r="AB54" s="32">
        <f t="shared" si="5"/>
        <v>0</v>
      </c>
      <c r="AC54" s="32">
        <f t="shared" si="6"/>
        <v>0</v>
      </c>
    </row>
    <row r="55" ht="22.5" customHeight="1">
      <c r="A55" s="331" t="str">
        <f>Rooster!A56</f>
        <v/>
      </c>
      <c r="B55" s="396" t="str">
        <f>Rooster!B56</f>
        <v/>
      </c>
      <c r="C55" s="15" t="str">
        <f>Rooster!C56</f>
        <v/>
      </c>
      <c r="D55" s="11" t="str">
        <f>Rooster!D56</f>
        <v/>
      </c>
      <c r="E55" s="77"/>
      <c r="F55" s="327" t="str">
        <f>Rooster!E56</f>
        <v/>
      </c>
      <c r="G55" s="319" t="str">
        <f>IFERROR(VLOOKUP(F55, Docenten!$A$2:$G$30, 7, FALSE), "0")</f>
        <v>0</v>
      </c>
      <c r="H55" s="320">
        <f t="shared" si="7"/>
        <v>0</v>
      </c>
      <c r="I55" s="327" t="str">
        <f>Rooster!H56</f>
        <v/>
      </c>
      <c r="J55" s="321" t="str">
        <f>IFERROR(VLOOKUP(I55, Locaties!$A$2:$G$15, 7, FALSE), "0")</f>
        <v>0</v>
      </c>
      <c r="K55" s="42">
        <f t="shared" si="2"/>
        <v>0</v>
      </c>
      <c r="L55" s="427" t="str">
        <f>Mei!L55</f>
        <v/>
      </c>
      <c r="M55" s="428" t="str">
        <f>Mei!M55</f>
        <v/>
      </c>
      <c r="N55" s="321" t="str">
        <f>IFERROR(VLOOKUP(M55, Tarieven!$A$1:$J$150, 10, FALSE), "0")</f>
        <v>0</v>
      </c>
      <c r="O55" s="427" t="str">
        <f>Mei!O55</f>
        <v/>
      </c>
      <c r="P55" s="428" t="str">
        <f>Mei!P55</f>
        <v/>
      </c>
      <c r="Q55" s="325" t="str">
        <f>IFERROR(VLOOKUP(P55, Tarieven!$A$2:$J$150, 10, FALSE), "0")</f>
        <v>0</v>
      </c>
      <c r="R55" s="444" t="str">
        <f>Mei!R55</f>
        <v/>
      </c>
      <c r="S55" s="428" t="str">
        <f>Mei!S55</f>
        <v/>
      </c>
      <c r="T55" s="325" t="str">
        <f>IFERROR(VLOOKUP(S55, Tarieven!$A$2:$J$150, 10, FALSE), "0")</f>
        <v>0</v>
      </c>
      <c r="U55" s="77" t="str">
        <f>Mei!U55</f>
        <v/>
      </c>
      <c r="V55" s="327" t="str">
        <f>Mei!V55</f>
        <v/>
      </c>
      <c r="W55" s="325" t="str">
        <f>IFERROR(VLOOKUP(V55, Tarieven!$A$2:$J$150, 10, FALSE), "0")</f>
        <v>0</v>
      </c>
      <c r="X55" s="138">
        <f>Mei!X55</f>
        <v>0</v>
      </c>
      <c r="Y55" s="398">
        <v>0.0</v>
      </c>
      <c r="Z55" s="329">
        <f t="shared" si="3"/>
        <v>0</v>
      </c>
      <c r="AA55" s="32">
        <f t="shared" si="4"/>
        <v>0</v>
      </c>
      <c r="AB55" s="32">
        <f t="shared" si="5"/>
        <v>0</v>
      </c>
      <c r="AC55" s="32">
        <f t="shared" si="6"/>
        <v>0</v>
      </c>
    </row>
    <row r="56" ht="22.5" customHeight="1">
      <c r="A56" s="331" t="str">
        <f>Rooster!A57</f>
        <v/>
      </c>
      <c r="B56" s="396" t="str">
        <f>Rooster!B57</f>
        <v/>
      </c>
      <c r="C56" s="15" t="str">
        <f>Rooster!C57</f>
        <v/>
      </c>
      <c r="D56" s="11" t="str">
        <f>Rooster!D57</f>
        <v/>
      </c>
      <c r="E56" s="77"/>
      <c r="F56" s="327" t="str">
        <f>Rooster!E57</f>
        <v/>
      </c>
      <c r="G56" s="319" t="str">
        <f>IFERROR(VLOOKUP(F56, Docenten!$A$2:$G$30, 7, FALSE), "0")</f>
        <v>0</v>
      </c>
      <c r="H56" s="320">
        <f t="shared" si="7"/>
        <v>0</v>
      </c>
      <c r="I56" s="327" t="str">
        <f>Rooster!H57</f>
        <v/>
      </c>
      <c r="J56" s="321" t="str">
        <f>IFERROR(VLOOKUP(I56, Locaties!$A$2:$G$15, 7, FALSE), "0")</f>
        <v>0</v>
      </c>
      <c r="K56" s="42">
        <f t="shared" si="2"/>
        <v>0</v>
      </c>
      <c r="L56" s="427" t="str">
        <f>Mei!L56</f>
        <v/>
      </c>
      <c r="M56" s="428" t="str">
        <f>Mei!M56</f>
        <v/>
      </c>
      <c r="N56" s="321" t="str">
        <f>IFERROR(VLOOKUP(M56, Tarieven!$A$1:$J$150, 10, FALSE), "0")</f>
        <v>0</v>
      </c>
      <c r="O56" s="427" t="str">
        <f>Mei!O56</f>
        <v/>
      </c>
      <c r="P56" s="428" t="str">
        <f>Mei!P56</f>
        <v/>
      </c>
      <c r="Q56" s="325" t="str">
        <f>IFERROR(VLOOKUP(P56, Tarieven!$A$2:$J$150, 10, FALSE), "0")</f>
        <v>0</v>
      </c>
      <c r="R56" s="444" t="str">
        <f>Mei!R56</f>
        <v/>
      </c>
      <c r="S56" s="428" t="str">
        <f>Mei!S56</f>
        <v/>
      </c>
      <c r="T56" s="325" t="str">
        <f>IFERROR(VLOOKUP(S56, Tarieven!$A$2:$J$150, 10, FALSE), "0")</f>
        <v>0</v>
      </c>
      <c r="U56" s="77" t="str">
        <f>Mei!U56</f>
        <v/>
      </c>
      <c r="V56" s="327" t="str">
        <f>Mei!V56</f>
        <v/>
      </c>
      <c r="W56" s="325" t="str">
        <f>IFERROR(VLOOKUP(V56, Tarieven!$A$2:$J$150, 10, FALSE), "0")</f>
        <v>0</v>
      </c>
      <c r="X56" s="138">
        <f>Mei!X56</f>
        <v>0</v>
      </c>
      <c r="Y56" s="398">
        <v>0.0</v>
      </c>
      <c r="Z56" s="329">
        <f t="shared" si="3"/>
        <v>0</v>
      </c>
      <c r="AA56" s="32">
        <f t="shared" si="4"/>
        <v>0</v>
      </c>
      <c r="AB56" s="32">
        <f t="shared" si="5"/>
        <v>0</v>
      </c>
      <c r="AC56" s="32">
        <f t="shared" si="6"/>
        <v>0</v>
      </c>
    </row>
    <row r="57" ht="22.5" customHeight="1">
      <c r="A57" s="331" t="str">
        <f>Rooster!A58</f>
        <v/>
      </c>
      <c r="B57" s="396" t="str">
        <f>Rooster!B58</f>
        <v/>
      </c>
      <c r="C57" s="15" t="str">
        <f>Rooster!C58</f>
        <v/>
      </c>
      <c r="D57" s="11" t="str">
        <f>Rooster!D58</f>
        <v/>
      </c>
      <c r="E57" s="77"/>
      <c r="F57" s="327" t="str">
        <f>Rooster!E58</f>
        <v/>
      </c>
      <c r="G57" s="319" t="str">
        <f>IFERROR(VLOOKUP(F57, Docenten!$A$2:$G$30, 7, FALSE), "0")</f>
        <v>0</v>
      </c>
      <c r="H57" s="320">
        <f t="shared" si="7"/>
        <v>0</v>
      </c>
      <c r="I57" s="327" t="str">
        <f>Rooster!H58</f>
        <v/>
      </c>
      <c r="J57" s="321" t="str">
        <f>IFERROR(VLOOKUP(I57, Locaties!$A$2:$G$15, 7, FALSE), "0")</f>
        <v>0</v>
      </c>
      <c r="K57" s="42">
        <f t="shared" si="2"/>
        <v>0</v>
      </c>
      <c r="L57" s="427" t="str">
        <f>Mei!L57</f>
        <v/>
      </c>
      <c r="M57" s="428" t="str">
        <f>Mei!M57</f>
        <v/>
      </c>
      <c r="N57" s="321" t="str">
        <f>IFERROR(VLOOKUP(M57, Tarieven!$A$1:$J$150, 10, FALSE), "0")</f>
        <v>0</v>
      </c>
      <c r="O57" s="427" t="str">
        <f>Mei!O57</f>
        <v/>
      </c>
      <c r="P57" s="428" t="str">
        <f>Mei!P57</f>
        <v/>
      </c>
      <c r="Q57" s="325" t="str">
        <f>IFERROR(VLOOKUP(P57, Tarieven!$A$2:$J$150, 10, FALSE), "0")</f>
        <v>0</v>
      </c>
      <c r="R57" s="444" t="str">
        <f>Mei!R57</f>
        <v/>
      </c>
      <c r="S57" s="428" t="str">
        <f>Mei!S57</f>
        <v/>
      </c>
      <c r="T57" s="325" t="str">
        <f>IFERROR(VLOOKUP(S57, Tarieven!$A$2:$J$150, 10, FALSE), "0")</f>
        <v>0</v>
      </c>
      <c r="U57" s="77" t="str">
        <f>Mei!U57</f>
        <v/>
      </c>
      <c r="V57" s="327" t="str">
        <f>Mei!V57</f>
        <v/>
      </c>
      <c r="W57" s="325" t="str">
        <f>IFERROR(VLOOKUP(V57, Tarieven!$A$2:$J$150, 10, FALSE), "0")</f>
        <v>0</v>
      </c>
      <c r="X57" s="138">
        <f>Mei!X57</f>
        <v>0</v>
      </c>
      <c r="Y57" s="398">
        <v>0.0</v>
      </c>
      <c r="Z57" s="329">
        <f t="shared" si="3"/>
        <v>0</v>
      </c>
      <c r="AA57" s="32">
        <f t="shared" si="4"/>
        <v>0</v>
      </c>
      <c r="AB57" s="32">
        <f t="shared" si="5"/>
        <v>0</v>
      </c>
      <c r="AC57" s="32">
        <f t="shared" si="6"/>
        <v>0</v>
      </c>
    </row>
    <row r="58" ht="22.5" customHeight="1">
      <c r="A58" s="331" t="str">
        <f>Rooster!A59</f>
        <v/>
      </c>
      <c r="B58" s="396" t="str">
        <f>Rooster!B59</f>
        <v/>
      </c>
      <c r="C58" s="15" t="str">
        <f>Rooster!C59</f>
        <v/>
      </c>
      <c r="D58" s="11" t="str">
        <f>Rooster!D59</f>
        <v/>
      </c>
      <c r="E58" s="77"/>
      <c r="F58" s="327" t="str">
        <f>Rooster!E59</f>
        <v/>
      </c>
      <c r="G58" s="319" t="str">
        <f>IFERROR(VLOOKUP(F58, Docenten!$A$2:$G$30, 7, FALSE), "0")</f>
        <v>0</v>
      </c>
      <c r="H58" s="320">
        <f t="shared" si="7"/>
        <v>0</v>
      </c>
      <c r="I58" s="327" t="str">
        <f>Rooster!H59</f>
        <v/>
      </c>
      <c r="J58" s="321" t="str">
        <f>IFERROR(VLOOKUP(I58, Locaties!$A$2:$G$15, 7, FALSE), "0")</f>
        <v>0</v>
      </c>
      <c r="K58" s="42">
        <f t="shared" si="2"/>
        <v>0</v>
      </c>
      <c r="L58" s="427" t="str">
        <f>Mei!L58</f>
        <v/>
      </c>
      <c r="M58" s="428" t="str">
        <f>Mei!M58</f>
        <v/>
      </c>
      <c r="N58" s="321" t="str">
        <f>IFERROR(VLOOKUP(M58, Tarieven!$A$1:$J$150, 10, FALSE), "0")</f>
        <v>0</v>
      </c>
      <c r="O58" s="427" t="str">
        <f>Mei!O58</f>
        <v/>
      </c>
      <c r="P58" s="428" t="str">
        <f>Mei!P58</f>
        <v/>
      </c>
      <c r="Q58" s="325" t="str">
        <f>IFERROR(VLOOKUP(P58, Tarieven!$A$2:$J$150, 10, FALSE), "0")</f>
        <v>0</v>
      </c>
      <c r="R58" s="444" t="str">
        <f>Mei!R58</f>
        <v/>
      </c>
      <c r="S58" s="428" t="str">
        <f>Mei!S58</f>
        <v/>
      </c>
      <c r="T58" s="325" t="str">
        <f>IFERROR(VLOOKUP(S58, Tarieven!$A$2:$J$150, 10, FALSE), "0")</f>
        <v>0</v>
      </c>
      <c r="U58" s="77" t="str">
        <f>Mei!U58</f>
        <v/>
      </c>
      <c r="V58" s="327" t="str">
        <f>Mei!V58</f>
        <v/>
      </c>
      <c r="W58" s="325" t="str">
        <f>IFERROR(VLOOKUP(V58, Tarieven!$A$2:$J$150, 10, FALSE), "0")</f>
        <v>0</v>
      </c>
      <c r="X58" s="138">
        <f>Mei!X58</f>
        <v>0</v>
      </c>
      <c r="Y58" s="398">
        <v>0.0</v>
      </c>
      <c r="Z58" s="329">
        <f t="shared" si="3"/>
        <v>0</v>
      </c>
      <c r="AA58" s="32">
        <f t="shared" si="4"/>
        <v>0</v>
      </c>
      <c r="AB58" s="32">
        <f t="shared" si="5"/>
        <v>0</v>
      </c>
      <c r="AC58" s="32">
        <f t="shared" si="6"/>
        <v>0</v>
      </c>
    </row>
    <row r="59" ht="22.5" customHeight="1">
      <c r="A59" s="331" t="str">
        <f>Rooster!A60</f>
        <v/>
      </c>
      <c r="B59" s="396" t="str">
        <f>Rooster!B60</f>
        <v/>
      </c>
      <c r="C59" s="15" t="str">
        <f>Rooster!C60</f>
        <v/>
      </c>
      <c r="D59" s="11" t="str">
        <f>Rooster!D60</f>
        <v/>
      </c>
      <c r="E59" s="77"/>
      <c r="F59" s="327" t="str">
        <f>Rooster!E60</f>
        <v/>
      </c>
      <c r="G59" s="319" t="str">
        <f>IFERROR(VLOOKUP(F59, Docenten!$A$2:$G$30, 7, FALSE), "0")</f>
        <v>0</v>
      </c>
      <c r="H59" s="320">
        <f t="shared" si="7"/>
        <v>0</v>
      </c>
      <c r="I59" s="327" t="str">
        <f>Rooster!H60</f>
        <v/>
      </c>
      <c r="J59" s="321" t="str">
        <f>IFERROR(VLOOKUP(I59, Locaties!$A$2:$G$15, 7, FALSE), "0")</f>
        <v>0</v>
      </c>
      <c r="K59" s="42">
        <f t="shared" si="2"/>
        <v>0</v>
      </c>
      <c r="L59" s="427" t="str">
        <f>Mei!L59</f>
        <v/>
      </c>
      <c r="M59" s="428" t="str">
        <f>Mei!M59</f>
        <v/>
      </c>
      <c r="N59" s="321" t="str">
        <f>IFERROR(VLOOKUP(M59, Tarieven!$A$1:$J$150, 10, FALSE), "0")</f>
        <v>0</v>
      </c>
      <c r="O59" s="427" t="str">
        <f>Mei!O59</f>
        <v/>
      </c>
      <c r="P59" s="428" t="str">
        <f>Mei!P59</f>
        <v/>
      </c>
      <c r="Q59" s="325" t="str">
        <f>IFERROR(VLOOKUP(P59, Tarieven!$A$2:$J$150, 10, FALSE), "0")</f>
        <v>0</v>
      </c>
      <c r="R59" s="444" t="str">
        <f>Mei!R59</f>
        <v/>
      </c>
      <c r="S59" s="428" t="str">
        <f>Mei!S59</f>
        <v/>
      </c>
      <c r="T59" s="325" t="str">
        <f>IFERROR(VLOOKUP(S59, Tarieven!$A$2:$J$150, 10, FALSE), "0")</f>
        <v>0</v>
      </c>
      <c r="U59" s="77" t="str">
        <f>Mei!U59</f>
        <v/>
      </c>
      <c r="V59" s="327" t="str">
        <f>Mei!V59</f>
        <v/>
      </c>
      <c r="W59" s="325" t="str">
        <f>IFERROR(VLOOKUP(V59, Tarieven!$A$2:$J$150, 10, FALSE), "0")</f>
        <v>0</v>
      </c>
      <c r="X59" s="138">
        <f>Mei!X59</f>
        <v>0</v>
      </c>
      <c r="Y59" s="398">
        <v>0.0</v>
      </c>
      <c r="Z59" s="329">
        <f t="shared" si="3"/>
        <v>0</v>
      </c>
      <c r="AA59" s="32">
        <f t="shared" si="4"/>
        <v>0</v>
      </c>
      <c r="AB59" s="32">
        <f t="shared" si="5"/>
        <v>0</v>
      </c>
      <c r="AC59" s="32">
        <f t="shared" si="6"/>
        <v>0</v>
      </c>
    </row>
    <row r="60" ht="22.5" customHeight="1">
      <c r="A60" s="331" t="str">
        <f>Rooster!A61</f>
        <v/>
      </c>
      <c r="B60" s="396" t="str">
        <f>Rooster!B61</f>
        <v/>
      </c>
      <c r="C60" s="15" t="str">
        <f>Rooster!C61</f>
        <v/>
      </c>
      <c r="D60" s="11" t="str">
        <f>Rooster!D61</f>
        <v/>
      </c>
      <c r="E60" s="77"/>
      <c r="F60" s="327" t="str">
        <f>Rooster!E61</f>
        <v/>
      </c>
      <c r="G60" s="319" t="str">
        <f>IFERROR(VLOOKUP(F60, Docenten!$A$2:$G$30, 7, FALSE), "0")</f>
        <v>0</v>
      </c>
      <c r="H60" s="320">
        <f t="shared" si="7"/>
        <v>0</v>
      </c>
      <c r="I60" s="327" t="str">
        <f>Rooster!H61</f>
        <v/>
      </c>
      <c r="J60" s="321" t="str">
        <f>IFERROR(VLOOKUP(I60, Locaties!$A$2:$G$15, 7, FALSE), "0")</f>
        <v>0</v>
      </c>
      <c r="K60" s="42">
        <f t="shared" si="2"/>
        <v>0</v>
      </c>
      <c r="L60" s="427" t="str">
        <f>Mei!L60</f>
        <v/>
      </c>
      <c r="M60" s="428" t="str">
        <f>Mei!M60</f>
        <v/>
      </c>
      <c r="N60" s="321" t="str">
        <f>IFERROR(VLOOKUP(M60, Tarieven!$A$1:$J$150, 10, FALSE), "0")</f>
        <v>0</v>
      </c>
      <c r="O60" s="427" t="str">
        <f>Mei!O60</f>
        <v/>
      </c>
      <c r="P60" s="428" t="str">
        <f>Mei!P60</f>
        <v/>
      </c>
      <c r="Q60" s="325" t="str">
        <f>IFERROR(VLOOKUP(P60, Tarieven!$A$2:$J$150, 10, FALSE), "0")</f>
        <v>0</v>
      </c>
      <c r="R60" s="444" t="str">
        <f>Mei!R60</f>
        <v/>
      </c>
      <c r="S60" s="428" t="str">
        <f>Mei!S60</f>
        <v/>
      </c>
      <c r="T60" s="325" t="str">
        <f>IFERROR(VLOOKUP(S60, Tarieven!$A$2:$J$150, 10, FALSE), "0")</f>
        <v>0</v>
      </c>
      <c r="U60" s="77" t="str">
        <f>Mei!U60</f>
        <v/>
      </c>
      <c r="V60" s="327" t="str">
        <f>Mei!V60</f>
        <v/>
      </c>
      <c r="W60" s="325" t="str">
        <f>IFERROR(VLOOKUP(V60, Tarieven!$A$2:$J$150, 10, FALSE), "0")</f>
        <v>0</v>
      </c>
      <c r="X60" s="138">
        <f>Mei!X60</f>
        <v>0</v>
      </c>
      <c r="Y60" s="398">
        <v>0.0</v>
      </c>
      <c r="Z60" s="329">
        <f t="shared" si="3"/>
        <v>0</v>
      </c>
      <c r="AA60" s="32">
        <f t="shared" si="4"/>
        <v>0</v>
      </c>
      <c r="AB60" s="32">
        <f t="shared" si="5"/>
        <v>0</v>
      </c>
      <c r="AC60" s="32">
        <f t="shared" si="6"/>
        <v>0</v>
      </c>
    </row>
    <row r="61" ht="22.5" customHeight="1">
      <c r="A61" s="331" t="str">
        <f>Rooster!A62</f>
        <v/>
      </c>
      <c r="B61" s="396" t="str">
        <f>Rooster!B62</f>
        <v/>
      </c>
      <c r="C61" s="15" t="str">
        <f>Rooster!C62</f>
        <v/>
      </c>
      <c r="D61" s="11" t="str">
        <f>Rooster!D62</f>
        <v/>
      </c>
      <c r="E61" s="77"/>
      <c r="F61" s="327" t="str">
        <f>Rooster!E62</f>
        <v/>
      </c>
      <c r="G61" s="319" t="str">
        <f>IFERROR(VLOOKUP(F61, Docenten!$A$2:$G$30, 7, FALSE), "0")</f>
        <v>0</v>
      </c>
      <c r="H61" s="320">
        <f t="shared" si="7"/>
        <v>0</v>
      </c>
      <c r="I61" s="327" t="str">
        <f>Rooster!H62</f>
        <v/>
      </c>
      <c r="J61" s="321" t="str">
        <f>IFERROR(VLOOKUP(I61, Locaties!$A$2:$G$15, 7, FALSE), "0")</f>
        <v>0</v>
      </c>
      <c r="K61" s="42">
        <f t="shared" si="2"/>
        <v>0</v>
      </c>
      <c r="L61" s="427" t="str">
        <f>Mei!L61</f>
        <v/>
      </c>
      <c r="M61" s="428" t="str">
        <f>Mei!M61</f>
        <v/>
      </c>
      <c r="N61" s="321" t="str">
        <f>IFERROR(VLOOKUP(M61, Tarieven!$A$1:$J$150, 10, FALSE), "0")</f>
        <v>0</v>
      </c>
      <c r="O61" s="427" t="str">
        <f>Mei!O61</f>
        <v/>
      </c>
      <c r="P61" s="428" t="str">
        <f>Mei!P61</f>
        <v/>
      </c>
      <c r="Q61" s="325" t="str">
        <f>IFERROR(VLOOKUP(P61, Tarieven!$A$2:$J$150, 10, FALSE), "0")</f>
        <v>0</v>
      </c>
      <c r="R61" s="444" t="str">
        <f>Mei!R61</f>
        <v/>
      </c>
      <c r="S61" s="428" t="str">
        <f>Mei!S61</f>
        <v/>
      </c>
      <c r="T61" s="325" t="str">
        <f>IFERROR(VLOOKUP(S61, Tarieven!$A$2:$J$150, 10, FALSE), "0")</f>
        <v>0</v>
      </c>
      <c r="U61" s="77" t="str">
        <f>Mei!U61</f>
        <v/>
      </c>
      <c r="V61" s="327" t="str">
        <f>Mei!V61</f>
        <v/>
      </c>
      <c r="W61" s="325" t="str">
        <f>IFERROR(VLOOKUP(V61, Tarieven!$A$2:$J$150, 10, FALSE), "0")</f>
        <v>0</v>
      </c>
      <c r="X61" s="138">
        <f>Mei!X61</f>
        <v>0</v>
      </c>
      <c r="Y61" s="398">
        <v>0.0</v>
      </c>
      <c r="Z61" s="329">
        <f t="shared" si="3"/>
        <v>0</v>
      </c>
      <c r="AA61" s="32">
        <f t="shared" si="4"/>
        <v>0</v>
      </c>
      <c r="AB61" s="32">
        <f t="shared" si="5"/>
        <v>0</v>
      </c>
      <c r="AC61" s="32">
        <f t="shared" si="6"/>
        <v>0</v>
      </c>
    </row>
    <row r="62" ht="22.5" customHeight="1">
      <c r="A62" s="331" t="str">
        <f>Rooster!A63</f>
        <v/>
      </c>
      <c r="B62" s="396" t="str">
        <f>Rooster!B63</f>
        <v/>
      </c>
      <c r="C62" s="15" t="str">
        <f>Rooster!C63</f>
        <v/>
      </c>
      <c r="D62" s="11" t="str">
        <f>Rooster!D63</f>
        <v/>
      </c>
      <c r="E62" s="77"/>
      <c r="F62" s="327" t="str">
        <f>Rooster!E63</f>
        <v/>
      </c>
      <c r="G62" s="319" t="str">
        <f>IFERROR(VLOOKUP(F62, Docenten!$A$2:$G$30, 7, FALSE), "0")</f>
        <v>0</v>
      </c>
      <c r="H62" s="320">
        <f t="shared" si="7"/>
        <v>0</v>
      </c>
      <c r="I62" s="327" t="str">
        <f>Rooster!H63</f>
        <v/>
      </c>
      <c r="J62" s="321" t="str">
        <f>IFERROR(VLOOKUP(I62, Locaties!$A$2:$G$15, 7, FALSE), "0")</f>
        <v>0</v>
      </c>
      <c r="K62" s="42">
        <f t="shared" si="2"/>
        <v>0</v>
      </c>
      <c r="L62" s="427" t="str">
        <f>Mei!L62</f>
        <v/>
      </c>
      <c r="M62" s="428" t="str">
        <f>Mei!M62</f>
        <v/>
      </c>
      <c r="N62" s="321" t="str">
        <f>IFERROR(VLOOKUP(M62, Tarieven!$A$1:$J$150, 10, FALSE), "0")</f>
        <v>0</v>
      </c>
      <c r="O62" s="427" t="str">
        <f>Mei!O62</f>
        <v/>
      </c>
      <c r="P62" s="428" t="str">
        <f>Mei!P62</f>
        <v/>
      </c>
      <c r="Q62" s="325" t="str">
        <f>IFERROR(VLOOKUP(P62, Tarieven!$A$2:$J$150, 10, FALSE), "0")</f>
        <v>0</v>
      </c>
      <c r="R62" s="444" t="str">
        <f>Mei!R62</f>
        <v/>
      </c>
      <c r="S62" s="428" t="str">
        <f>Mei!S62</f>
        <v/>
      </c>
      <c r="T62" s="325" t="str">
        <f>IFERROR(VLOOKUP(S62, Tarieven!$A$2:$J$150, 10, FALSE), "0")</f>
        <v>0</v>
      </c>
      <c r="U62" s="77" t="str">
        <f>Mei!U62</f>
        <v/>
      </c>
      <c r="V62" s="327" t="str">
        <f>Mei!V62</f>
        <v/>
      </c>
      <c r="W62" s="325" t="str">
        <f>IFERROR(VLOOKUP(V62, Tarieven!$A$2:$J$150, 10, FALSE), "0")</f>
        <v>0</v>
      </c>
      <c r="X62" s="138">
        <f>Mei!X62</f>
        <v>0</v>
      </c>
      <c r="Y62" s="398">
        <v>0.0</v>
      </c>
      <c r="Z62" s="329">
        <f t="shared" si="3"/>
        <v>0</v>
      </c>
      <c r="AA62" s="32">
        <f t="shared" si="4"/>
        <v>0</v>
      </c>
      <c r="AB62" s="32">
        <f t="shared" si="5"/>
        <v>0</v>
      </c>
      <c r="AC62" s="32">
        <f t="shared" si="6"/>
        <v>0</v>
      </c>
    </row>
    <row r="63" ht="22.5" customHeight="1">
      <c r="A63" s="331" t="str">
        <f>Rooster!A64</f>
        <v/>
      </c>
      <c r="B63" s="396" t="str">
        <f>Rooster!B64</f>
        <v/>
      </c>
      <c r="C63" s="15" t="str">
        <f>Rooster!C64</f>
        <v/>
      </c>
      <c r="D63" s="11" t="str">
        <f>Rooster!D64</f>
        <v/>
      </c>
      <c r="E63" s="77"/>
      <c r="F63" s="327" t="str">
        <f>Rooster!E64</f>
        <v/>
      </c>
      <c r="G63" s="319" t="str">
        <f>IFERROR(VLOOKUP(F63, Docenten!$A$2:$G$30, 7, FALSE), "0")</f>
        <v>0</v>
      </c>
      <c r="H63" s="320">
        <f t="shared" si="7"/>
        <v>0</v>
      </c>
      <c r="I63" s="327" t="str">
        <f>Rooster!H64</f>
        <v/>
      </c>
      <c r="J63" s="321" t="str">
        <f>IFERROR(VLOOKUP(I63, Locaties!$A$2:$G$15, 7, FALSE), "0")</f>
        <v>0</v>
      </c>
      <c r="K63" s="42">
        <f t="shared" si="2"/>
        <v>0</v>
      </c>
      <c r="L63" s="427" t="str">
        <f>Mei!L63</f>
        <v/>
      </c>
      <c r="M63" s="428" t="str">
        <f>Mei!M63</f>
        <v/>
      </c>
      <c r="N63" s="321" t="str">
        <f>IFERROR(VLOOKUP(M63, Tarieven!$A$1:$J$150, 10, FALSE), "0")</f>
        <v>0</v>
      </c>
      <c r="O63" s="427" t="str">
        <f>Mei!O63</f>
        <v/>
      </c>
      <c r="P63" s="428" t="str">
        <f>Mei!P63</f>
        <v/>
      </c>
      <c r="Q63" s="325" t="str">
        <f>IFERROR(VLOOKUP(P63, Tarieven!$A$2:$J$150, 10, FALSE), "0")</f>
        <v>0</v>
      </c>
      <c r="R63" s="444" t="str">
        <f>Mei!R63</f>
        <v/>
      </c>
      <c r="S63" s="428" t="str">
        <f>Mei!S63</f>
        <v/>
      </c>
      <c r="T63" s="325" t="str">
        <f>IFERROR(VLOOKUP(S63, Tarieven!$A$2:$J$150, 10, FALSE), "0")</f>
        <v>0</v>
      </c>
      <c r="U63" s="77" t="str">
        <f>Mei!U63</f>
        <v/>
      </c>
      <c r="V63" s="327" t="str">
        <f>Mei!V63</f>
        <v/>
      </c>
      <c r="W63" s="325" t="str">
        <f>IFERROR(VLOOKUP(V63, Tarieven!$A$2:$J$150, 10, FALSE), "0")</f>
        <v>0</v>
      </c>
      <c r="X63" s="138">
        <f>Mei!X63</f>
        <v>0</v>
      </c>
      <c r="Y63" s="398">
        <v>0.0</v>
      </c>
      <c r="Z63" s="329">
        <f t="shared" si="3"/>
        <v>0</v>
      </c>
      <c r="AA63" s="32">
        <f t="shared" si="4"/>
        <v>0</v>
      </c>
      <c r="AB63" s="32">
        <f t="shared" si="5"/>
        <v>0</v>
      </c>
      <c r="AC63" s="32">
        <f t="shared" si="6"/>
        <v>0</v>
      </c>
    </row>
    <row r="64" ht="22.5" customHeight="1">
      <c r="A64" s="331" t="str">
        <f>Rooster!A65</f>
        <v/>
      </c>
      <c r="B64" s="396" t="str">
        <f>Rooster!B65</f>
        <v/>
      </c>
      <c r="C64" s="15" t="str">
        <f>Rooster!C65</f>
        <v/>
      </c>
      <c r="D64" s="11" t="str">
        <f>Rooster!D65</f>
        <v/>
      </c>
      <c r="E64" s="77"/>
      <c r="F64" s="327" t="str">
        <f>Rooster!E65</f>
        <v/>
      </c>
      <c r="G64" s="319" t="str">
        <f>IFERROR(VLOOKUP(F64, Docenten!$A$2:$G$30, 7, FALSE), "0")</f>
        <v>0</v>
      </c>
      <c r="H64" s="320">
        <f t="shared" si="7"/>
        <v>0</v>
      </c>
      <c r="I64" s="327" t="str">
        <f>Rooster!H65</f>
        <v/>
      </c>
      <c r="J64" s="321" t="str">
        <f>IFERROR(VLOOKUP(I64, Locaties!$A$2:$G$15, 7, FALSE), "0")</f>
        <v>0</v>
      </c>
      <c r="K64" s="42">
        <f t="shared" si="2"/>
        <v>0</v>
      </c>
      <c r="L64" s="427" t="str">
        <f>Mei!L64</f>
        <v/>
      </c>
      <c r="M64" s="428" t="str">
        <f>Mei!M64</f>
        <v/>
      </c>
      <c r="N64" s="321" t="str">
        <f>IFERROR(VLOOKUP(M64, Tarieven!$A$1:$J$150, 10, FALSE), "0")</f>
        <v>0</v>
      </c>
      <c r="O64" s="427" t="str">
        <f>Mei!O64</f>
        <v/>
      </c>
      <c r="P64" s="428" t="str">
        <f>Mei!P64</f>
        <v/>
      </c>
      <c r="Q64" s="325" t="str">
        <f>IFERROR(VLOOKUP(P64, Tarieven!$A$2:$J$150, 10, FALSE), "0")</f>
        <v>0</v>
      </c>
      <c r="R64" s="444" t="str">
        <f>Mei!R64</f>
        <v/>
      </c>
      <c r="S64" s="428" t="str">
        <f>Mei!S64</f>
        <v/>
      </c>
      <c r="T64" s="325" t="str">
        <f>IFERROR(VLOOKUP(S64, Tarieven!$A$2:$J$150, 10, FALSE), "0")</f>
        <v>0</v>
      </c>
      <c r="U64" s="77" t="str">
        <f>Mei!U64</f>
        <v/>
      </c>
      <c r="V64" s="327" t="str">
        <f>Mei!V64</f>
        <v/>
      </c>
      <c r="W64" s="325" t="str">
        <f>IFERROR(VLOOKUP(V64, Tarieven!$A$2:$J$150, 10, FALSE), "0")</f>
        <v>0</v>
      </c>
      <c r="X64" s="138">
        <f>Mei!X64</f>
        <v>0</v>
      </c>
      <c r="Y64" s="398">
        <v>0.0</v>
      </c>
      <c r="Z64" s="329">
        <f t="shared" si="3"/>
        <v>0</v>
      </c>
      <c r="AA64" s="32">
        <f t="shared" si="4"/>
        <v>0</v>
      </c>
      <c r="AB64" s="32">
        <f t="shared" si="5"/>
        <v>0</v>
      </c>
      <c r="AC64" s="32">
        <f t="shared" si="6"/>
        <v>0</v>
      </c>
    </row>
    <row r="65" ht="22.5" customHeight="1">
      <c r="A65" s="331" t="str">
        <f>Rooster!A66</f>
        <v/>
      </c>
      <c r="B65" s="396" t="str">
        <f>Rooster!B66</f>
        <v/>
      </c>
      <c r="C65" s="15" t="str">
        <f>Rooster!C66</f>
        <v/>
      </c>
      <c r="D65" s="11" t="str">
        <f>Rooster!D66</f>
        <v/>
      </c>
      <c r="E65" s="77"/>
      <c r="F65" s="327" t="str">
        <f>Rooster!E66</f>
        <v/>
      </c>
      <c r="G65" s="319" t="str">
        <f>IFERROR(VLOOKUP(F65, Docenten!$A$2:$G$30, 7, FALSE), "0")</f>
        <v>0</v>
      </c>
      <c r="H65" s="320">
        <f t="shared" si="7"/>
        <v>0</v>
      </c>
      <c r="I65" s="327" t="str">
        <f>Rooster!H66</f>
        <v/>
      </c>
      <c r="J65" s="321" t="str">
        <f>IFERROR(VLOOKUP(I65, Locaties!$A$2:$G$15, 7, FALSE), "0")</f>
        <v>0</v>
      </c>
      <c r="K65" s="42">
        <f t="shared" si="2"/>
        <v>0</v>
      </c>
      <c r="L65" s="427" t="str">
        <f>Mei!L65</f>
        <v/>
      </c>
      <c r="M65" s="428" t="str">
        <f>Mei!M65</f>
        <v/>
      </c>
      <c r="N65" s="321" t="str">
        <f>IFERROR(VLOOKUP(M65, Tarieven!$A$1:$J$150, 10, FALSE), "0")</f>
        <v>0</v>
      </c>
      <c r="O65" s="427" t="str">
        <f>Mei!O65</f>
        <v/>
      </c>
      <c r="P65" s="428" t="str">
        <f>Mei!P65</f>
        <v/>
      </c>
      <c r="Q65" s="325" t="str">
        <f>IFERROR(VLOOKUP(P65, Tarieven!$A$2:$J$150, 10, FALSE), "0")</f>
        <v>0</v>
      </c>
      <c r="R65" s="444" t="str">
        <f>Mei!R65</f>
        <v/>
      </c>
      <c r="S65" s="428" t="str">
        <f>Mei!S65</f>
        <v/>
      </c>
      <c r="T65" s="325" t="str">
        <f>IFERROR(VLOOKUP(S65, Tarieven!$A$2:$J$150, 10, FALSE), "0")</f>
        <v>0</v>
      </c>
      <c r="U65" s="77" t="str">
        <f>Mei!U65</f>
        <v/>
      </c>
      <c r="V65" s="327" t="str">
        <f>Mei!V65</f>
        <v/>
      </c>
      <c r="W65" s="325" t="str">
        <f>IFERROR(VLOOKUP(V65, Tarieven!$A$2:$J$150, 10, FALSE), "0")</f>
        <v>0</v>
      </c>
      <c r="X65" s="138">
        <f>Mei!X65</f>
        <v>0</v>
      </c>
      <c r="Y65" s="398">
        <v>0.0</v>
      </c>
      <c r="Z65" s="329">
        <f t="shared" si="3"/>
        <v>0</v>
      </c>
      <c r="AA65" s="32">
        <f t="shared" si="4"/>
        <v>0</v>
      </c>
      <c r="AB65" s="32">
        <f t="shared" si="5"/>
        <v>0</v>
      </c>
      <c r="AC65" s="32">
        <f t="shared" si="6"/>
        <v>0</v>
      </c>
    </row>
    <row r="66" ht="22.5" customHeight="1">
      <c r="A66" s="331" t="str">
        <f>Rooster!A67</f>
        <v/>
      </c>
      <c r="B66" s="396" t="str">
        <f>Rooster!B67</f>
        <v/>
      </c>
      <c r="C66" s="15" t="str">
        <f>Rooster!C67</f>
        <v/>
      </c>
      <c r="D66" s="11" t="str">
        <f>Rooster!D67</f>
        <v/>
      </c>
      <c r="E66" s="77"/>
      <c r="F66" s="327" t="str">
        <f>Rooster!E67</f>
        <v/>
      </c>
      <c r="G66" s="319" t="str">
        <f>IFERROR(VLOOKUP(F66, Docenten!$A$2:$G$30, 7, FALSE), "0")</f>
        <v>0</v>
      </c>
      <c r="H66" s="320">
        <f t="shared" si="7"/>
        <v>0</v>
      </c>
      <c r="I66" s="327" t="str">
        <f>Rooster!H67</f>
        <v/>
      </c>
      <c r="J66" s="321" t="str">
        <f>IFERROR(VLOOKUP(I66, Locaties!$A$2:$G$15, 7, FALSE), "0")</f>
        <v>0</v>
      </c>
      <c r="K66" s="42">
        <f t="shared" si="2"/>
        <v>0</v>
      </c>
      <c r="L66" s="427" t="str">
        <f>Mei!L66</f>
        <v/>
      </c>
      <c r="M66" s="428" t="str">
        <f>Mei!M66</f>
        <v/>
      </c>
      <c r="N66" s="321" t="str">
        <f>IFERROR(VLOOKUP(M66, Tarieven!$A$1:$J$150, 10, FALSE), "0")</f>
        <v>0</v>
      </c>
      <c r="O66" s="427" t="str">
        <f>Mei!O66</f>
        <v/>
      </c>
      <c r="P66" s="428" t="str">
        <f>Mei!P66</f>
        <v/>
      </c>
      <c r="Q66" s="325" t="str">
        <f>IFERROR(VLOOKUP(P66, Tarieven!$A$2:$J$150, 10, FALSE), "0")</f>
        <v>0</v>
      </c>
      <c r="R66" s="444" t="str">
        <f>Mei!R66</f>
        <v/>
      </c>
      <c r="S66" s="428" t="str">
        <f>Mei!S66</f>
        <v/>
      </c>
      <c r="T66" s="325" t="str">
        <f>IFERROR(VLOOKUP(S66, Tarieven!$A$2:$J$150, 10, FALSE), "0")</f>
        <v>0</v>
      </c>
      <c r="U66" s="77" t="str">
        <f>Mei!U66</f>
        <v/>
      </c>
      <c r="V66" s="327" t="str">
        <f>Mei!V66</f>
        <v/>
      </c>
      <c r="W66" s="325" t="str">
        <f>IFERROR(VLOOKUP(V66, Tarieven!$A$2:$J$150, 10, FALSE), "0")</f>
        <v>0</v>
      </c>
      <c r="X66" s="138">
        <f>Mei!X66</f>
        <v>0</v>
      </c>
      <c r="Y66" s="398">
        <v>0.0</v>
      </c>
      <c r="Z66" s="329">
        <f t="shared" si="3"/>
        <v>0</v>
      </c>
      <c r="AA66" s="32">
        <f t="shared" si="4"/>
        <v>0</v>
      </c>
      <c r="AB66" s="32">
        <f t="shared" si="5"/>
        <v>0</v>
      </c>
      <c r="AC66" s="32">
        <f t="shared" si="6"/>
        <v>0</v>
      </c>
    </row>
    <row r="67" ht="22.5" customHeight="1">
      <c r="A67" s="331" t="str">
        <f>Rooster!A68</f>
        <v/>
      </c>
      <c r="B67" s="396" t="str">
        <f>Rooster!B68</f>
        <v/>
      </c>
      <c r="C67" s="15" t="str">
        <f>Rooster!C68</f>
        <v/>
      </c>
      <c r="D67" s="11" t="str">
        <f>Rooster!D68</f>
        <v/>
      </c>
      <c r="E67" s="77"/>
      <c r="F67" s="327" t="str">
        <f>Rooster!E68</f>
        <v/>
      </c>
      <c r="G67" s="319" t="str">
        <f>IFERROR(VLOOKUP(F67, Docenten!$A$2:$G$30, 7, FALSE), "0")</f>
        <v>0</v>
      </c>
      <c r="H67" s="320">
        <f t="shared" si="7"/>
        <v>0</v>
      </c>
      <c r="I67" s="327" t="str">
        <f>Rooster!H68</f>
        <v/>
      </c>
      <c r="J67" s="321" t="str">
        <f>IFERROR(VLOOKUP(I67, Locaties!$A$2:$G$15, 7, FALSE), "0")</f>
        <v>0</v>
      </c>
      <c r="K67" s="42">
        <f t="shared" si="2"/>
        <v>0</v>
      </c>
      <c r="L67" s="427" t="str">
        <f>Mei!L67</f>
        <v/>
      </c>
      <c r="M67" s="428" t="str">
        <f>Mei!M67</f>
        <v/>
      </c>
      <c r="N67" s="321" t="str">
        <f>IFERROR(VLOOKUP(M67, Tarieven!$A$1:$J$150, 10, FALSE), "0")</f>
        <v>0</v>
      </c>
      <c r="O67" s="427" t="str">
        <f>Mei!O67</f>
        <v/>
      </c>
      <c r="P67" s="428" t="str">
        <f>Mei!P67</f>
        <v/>
      </c>
      <c r="Q67" s="325" t="str">
        <f>IFERROR(VLOOKUP(P67, Tarieven!$A$2:$J$150, 10, FALSE), "0")</f>
        <v>0</v>
      </c>
      <c r="R67" s="444" t="str">
        <f>Mei!R67</f>
        <v/>
      </c>
      <c r="S67" s="428" t="str">
        <f>Mei!S67</f>
        <v/>
      </c>
      <c r="T67" s="325" t="str">
        <f>IFERROR(VLOOKUP(S67, Tarieven!$A$2:$J$150, 10, FALSE), "0")</f>
        <v>0</v>
      </c>
      <c r="U67" s="77" t="str">
        <f>Mei!U67</f>
        <v/>
      </c>
      <c r="V67" s="327" t="str">
        <f>Mei!V67</f>
        <v/>
      </c>
      <c r="W67" s="325" t="str">
        <f>IFERROR(VLOOKUP(V67, Tarieven!$A$2:$J$150, 10, FALSE), "0")</f>
        <v>0</v>
      </c>
      <c r="X67" s="138">
        <f>Mei!X67</f>
        <v>0</v>
      </c>
      <c r="Y67" s="398">
        <v>0.0</v>
      </c>
      <c r="Z67" s="329">
        <f t="shared" si="3"/>
        <v>0</v>
      </c>
      <c r="AA67" s="32">
        <f t="shared" si="4"/>
        <v>0</v>
      </c>
      <c r="AB67" s="32">
        <f t="shared" si="5"/>
        <v>0</v>
      </c>
      <c r="AC67" s="32">
        <f t="shared" si="6"/>
        <v>0</v>
      </c>
    </row>
    <row r="68" ht="22.5" customHeight="1">
      <c r="A68" s="331" t="str">
        <f>Rooster!A69</f>
        <v/>
      </c>
      <c r="B68" s="396" t="str">
        <f>Rooster!B69</f>
        <v/>
      </c>
      <c r="C68" s="15" t="str">
        <f>Rooster!C69</f>
        <v/>
      </c>
      <c r="D68" s="11" t="str">
        <f>Rooster!D69</f>
        <v/>
      </c>
      <c r="E68" s="77"/>
      <c r="F68" s="327" t="str">
        <f>Rooster!E69</f>
        <v/>
      </c>
      <c r="G68" s="319" t="str">
        <f>IFERROR(VLOOKUP(F68, Docenten!$A$2:$G$30, 7, FALSE), "0")</f>
        <v>0</v>
      </c>
      <c r="H68" s="320">
        <f t="shared" si="7"/>
        <v>0</v>
      </c>
      <c r="I68" s="327" t="str">
        <f>Rooster!H69</f>
        <v/>
      </c>
      <c r="J68" s="321" t="str">
        <f>IFERROR(VLOOKUP(I68, Locaties!$A$2:$G$15, 7, FALSE), "0")</f>
        <v>0</v>
      </c>
      <c r="K68" s="42">
        <f t="shared" si="2"/>
        <v>0</v>
      </c>
      <c r="L68" s="427" t="str">
        <f>Mei!L68</f>
        <v/>
      </c>
      <c r="M68" s="428" t="str">
        <f>Mei!M68</f>
        <v/>
      </c>
      <c r="N68" s="321" t="str">
        <f>IFERROR(VLOOKUP(M68, Tarieven!$A$1:$J$150, 10, FALSE), "0")</f>
        <v>0</v>
      </c>
      <c r="O68" s="427" t="str">
        <f>Mei!O68</f>
        <v/>
      </c>
      <c r="P68" s="428" t="str">
        <f>Mei!P68</f>
        <v/>
      </c>
      <c r="Q68" s="325" t="str">
        <f>IFERROR(VLOOKUP(P68, Tarieven!$A$2:$J$150, 10, FALSE), "0")</f>
        <v>0</v>
      </c>
      <c r="R68" s="444" t="str">
        <f>Mei!R68</f>
        <v/>
      </c>
      <c r="S68" s="428" t="str">
        <f>Mei!S68</f>
        <v/>
      </c>
      <c r="T68" s="325" t="str">
        <f>IFERROR(VLOOKUP(S68, Tarieven!$A$2:$J$150, 10, FALSE), "0")</f>
        <v>0</v>
      </c>
      <c r="U68" s="77" t="str">
        <f>Mei!U68</f>
        <v/>
      </c>
      <c r="V68" s="327" t="str">
        <f>Mei!V68</f>
        <v/>
      </c>
      <c r="W68" s="325" t="str">
        <f>IFERROR(VLOOKUP(V68, Tarieven!$A$2:$J$150, 10, FALSE), "0")</f>
        <v>0</v>
      </c>
      <c r="X68" s="138">
        <f>Mei!X68</f>
        <v>0</v>
      </c>
      <c r="Y68" s="398">
        <v>0.0</v>
      </c>
      <c r="Z68" s="329">
        <f t="shared" si="3"/>
        <v>0</v>
      </c>
      <c r="AA68" s="32">
        <f t="shared" si="4"/>
        <v>0</v>
      </c>
      <c r="AB68" s="32">
        <f t="shared" si="5"/>
        <v>0</v>
      </c>
      <c r="AC68" s="32">
        <f t="shared" si="6"/>
        <v>0</v>
      </c>
    </row>
    <row r="69" ht="22.5" customHeight="1">
      <c r="A69" s="331" t="str">
        <f>Rooster!A70</f>
        <v/>
      </c>
      <c r="B69" s="396" t="str">
        <f>Rooster!B70</f>
        <v/>
      </c>
      <c r="C69" s="15" t="str">
        <f>Rooster!C70</f>
        <v/>
      </c>
      <c r="D69" s="11" t="str">
        <f>Rooster!D70</f>
        <v/>
      </c>
      <c r="E69" s="77"/>
      <c r="F69" s="327" t="str">
        <f>Rooster!E70</f>
        <v/>
      </c>
      <c r="G69" s="319" t="str">
        <f>IFERROR(VLOOKUP(F69, Docenten!$A$2:$G$30, 7, FALSE), "0")</f>
        <v>0</v>
      </c>
      <c r="H69" s="320">
        <f t="shared" si="7"/>
        <v>0</v>
      </c>
      <c r="I69" s="327" t="str">
        <f>Rooster!H70</f>
        <v/>
      </c>
      <c r="J69" s="321" t="str">
        <f>IFERROR(VLOOKUP(I69, Locaties!$A$2:$G$15, 7, FALSE), "0")</f>
        <v>0</v>
      </c>
      <c r="K69" s="42">
        <f t="shared" si="2"/>
        <v>0</v>
      </c>
      <c r="L69" s="427" t="str">
        <f>Mei!L69</f>
        <v/>
      </c>
      <c r="M69" s="428" t="str">
        <f>Mei!M69</f>
        <v/>
      </c>
      <c r="N69" s="321" t="str">
        <f>IFERROR(VLOOKUP(M69, Tarieven!$A$1:$J$150, 10, FALSE), "0")</f>
        <v>0</v>
      </c>
      <c r="O69" s="427" t="str">
        <f>Mei!O69</f>
        <v/>
      </c>
      <c r="P69" s="428" t="str">
        <f>Mei!P69</f>
        <v/>
      </c>
      <c r="Q69" s="325" t="str">
        <f>IFERROR(VLOOKUP(P69, Tarieven!$A$2:$J$150, 10, FALSE), "0")</f>
        <v>0</v>
      </c>
      <c r="R69" s="444" t="str">
        <f>Mei!R69</f>
        <v/>
      </c>
      <c r="S69" s="428" t="str">
        <f>Mei!S69</f>
        <v/>
      </c>
      <c r="T69" s="325" t="str">
        <f>IFERROR(VLOOKUP(S69, Tarieven!$A$2:$J$150, 10, FALSE), "0")</f>
        <v>0</v>
      </c>
      <c r="U69" s="77" t="str">
        <f>Mei!U69</f>
        <v/>
      </c>
      <c r="V69" s="327" t="str">
        <f>Mei!V69</f>
        <v/>
      </c>
      <c r="W69" s="325" t="str">
        <f>IFERROR(VLOOKUP(V69, Tarieven!$A$2:$J$150, 10, FALSE), "0")</f>
        <v>0</v>
      </c>
      <c r="X69" s="138">
        <f>Mei!X69</f>
        <v>0</v>
      </c>
      <c r="Y69" s="398">
        <v>0.0</v>
      </c>
      <c r="Z69" s="329">
        <f t="shared" si="3"/>
        <v>0</v>
      </c>
      <c r="AA69" s="32">
        <f t="shared" si="4"/>
        <v>0</v>
      </c>
      <c r="AB69" s="32">
        <f t="shared" si="5"/>
        <v>0</v>
      </c>
      <c r="AC69" s="32">
        <f t="shared" si="6"/>
        <v>0</v>
      </c>
    </row>
    <row r="70" ht="22.5" customHeight="1">
      <c r="A70" s="331" t="str">
        <f>Rooster!A71</f>
        <v/>
      </c>
      <c r="B70" s="396" t="str">
        <f>Rooster!B71</f>
        <v/>
      </c>
      <c r="C70" s="15" t="str">
        <f>Rooster!C71</f>
        <v/>
      </c>
      <c r="D70" s="11" t="str">
        <f>Rooster!D71</f>
        <v/>
      </c>
      <c r="E70" s="77"/>
      <c r="F70" s="327" t="str">
        <f>Rooster!E71</f>
        <v/>
      </c>
      <c r="G70" s="319" t="str">
        <f>IFERROR(VLOOKUP(F70, Docenten!$A$2:$G$30, 7, FALSE), "0")</f>
        <v>0</v>
      </c>
      <c r="H70" s="320">
        <f t="shared" si="7"/>
        <v>0</v>
      </c>
      <c r="I70" s="327" t="str">
        <f>Rooster!H71</f>
        <v/>
      </c>
      <c r="J70" s="321" t="str">
        <f>IFERROR(VLOOKUP(I70, Locaties!$A$2:$G$15, 7, FALSE), "0")</f>
        <v>0</v>
      </c>
      <c r="K70" s="42">
        <f t="shared" si="2"/>
        <v>0</v>
      </c>
      <c r="L70" s="427" t="str">
        <f>Mei!L70</f>
        <v/>
      </c>
      <c r="M70" s="428" t="str">
        <f>Mei!M70</f>
        <v/>
      </c>
      <c r="N70" s="321" t="str">
        <f>IFERROR(VLOOKUP(M70, Tarieven!$A$1:$J$150, 10, FALSE), "0")</f>
        <v>0</v>
      </c>
      <c r="O70" s="427" t="str">
        <f>Mei!O70</f>
        <v/>
      </c>
      <c r="P70" s="428" t="str">
        <f>Mei!P70</f>
        <v/>
      </c>
      <c r="Q70" s="325" t="str">
        <f>IFERROR(VLOOKUP(P70, Tarieven!$A$2:$J$150, 10, FALSE), "0")</f>
        <v>0</v>
      </c>
      <c r="R70" s="444" t="str">
        <f>Mei!R70</f>
        <v/>
      </c>
      <c r="S70" s="428" t="str">
        <f>Mei!S70</f>
        <v/>
      </c>
      <c r="T70" s="325" t="str">
        <f>IFERROR(VLOOKUP(S70, Tarieven!$A$2:$J$150, 10, FALSE), "0")</f>
        <v>0</v>
      </c>
      <c r="U70" s="77" t="str">
        <f>Mei!U70</f>
        <v/>
      </c>
      <c r="V70" s="327" t="str">
        <f>Mei!V70</f>
        <v/>
      </c>
      <c r="W70" s="325" t="str">
        <f>IFERROR(VLOOKUP(V70, Tarieven!$A$2:$J$150, 10, FALSE), "0")</f>
        <v>0</v>
      </c>
      <c r="X70" s="138">
        <f>Mei!X70</f>
        <v>0</v>
      </c>
      <c r="Y70" s="398">
        <v>0.0</v>
      </c>
      <c r="Z70" s="329">
        <f t="shared" si="3"/>
        <v>0</v>
      </c>
      <c r="AA70" s="32">
        <f t="shared" si="4"/>
        <v>0</v>
      </c>
      <c r="AB70" s="32">
        <f t="shared" si="5"/>
        <v>0</v>
      </c>
      <c r="AC70" s="32">
        <f t="shared" si="6"/>
        <v>0</v>
      </c>
    </row>
    <row r="71" ht="22.5" customHeight="1">
      <c r="A71" s="331" t="str">
        <f>Rooster!A72</f>
        <v/>
      </c>
      <c r="B71" s="396" t="str">
        <f>Rooster!B72</f>
        <v/>
      </c>
      <c r="C71" s="15" t="str">
        <f>Rooster!C72</f>
        <v/>
      </c>
      <c r="D71" s="11" t="str">
        <f>Rooster!D72</f>
        <v/>
      </c>
      <c r="E71" s="77"/>
      <c r="F71" s="327" t="str">
        <f>Rooster!E72</f>
        <v/>
      </c>
      <c r="G71" s="319" t="str">
        <f>IFERROR(VLOOKUP(F71, Docenten!$A$2:$G$30, 7, FALSE), "0")</f>
        <v>0</v>
      </c>
      <c r="H71" s="320">
        <f t="shared" si="7"/>
        <v>0</v>
      </c>
      <c r="I71" s="327" t="str">
        <f>Rooster!H72</f>
        <v/>
      </c>
      <c r="J71" s="321" t="str">
        <f>IFERROR(VLOOKUP(I71, Locaties!$A$2:$G$15, 7, FALSE), "0")</f>
        <v>0</v>
      </c>
      <c r="K71" s="42">
        <f t="shared" si="2"/>
        <v>0</v>
      </c>
      <c r="L71" s="427" t="str">
        <f>Mei!L71</f>
        <v/>
      </c>
      <c r="M71" s="428" t="str">
        <f>Mei!M71</f>
        <v/>
      </c>
      <c r="N71" s="321" t="str">
        <f>IFERROR(VLOOKUP(M71, Tarieven!$A$1:$J$150, 10, FALSE), "0")</f>
        <v>0</v>
      </c>
      <c r="O71" s="427" t="str">
        <f>Mei!O71</f>
        <v/>
      </c>
      <c r="P71" s="428" t="str">
        <f>Mei!P71</f>
        <v/>
      </c>
      <c r="Q71" s="325" t="str">
        <f>IFERROR(VLOOKUP(P71, Tarieven!$A$2:$J$150, 10, FALSE), "0")</f>
        <v>0</v>
      </c>
      <c r="R71" s="444" t="str">
        <f>Mei!R71</f>
        <v/>
      </c>
      <c r="S71" s="428" t="str">
        <f>Mei!S71</f>
        <v/>
      </c>
      <c r="T71" s="325" t="str">
        <f>IFERROR(VLOOKUP(S71, Tarieven!$A$2:$J$150, 10, FALSE), "0")</f>
        <v>0</v>
      </c>
      <c r="U71" s="77" t="str">
        <f>Mei!U71</f>
        <v/>
      </c>
      <c r="V71" s="327" t="str">
        <f>Mei!V71</f>
        <v/>
      </c>
      <c r="W71" s="325" t="str">
        <f>IFERROR(VLOOKUP(V71, Tarieven!$A$2:$J$150, 10, FALSE), "0")</f>
        <v>0</v>
      </c>
      <c r="X71" s="138">
        <f>Mei!X71</f>
        <v>0</v>
      </c>
      <c r="Y71" s="398">
        <v>0.0</v>
      </c>
      <c r="Z71" s="329">
        <f t="shared" si="3"/>
        <v>0</v>
      </c>
      <c r="AA71" s="32">
        <f t="shared" si="4"/>
        <v>0</v>
      </c>
      <c r="AB71" s="32">
        <f t="shared" si="5"/>
        <v>0</v>
      </c>
      <c r="AC71" s="32">
        <f t="shared" si="6"/>
        <v>0</v>
      </c>
    </row>
    <row r="72" ht="22.5" customHeight="1">
      <c r="A72" s="331" t="str">
        <f>Rooster!A73</f>
        <v/>
      </c>
      <c r="B72" s="396" t="str">
        <f>Rooster!B73</f>
        <v/>
      </c>
      <c r="C72" s="15" t="str">
        <f>Rooster!C73</f>
        <v/>
      </c>
      <c r="D72" s="11" t="str">
        <f>Rooster!D73</f>
        <v/>
      </c>
      <c r="E72" s="77"/>
      <c r="F72" s="327" t="str">
        <f>Rooster!E73</f>
        <v/>
      </c>
      <c r="G72" s="319" t="str">
        <f>IFERROR(VLOOKUP(F72, Docenten!$A$2:$G$30, 7, FALSE), "0")</f>
        <v>0</v>
      </c>
      <c r="H72" s="320">
        <f t="shared" si="7"/>
        <v>0</v>
      </c>
      <c r="I72" s="327" t="str">
        <f>Rooster!H73</f>
        <v/>
      </c>
      <c r="J72" s="321" t="str">
        <f>IFERROR(VLOOKUP(I72, Locaties!$A$2:$G$15, 7, FALSE), "0")</f>
        <v>0</v>
      </c>
      <c r="K72" s="42">
        <f t="shared" si="2"/>
        <v>0</v>
      </c>
      <c r="L72" s="427" t="str">
        <f>Mei!L72</f>
        <v/>
      </c>
      <c r="M72" s="428" t="str">
        <f>Mei!M72</f>
        <v/>
      </c>
      <c r="N72" s="321" t="str">
        <f>IFERROR(VLOOKUP(M72, Tarieven!$A$1:$J$150, 10, FALSE), "0")</f>
        <v>0</v>
      </c>
      <c r="O72" s="427" t="str">
        <f>Mei!O72</f>
        <v/>
      </c>
      <c r="P72" s="428" t="str">
        <f>Mei!P72</f>
        <v/>
      </c>
      <c r="Q72" s="325" t="str">
        <f>IFERROR(VLOOKUP(P72, Tarieven!$A$2:$J$150, 10, FALSE), "0")</f>
        <v>0</v>
      </c>
      <c r="R72" s="444" t="str">
        <f>Mei!R72</f>
        <v/>
      </c>
      <c r="S72" s="428" t="str">
        <f>Mei!S72</f>
        <v/>
      </c>
      <c r="T72" s="325" t="str">
        <f>IFERROR(VLOOKUP(S72, Tarieven!$A$2:$J$150, 10, FALSE), "0")</f>
        <v>0</v>
      </c>
      <c r="U72" s="77" t="str">
        <f>Mei!U72</f>
        <v/>
      </c>
      <c r="V72" s="327" t="str">
        <f>Mei!V72</f>
        <v/>
      </c>
      <c r="W72" s="325" t="str">
        <f>IFERROR(VLOOKUP(V72, Tarieven!$A$2:$J$150, 10, FALSE), "0")</f>
        <v>0</v>
      </c>
      <c r="X72" s="138">
        <f>Mei!X72</f>
        <v>0</v>
      </c>
      <c r="Y72" s="398">
        <v>0.0</v>
      </c>
      <c r="Z72" s="329">
        <f t="shared" si="3"/>
        <v>0</v>
      </c>
      <c r="AA72" s="32">
        <f t="shared" si="4"/>
        <v>0</v>
      </c>
      <c r="AB72" s="32">
        <f t="shared" si="5"/>
        <v>0</v>
      </c>
      <c r="AC72" s="32">
        <f t="shared" si="6"/>
        <v>0</v>
      </c>
    </row>
    <row r="73" ht="22.5" customHeight="1">
      <c r="A73" s="331" t="str">
        <f>Rooster!A74</f>
        <v/>
      </c>
      <c r="B73" s="396" t="str">
        <f>Rooster!B74</f>
        <v/>
      </c>
      <c r="C73" s="15" t="str">
        <f>Rooster!C74</f>
        <v/>
      </c>
      <c r="D73" s="11" t="str">
        <f>Rooster!D74</f>
        <v/>
      </c>
      <c r="E73" s="77"/>
      <c r="F73" s="327" t="str">
        <f>Rooster!E74</f>
        <v/>
      </c>
      <c r="G73" s="319" t="str">
        <f>IFERROR(VLOOKUP(F73, Docenten!$A$2:$G$30, 7, FALSE), "0")</f>
        <v>0</v>
      </c>
      <c r="H73" s="320">
        <f t="shared" si="7"/>
        <v>0</v>
      </c>
      <c r="I73" s="327" t="str">
        <f>Rooster!H74</f>
        <v/>
      </c>
      <c r="J73" s="321" t="str">
        <f>IFERROR(VLOOKUP(I73, Locaties!$A$2:$G$15, 7, FALSE), "0")</f>
        <v>0</v>
      </c>
      <c r="K73" s="42">
        <f t="shared" si="2"/>
        <v>0</v>
      </c>
      <c r="L73" s="427" t="str">
        <f>Mei!L73</f>
        <v/>
      </c>
      <c r="M73" s="428" t="str">
        <f>Mei!M73</f>
        <v/>
      </c>
      <c r="N73" s="321" t="str">
        <f>IFERROR(VLOOKUP(M73, Tarieven!$A$1:$J$150, 10, FALSE), "0")</f>
        <v>0</v>
      </c>
      <c r="O73" s="427" t="str">
        <f>Mei!O73</f>
        <v/>
      </c>
      <c r="P73" s="428" t="str">
        <f>Mei!P73</f>
        <v/>
      </c>
      <c r="Q73" s="325" t="str">
        <f>IFERROR(VLOOKUP(P73, Tarieven!$A$2:$J$150, 10, FALSE), "0")</f>
        <v>0</v>
      </c>
      <c r="R73" s="444" t="str">
        <f>Mei!R73</f>
        <v/>
      </c>
      <c r="S73" s="428" t="str">
        <f>Mei!S73</f>
        <v/>
      </c>
      <c r="T73" s="325" t="str">
        <f>IFERROR(VLOOKUP(S73, Tarieven!$A$2:$J$150, 10, FALSE), "0")</f>
        <v>0</v>
      </c>
      <c r="U73" s="77" t="str">
        <f>Mei!U73</f>
        <v/>
      </c>
      <c r="V73" s="327" t="str">
        <f>Mei!V73</f>
        <v/>
      </c>
      <c r="W73" s="325" t="str">
        <f>IFERROR(VLOOKUP(V73, Tarieven!$A$2:$J$150, 10, FALSE), "0")</f>
        <v>0</v>
      </c>
      <c r="X73" s="138">
        <f>Mei!X73</f>
        <v>0</v>
      </c>
      <c r="Y73" s="398">
        <v>0.0</v>
      </c>
      <c r="Z73" s="329">
        <f t="shared" si="3"/>
        <v>0</v>
      </c>
      <c r="AA73" s="32">
        <f t="shared" si="4"/>
        <v>0</v>
      </c>
      <c r="AB73" s="32">
        <f t="shared" si="5"/>
        <v>0</v>
      </c>
      <c r="AC73" s="32">
        <f t="shared" si="6"/>
        <v>0</v>
      </c>
    </row>
    <row r="74" ht="22.5" customHeight="1">
      <c r="A74" s="331" t="str">
        <f>Rooster!A75</f>
        <v/>
      </c>
      <c r="B74" s="396" t="str">
        <f>Rooster!B75</f>
        <v/>
      </c>
      <c r="C74" s="15" t="str">
        <f>Rooster!C75</f>
        <v/>
      </c>
      <c r="D74" s="11" t="str">
        <f>Rooster!D75</f>
        <v/>
      </c>
      <c r="E74" s="77"/>
      <c r="F74" s="327" t="str">
        <f>Rooster!E75</f>
        <v/>
      </c>
      <c r="G74" s="319" t="str">
        <f>IFERROR(VLOOKUP(F74, Docenten!$A$2:$G$30, 7, FALSE), "0")</f>
        <v>0</v>
      </c>
      <c r="H74" s="320">
        <f t="shared" si="7"/>
        <v>0</v>
      </c>
      <c r="I74" s="327" t="str">
        <f>Rooster!H75</f>
        <v/>
      </c>
      <c r="J74" s="321" t="str">
        <f>IFERROR(VLOOKUP(I74, Locaties!$A$2:$G$15, 7, FALSE), "0")</f>
        <v>0</v>
      </c>
      <c r="K74" s="42">
        <f t="shared" si="2"/>
        <v>0</v>
      </c>
      <c r="L74" s="427" t="str">
        <f>Mei!L74</f>
        <v/>
      </c>
      <c r="M74" s="428" t="str">
        <f>Mei!M74</f>
        <v/>
      </c>
      <c r="N74" s="321" t="str">
        <f>IFERROR(VLOOKUP(M74, Tarieven!$A$1:$J$150, 10, FALSE), "0")</f>
        <v>0</v>
      </c>
      <c r="O74" s="427" t="str">
        <f>Mei!O74</f>
        <v/>
      </c>
      <c r="P74" s="428" t="str">
        <f>Mei!P74</f>
        <v/>
      </c>
      <c r="Q74" s="325" t="str">
        <f>IFERROR(VLOOKUP(P74, Tarieven!$A$2:$J$150, 10, FALSE), "0")</f>
        <v>0</v>
      </c>
      <c r="R74" s="444" t="str">
        <f>Mei!R74</f>
        <v/>
      </c>
      <c r="S74" s="428" t="str">
        <f>Mei!S74</f>
        <v/>
      </c>
      <c r="T74" s="325" t="str">
        <f>IFERROR(VLOOKUP(S74, Tarieven!$A$2:$J$150, 10, FALSE), "0")</f>
        <v>0</v>
      </c>
      <c r="U74" s="77" t="str">
        <f>Mei!U74</f>
        <v/>
      </c>
      <c r="V74" s="327" t="str">
        <f>Mei!V74</f>
        <v/>
      </c>
      <c r="W74" s="325" t="str">
        <f>IFERROR(VLOOKUP(V74, Tarieven!$A$2:$J$150, 10, FALSE), "0")</f>
        <v>0</v>
      </c>
      <c r="X74" s="138">
        <f>Mei!X74</f>
        <v>0</v>
      </c>
      <c r="Y74" s="398">
        <v>0.0</v>
      </c>
      <c r="Z74" s="329">
        <f t="shared" si="3"/>
        <v>0</v>
      </c>
      <c r="AA74" s="32">
        <f t="shared" si="4"/>
        <v>0</v>
      </c>
      <c r="AB74" s="32">
        <f t="shared" si="5"/>
        <v>0</v>
      </c>
      <c r="AC74" s="32">
        <f t="shared" si="6"/>
        <v>0</v>
      </c>
    </row>
    <row r="75" ht="22.5" customHeight="1">
      <c r="A75" s="331" t="str">
        <f>Rooster!A76</f>
        <v/>
      </c>
      <c r="B75" s="396" t="str">
        <f>Rooster!B76</f>
        <v/>
      </c>
      <c r="C75" s="15" t="str">
        <f>Rooster!C76</f>
        <v/>
      </c>
      <c r="D75" s="11" t="str">
        <f>Rooster!D76</f>
        <v/>
      </c>
      <c r="E75" s="77"/>
      <c r="F75" s="327" t="str">
        <f>Rooster!E76</f>
        <v/>
      </c>
      <c r="G75" s="319" t="str">
        <f>IFERROR(VLOOKUP(F75, Docenten!$A$2:$G$30, 7, FALSE), "0")</f>
        <v>0</v>
      </c>
      <c r="H75" s="320">
        <f t="shared" si="7"/>
        <v>0</v>
      </c>
      <c r="I75" s="327" t="str">
        <f>Rooster!H76</f>
        <v/>
      </c>
      <c r="J75" s="321" t="str">
        <f>IFERROR(VLOOKUP(I75, Locaties!$A$2:$G$15, 7, FALSE), "0")</f>
        <v>0</v>
      </c>
      <c r="K75" s="42">
        <f t="shared" si="2"/>
        <v>0</v>
      </c>
      <c r="L75" s="427" t="str">
        <f>Mei!L75</f>
        <v/>
      </c>
      <c r="M75" s="428" t="str">
        <f>Mei!M75</f>
        <v/>
      </c>
      <c r="N75" s="321" t="str">
        <f>IFERROR(VLOOKUP(M75, Tarieven!$A$1:$J$150, 10, FALSE), "0")</f>
        <v>0</v>
      </c>
      <c r="O75" s="427" t="str">
        <f>Mei!O75</f>
        <v/>
      </c>
      <c r="P75" s="428" t="str">
        <f>Mei!P75</f>
        <v/>
      </c>
      <c r="Q75" s="325" t="str">
        <f>IFERROR(VLOOKUP(P75, Tarieven!$A$2:$J$150, 10, FALSE), "0")</f>
        <v>0</v>
      </c>
      <c r="R75" s="444" t="str">
        <f>Mei!R75</f>
        <v/>
      </c>
      <c r="S75" s="428" t="str">
        <f>Mei!S75</f>
        <v/>
      </c>
      <c r="T75" s="325" t="str">
        <f>IFERROR(VLOOKUP(S75, Tarieven!$A$2:$J$150, 10, FALSE), "0")</f>
        <v>0</v>
      </c>
      <c r="U75" s="77" t="str">
        <f>Mei!U75</f>
        <v/>
      </c>
      <c r="V75" s="327" t="str">
        <f>Mei!V75</f>
        <v/>
      </c>
      <c r="W75" s="325" t="str">
        <f>IFERROR(VLOOKUP(V75, Tarieven!$A$2:$J$150, 10, FALSE), "0")</f>
        <v>0</v>
      </c>
      <c r="X75" s="138">
        <f>Mei!X75</f>
        <v>0</v>
      </c>
      <c r="Y75" s="398">
        <v>0.0</v>
      </c>
      <c r="Z75" s="329">
        <f t="shared" si="3"/>
        <v>0</v>
      </c>
      <c r="AA75" s="32">
        <f t="shared" si="4"/>
        <v>0</v>
      </c>
      <c r="AB75" s="32">
        <f t="shared" si="5"/>
        <v>0</v>
      </c>
      <c r="AC75" s="32">
        <f t="shared" si="6"/>
        <v>0</v>
      </c>
    </row>
    <row r="76" ht="22.5" customHeight="1">
      <c r="A76" s="331" t="str">
        <f>Rooster!A77</f>
        <v/>
      </c>
      <c r="B76" s="396" t="str">
        <f>Rooster!B77</f>
        <v/>
      </c>
      <c r="C76" s="15" t="str">
        <f>Rooster!C77</f>
        <v/>
      </c>
      <c r="D76" s="11" t="str">
        <f>Rooster!D77</f>
        <v/>
      </c>
      <c r="E76" s="77"/>
      <c r="F76" s="327" t="str">
        <f>Rooster!E77</f>
        <v/>
      </c>
      <c r="G76" s="319" t="str">
        <f>IFERROR(VLOOKUP(F76, Docenten!$A$2:$G$30, 7, FALSE), "0")</f>
        <v>0</v>
      </c>
      <c r="H76" s="320">
        <f t="shared" si="7"/>
        <v>0</v>
      </c>
      <c r="I76" s="327" t="str">
        <f>Rooster!H77</f>
        <v/>
      </c>
      <c r="J76" s="321" t="str">
        <f>IFERROR(VLOOKUP(I76, Locaties!$A$2:$G$15, 7, FALSE), "0")</f>
        <v>0</v>
      </c>
      <c r="K76" s="42">
        <f t="shared" si="2"/>
        <v>0</v>
      </c>
      <c r="L76" s="427" t="str">
        <f>Mei!L76</f>
        <v/>
      </c>
      <c r="M76" s="428" t="str">
        <f>Mei!M76</f>
        <v/>
      </c>
      <c r="N76" s="321" t="str">
        <f>IFERROR(VLOOKUP(M76, Tarieven!$A$1:$J$150, 10, FALSE), "0")</f>
        <v>0</v>
      </c>
      <c r="O76" s="427" t="str">
        <f>Mei!O76</f>
        <v/>
      </c>
      <c r="P76" s="428" t="str">
        <f>Mei!P76</f>
        <v/>
      </c>
      <c r="Q76" s="325" t="str">
        <f>IFERROR(VLOOKUP(P76, Tarieven!$A$2:$J$150, 10, FALSE), "0")</f>
        <v>0</v>
      </c>
      <c r="R76" s="444" t="str">
        <f>Mei!R76</f>
        <v/>
      </c>
      <c r="S76" s="428" t="str">
        <f>Mei!S76</f>
        <v/>
      </c>
      <c r="T76" s="325" t="str">
        <f>IFERROR(VLOOKUP(S76, Tarieven!$A$2:$J$150, 10, FALSE), "0")</f>
        <v>0</v>
      </c>
      <c r="U76" s="77" t="str">
        <f>Mei!U76</f>
        <v/>
      </c>
      <c r="V76" s="327" t="str">
        <f>Mei!V76</f>
        <v/>
      </c>
      <c r="W76" s="325" t="str">
        <f>IFERROR(VLOOKUP(V76, Tarieven!$A$2:$J$150, 10, FALSE), "0")</f>
        <v>0</v>
      </c>
      <c r="X76" s="138">
        <f>Mei!X76</f>
        <v>0</v>
      </c>
      <c r="Y76" s="398">
        <v>0.0</v>
      </c>
      <c r="Z76" s="329">
        <f t="shared" si="3"/>
        <v>0</v>
      </c>
      <c r="AA76" s="32">
        <f t="shared" si="4"/>
        <v>0</v>
      </c>
      <c r="AB76" s="32">
        <f t="shared" si="5"/>
        <v>0</v>
      </c>
      <c r="AC76" s="32">
        <f t="shared" si="6"/>
        <v>0</v>
      </c>
    </row>
    <row r="77" ht="22.5" customHeight="1">
      <c r="A77" s="331" t="str">
        <f>Rooster!A78</f>
        <v/>
      </c>
      <c r="B77" s="396" t="str">
        <f>Rooster!B78</f>
        <v/>
      </c>
      <c r="C77" s="15" t="str">
        <f>Rooster!C78</f>
        <v/>
      </c>
      <c r="D77" s="11" t="str">
        <f>Rooster!D78</f>
        <v/>
      </c>
      <c r="E77" s="77"/>
      <c r="F77" s="327" t="str">
        <f>Rooster!E78</f>
        <v/>
      </c>
      <c r="G77" s="319" t="str">
        <f>IFERROR(VLOOKUP(F77, Docenten!$A$2:$G$30, 7, FALSE), "0")</f>
        <v>0</v>
      </c>
      <c r="H77" s="320">
        <f t="shared" si="7"/>
        <v>0</v>
      </c>
      <c r="I77" s="327" t="str">
        <f>Rooster!H78</f>
        <v/>
      </c>
      <c r="J77" s="321" t="str">
        <f>IFERROR(VLOOKUP(I77, Locaties!$A$2:$G$15, 7, FALSE), "0")</f>
        <v>0</v>
      </c>
      <c r="K77" s="42">
        <f t="shared" si="2"/>
        <v>0</v>
      </c>
      <c r="L77" s="427" t="str">
        <f>Mei!L77</f>
        <v/>
      </c>
      <c r="M77" s="428" t="str">
        <f>Mei!M77</f>
        <v/>
      </c>
      <c r="N77" s="321" t="str">
        <f>IFERROR(VLOOKUP(M77, Tarieven!$A$1:$J$150, 10, FALSE), "0")</f>
        <v>0</v>
      </c>
      <c r="O77" s="427" t="str">
        <f>Mei!O77</f>
        <v/>
      </c>
      <c r="P77" s="428" t="str">
        <f>Mei!P77</f>
        <v/>
      </c>
      <c r="Q77" s="325" t="str">
        <f>IFERROR(VLOOKUP(P77, Tarieven!$A$2:$J$150, 10, FALSE), "0")</f>
        <v>0</v>
      </c>
      <c r="R77" s="444" t="str">
        <f>Mei!R77</f>
        <v/>
      </c>
      <c r="S77" s="428" t="str">
        <f>Mei!S77</f>
        <v/>
      </c>
      <c r="T77" s="325" t="str">
        <f>IFERROR(VLOOKUP(S77, Tarieven!$A$2:$J$150, 10, FALSE), "0")</f>
        <v>0</v>
      </c>
      <c r="U77" s="77" t="str">
        <f>Mei!U77</f>
        <v/>
      </c>
      <c r="V77" s="327" t="str">
        <f>Mei!V77</f>
        <v/>
      </c>
      <c r="W77" s="325" t="str">
        <f>IFERROR(VLOOKUP(V77, Tarieven!$A$2:$J$150, 10, FALSE), "0")</f>
        <v>0</v>
      </c>
      <c r="X77" s="138">
        <f>Mei!X77</f>
        <v>0</v>
      </c>
      <c r="Y77" s="398">
        <v>0.0</v>
      </c>
      <c r="Z77" s="329">
        <f t="shared" si="3"/>
        <v>0</v>
      </c>
      <c r="AA77" s="32">
        <f t="shared" si="4"/>
        <v>0</v>
      </c>
      <c r="AB77" s="32">
        <f t="shared" si="5"/>
        <v>0</v>
      </c>
      <c r="AC77" s="32">
        <f t="shared" si="6"/>
        <v>0</v>
      </c>
    </row>
    <row r="78" ht="22.5" customHeight="1">
      <c r="A78" s="331" t="str">
        <f>Rooster!A79</f>
        <v/>
      </c>
      <c r="B78" s="396" t="str">
        <f>Rooster!B79</f>
        <v/>
      </c>
      <c r="C78" s="15" t="str">
        <f>Rooster!C79</f>
        <v/>
      </c>
      <c r="D78" s="11" t="str">
        <f>Rooster!D79</f>
        <v/>
      </c>
      <c r="E78" s="77"/>
      <c r="F78" s="327" t="str">
        <f>Rooster!E79</f>
        <v/>
      </c>
      <c r="G78" s="319" t="str">
        <f>IFERROR(VLOOKUP(F78, Docenten!$A$2:$G$30, 7, FALSE), "0")</f>
        <v>0</v>
      </c>
      <c r="H78" s="320">
        <f t="shared" si="7"/>
        <v>0</v>
      </c>
      <c r="I78" s="327" t="str">
        <f>Rooster!H79</f>
        <v/>
      </c>
      <c r="J78" s="321" t="str">
        <f>IFERROR(VLOOKUP(I78, Locaties!$A$2:$G$15, 7, FALSE), "0")</f>
        <v>0</v>
      </c>
      <c r="K78" s="42">
        <f t="shared" si="2"/>
        <v>0</v>
      </c>
      <c r="L78" s="427" t="str">
        <f>Mei!L78</f>
        <v/>
      </c>
      <c r="M78" s="428" t="str">
        <f>Mei!M78</f>
        <v/>
      </c>
      <c r="N78" s="321" t="str">
        <f>IFERROR(VLOOKUP(M78, Tarieven!$A$1:$J$150, 10, FALSE), "0")</f>
        <v>0</v>
      </c>
      <c r="O78" s="427" t="str">
        <f>Mei!O78</f>
        <v/>
      </c>
      <c r="P78" s="428" t="str">
        <f>Mei!P78</f>
        <v/>
      </c>
      <c r="Q78" s="325" t="str">
        <f>IFERROR(VLOOKUP(P78, Tarieven!$A$2:$J$150, 10, FALSE), "0")</f>
        <v>0</v>
      </c>
      <c r="R78" s="444" t="str">
        <f>Mei!R78</f>
        <v/>
      </c>
      <c r="S78" s="428" t="str">
        <f>Mei!S78</f>
        <v/>
      </c>
      <c r="T78" s="325" t="str">
        <f>IFERROR(VLOOKUP(S78, Tarieven!$A$2:$J$150, 10, FALSE), "0")</f>
        <v>0</v>
      </c>
      <c r="U78" s="77" t="str">
        <f>Mei!U78</f>
        <v/>
      </c>
      <c r="V78" s="327" t="str">
        <f>Mei!V78</f>
        <v/>
      </c>
      <c r="W78" s="325" t="str">
        <f>IFERROR(VLOOKUP(V78, Tarieven!$A$2:$J$150, 10, FALSE), "0")</f>
        <v>0</v>
      </c>
      <c r="X78" s="138">
        <f>Mei!X78</f>
        <v>0</v>
      </c>
      <c r="Y78" s="398">
        <v>0.0</v>
      </c>
      <c r="Z78" s="329">
        <f t="shared" si="3"/>
        <v>0</v>
      </c>
      <c r="AA78" s="32">
        <f t="shared" si="4"/>
        <v>0</v>
      </c>
      <c r="AB78" s="32">
        <f t="shared" si="5"/>
        <v>0</v>
      </c>
      <c r="AC78" s="32">
        <f t="shared" si="6"/>
        <v>0</v>
      </c>
    </row>
    <row r="79" ht="22.5" customHeight="1">
      <c r="A79" s="331" t="str">
        <f>Rooster!A80</f>
        <v/>
      </c>
      <c r="B79" s="396" t="str">
        <f>Rooster!B80</f>
        <v/>
      </c>
      <c r="C79" s="15" t="str">
        <f>Rooster!C80</f>
        <v/>
      </c>
      <c r="D79" s="11" t="str">
        <f>Rooster!D80</f>
        <v/>
      </c>
      <c r="E79" s="77"/>
      <c r="F79" s="327" t="str">
        <f>Rooster!E80</f>
        <v/>
      </c>
      <c r="G79" s="319" t="str">
        <f>IFERROR(VLOOKUP(F79, Docenten!$A$2:$G$30, 7, FALSE), "0")</f>
        <v>0</v>
      </c>
      <c r="H79" s="320">
        <f t="shared" si="7"/>
        <v>0</v>
      </c>
      <c r="I79" s="327" t="str">
        <f>Rooster!H80</f>
        <v/>
      </c>
      <c r="J79" s="321" t="str">
        <f>IFERROR(VLOOKUP(I79, Locaties!$A$2:$G$15, 7, FALSE), "0")</f>
        <v>0</v>
      </c>
      <c r="K79" s="42">
        <f t="shared" si="2"/>
        <v>0</v>
      </c>
      <c r="L79" s="427" t="str">
        <f>Mei!L79</f>
        <v/>
      </c>
      <c r="M79" s="428" t="str">
        <f>Mei!M79</f>
        <v/>
      </c>
      <c r="N79" s="321" t="str">
        <f>IFERROR(VLOOKUP(M79, Tarieven!$A$1:$J$150, 10, FALSE), "0")</f>
        <v>0</v>
      </c>
      <c r="O79" s="427" t="str">
        <f>Mei!O79</f>
        <v/>
      </c>
      <c r="P79" s="428" t="str">
        <f>Mei!P79</f>
        <v/>
      </c>
      <c r="Q79" s="325" t="str">
        <f>IFERROR(VLOOKUP(P79, Tarieven!$A$2:$J$150, 10, FALSE), "0")</f>
        <v>0</v>
      </c>
      <c r="R79" s="444" t="str">
        <f>Mei!R79</f>
        <v/>
      </c>
      <c r="S79" s="428" t="str">
        <f>Mei!S79</f>
        <v/>
      </c>
      <c r="T79" s="325" t="str">
        <f>IFERROR(VLOOKUP(S79, Tarieven!$A$2:$J$150, 10, FALSE), "0")</f>
        <v>0</v>
      </c>
      <c r="U79" s="77" t="str">
        <f>Mei!U79</f>
        <v/>
      </c>
      <c r="V79" s="327" t="str">
        <f>Mei!V79</f>
        <v/>
      </c>
      <c r="W79" s="325" t="str">
        <f>IFERROR(VLOOKUP(V79, Tarieven!$A$2:$J$150, 10, FALSE), "0")</f>
        <v>0</v>
      </c>
      <c r="X79" s="138">
        <f>Mei!X79</f>
        <v>0</v>
      </c>
      <c r="Y79" s="398">
        <v>0.0</v>
      </c>
      <c r="Z79" s="329">
        <f t="shared" si="3"/>
        <v>0</v>
      </c>
      <c r="AA79" s="32">
        <f t="shared" si="4"/>
        <v>0</v>
      </c>
      <c r="AB79" s="32">
        <f t="shared" si="5"/>
        <v>0</v>
      </c>
      <c r="AC79" s="32">
        <f t="shared" si="6"/>
        <v>0</v>
      </c>
    </row>
    <row r="80" ht="22.5" customHeight="1">
      <c r="A80" s="331" t="str">
        <f>Rooster!A81</f>
        <v/>
      </c>
      <c r="B80" s="396" t="str">
        <f>Rooster!B81</f>
        <v/>
      </c>
      <c r="C80" s="15" t="str">
        <f>Rooster!C81</f>
        <v/>
      </c>
      <c r="D80" s="11" t="str">
        <f>Rooster!D81</f>
        <v/>
      </c>
      <c r="E80" s="77"/>
      <c r="F80" s="327" t="str">
        <f>Rooster!E81</f>
        <v/>
      </c>
      <c r="G80" s="319" t="str">
        <f>IFERROR(VLOOKUP(F80, Docenten!$A$2:$G$30, 7, FALSE), "0")</f>
        <v>0</v>
      </c>
      <c r="H80" s="320">
        <f t="shared" si="7"/>
        <v>0</v>
      </c>
      <c r="I80" s="327" t="str">
        <f>Rooster!H81</f>
        <v/>
      </c>
      <c r="J80" s="321" t="str">
        <f>IFERROR(VLOOKUP(I80, Locaties!$A$2:$G$15, 7, FALSE), "0")</f>
        <v>0</v>
      </c>
      <c r="K80" s="42">
        <f t="shared" si="2"/>
        <v>0</v>
      </c>
      <c r="L80" s="427" t="str">
        <f>Mei!L80</f>
        <v/>
      </c>
      <c r="M80" s="428" t="str">
        <f>Mei!M80</f>
        <v/>
      </c>
      <c r="N80" s="321" t="str">
        <f>IFERROR(VLOOKUP(M80, Tarieven!$A$1:$J$150, 10, FALSE), "0")</f>
        <v>0</v>
      </c>
      <c r="O80" s="427" t="str">
        <f>Mei!O80</f>
        <v/>
      </c>
      <c r="P80" s="428" t="str">
        <f>Mei!P80</f>
        <v/>
      </c>
      <c r="Q80" s="325" t="str">
        <f>IFERROR(VLOOKUP(P80, Tarieven!$A$2:$J$150, 10, FALSE), "0")</f>
        <v>0</v>
      </c>
      <c r="R80" s="444" t="str">
        <f>Mei!R80</f>
        <v/>
      </c>
      <c r="S80" s="428" t="str">
        <f>Mei!S80</f>
        <v/>
      </c>
      <c r="T80" s="325" t="str">
        <f>IFERROR(VLOOKUP(S80, Tarieven!$A$2:$J$150, 10, FALSE), "0")</f>
        <v>0</v>
      </c>
      <c r="U80" s="77" t="str">
        <f>Mei!U80</f>
        <v/>
      </c>
      <c r="V80" s="327" t="str">
        <f>Mei!V80</f>
        <v/>
      </c>
      <c r="W80" s="325" t="str">
        <f>IFERROR(VLOOKUP(V80, Tarieven!$A$2:$J$150, 10, FALSE), "0")</f>
        <v>0</v>
      </c>
      <c r="X80" s="138">
        <f>Mei!X80</f>
        <v>0</v>
      </c>
      <c r="Y80" s="398">
        <v>0.0</v>
      </c>
      <c r="Z80" s="329">
        <f t="shared" si="3"/>
        <v>0</v>
      </c>
      <c r="AA80" s="32">
        <f t="shared" si="4"/>
        <v>0</v>
      </c>
      <c r="AB80" s="32">
        <f t="shared" si="5"/>
        <v>0</v>
      </c>
      <c r="AC80" s="32">
        <f t="shared" si="6"/>
        <v>0</v>
      </c>
    </row>
    <row r="81" ht="22.5" customHeight="1">
      <c r="A81" s="331" t="str">
        <f>Rooster!A82</f>
        <v/>
      </c>
      <c r="B81" s="396" t="str">
        <f>Rooster!B82</f>
        <v/>
      </c>
      <c r="C81" s="15" t="str">
        <f>Rooster!C82</f>
        <v/>
      </c>
      <c r="D81" s="11" t="str">
        <f>Rooster!D82</f>
        <v/>
      </c>
      <c r="E81" s="77"/>
      <c r="F81" s="327" t="str">
        <f>Rooster!E82</f>
        <v/>
      </c>
      <c r="G81" s="319" t="str">
        <f>IFERROR(VLOOKUP(F81, Docenten!$A$2:$G$30, 7, FALSE), "0")</f>
        <v>0</v>
      </c>
      <c r="H81" s="320">
        <f t="shared" si="7"/>
        <v>0</v>
      </c>
      <c r="I81" s="327" t="str">
        <f>Rooster!H82</f>
        <v/>
      </c>
      <c r="J81" s="321" t="str">
        <f>IFERROR(VLOOKUP(I81, Locaties!$A$2:$G$15, 7, FALSE), "0")</f>
        <v>0</v>
      </c>
      <c r="K81" s="42">
        <f t="shared" si="2"/>
        <v>0</v>
      </c>
      <c r="L81" s="427" t="str">
        <f>Mei!L81</f>
        <v/>
      </c>
      <c r="M81" s="428" t="str">
        <f>Mei!M81</f>
        <v/>
      </c>
      <c r="N81" s="321" t="str">
        <f>IFERROR(VLOOKUP(M81, Tarieven!$A$1:$J$150, 10, FALSE), "0")</f>
        <v>0</v>
      </c>
      <c r="O81" s="427" t="str">
        <f>Mei!O81</f>
        <v/>
      </c>
      <c r="P81" s="428" t="str">
        <f>Mei!P81</f>
        <v/>
      </c>
      <c r="Q81" s="325" t="str">
        <f>IFERROR(VLOOKUP(P81, Tarieven!$A$2:$J$150, 10, FALSE), "0")</f>
        <v>0</v>
      </c>
      <c r="R81" s="444" t="str">
        <f>Mei!R81</f>
        <v/>
      </c>
      <c r="S81" s="428" t="str">
        <f>Mei!S81</f>
        <v/>
      </c>
      <c r="T81" s="325" t="str">
        <f>IFERROR(VLOOKUP(S81, Tarieven!$A$2:$J$150, 10, FALSE), "0")</f>
        <v>0</v>
      </c>
      <c r="U81" s="77" t="str">
        <f>Mei!U81</f>
        <v/>
      </c>
      <c r="V81" s="327" t="str">
        <f>Mei!V81</f>
        <v/>
      </c>
      <c r="W81" s="325" t="str">
        <f>IFERROR(VLOOKUP(V81, Tarieven!$A$2:$J$150, 10, FALSE), "0")</f>
        <v>0</v>
      </c>
      <c r="X81" s="138">
        <f>Mei!X81</f>
        <v>0</v>
      </c>
      <c r="Y81" s="398">
        <v>0.0</v>
      </c>
      <c r="Z81" s="329">
        <f t="shared" si="3"/>
        <v>0</v>
      </c>
      <c r="AA81" s="32">
        <f t="shared" si="4"/>
        <v>0</v>
      </c>
      <c r="AB81" s="32">
        <f t="shared" si="5"/>
        <v>0</v>
      </c>
      <c r="AC81" s="32">
        <f t="shared" si="6"/>
        <v>0</v>
      </c>
    </row>
    <row r="82" ht="22.5" customHeight="1">
      <c r="A82" s="331" t="str">
        <f>Rooster!A83</f>
        <v/>
      </c>
      <c r="B82" s="396" t="str">
        <f>Rooster!B83</f>
        <v/>
      </c>
      <c r="C82" s="15" t="str">
        <f>Rooster!C83</f>
        <v/>
      </c>
      <c r="D82" s="11" t="str">
        <f>Rooster!D83</f>
        <v/>
      </c>
      <c r="E82" s="77"/>
      <c r="F82" s="327" t="str">
        <f>Rooster!E83</f>
        <v/>
      </c>
      <c r="G82" s="319" t="str">
        <f>IFERROR(VLOOKUP(F82, Docenten!$A$2:$G$30, 7, FALSE), "0")</f>
        <v>0</v>
      </c>
      <c r="H82" s="320">
        <f t="shared" si="7"/>
        <v>0</v>
      </c>
      <c r="I82" s="327" t="str">
        <f>Rooster!H83</f>
        <v/>
      </c>
      <c r="J82" s="321" t="str">
        <f>IFERROR(VLOOKUP(I82, Locaties!$A$2:$G$15, 7, FALSE), "0")</f>
        <v>0</v>
      </c>
      <c r="K82" s="42">
        <f t="shared" si="2"/>
        <v>0</v>
      </c>
      <c r="L82" s="427" t="str">
        <f>Mei!L82</f>
        <v/>
      </c>
      <c r="M82" s="428" t="str">
        <f>Mei!M82</f>
        <v/>
      </c>
      <c r="N82" s="321" t="str">
        <f>IFERROR(VLOOKUP(M82, Tarieven!$A$1:$J$150, 10, FALSE), "0")</f>
        <v>0</v>
      </c>
      <c r="O82" s="427" t="str">
        <f>Mei!O82</f>
        <v/>
      </c>
      <c r="P82" s="428" t="str">
        <f>Mei!P82</f>
        <v/>
      </c>
      <c r="Q82" s="325" t="str">
        <f>IFERROR(VLOOKUP(P82, Tarieven!$A$2:$J$150, 10, FALSE), "0")</f>
        <v>0</v>
      </c>
      <c r="R82" s="444" t="str">
        <f>Mei!R82</f>
        <v/>
      </c>
      <c r="S82" s="428" t="str">
        <f>Mei!S82</f>
        <v/>
      </c>
      <c r="T82" s="325" t="str">
        <f>IFERROR(VLOOKUP(S82, Tarieven!$A$2:$J$150, 10, FALSE), "0")</f>
        <v>0</v>
      </c>
      <c r="U82" s="77" t="str">
        <f>Mei!U82</f>
        <v/>
      </c>
      <c r="V82" s="327" t="str">
        <f>Mei!V82</f>
        <v/>
      </c>
      <c r="W82" s="325" t="str">
        <f>IFERROR(VLOOKUP(V82, Tarieven!$A$2:$J$150, 10, FALSE), "0")</f>
        <v>0</v>
      </c>
      <c r="X82" s="138">
        <f>Mei!X82</f>
        <v>0</v>
      </c>
      <c r="Y82" s="398">
        <v>0.0</v>
      </c>
      <c r="Z82" s="329">
        <f t="shared" si="3"/>
        <v>0</v>
      </c>
      <c r="AA82" s="32">
        <f t="shared" si="4"/>
        <v>0</v>
      </c>
      <c r="AB82" s="32">
        <f t="shared" si="5"/>
        <v>0</v>
      </c>
      <c r="AC82" s="32">
        <f t="shared" si="6"/>
        <v>0</v>
      </c>
    </row>
    <row r="83" ht="22.5" customHeight="1">
      <c r="A83" s="331" t="str">
        <f>Rooster!A84</f>
        <v/>
      </c>
      <c r="B83" s="396" t="str">
        <f>Rooster!B84</f>
        <v/>
      </c>
      <c r="C83" s="15" t="str">
        <f>Rooster!C84</f>
        <v/>
      </c>
      <c r="D83" s="11" t="str">
        <f>Rooster!D84</f>
        <v/>
      </c>
      <c r="E83" s="77"/>
      <c r="F83" s="327" t="str">
        <f>Rooster!E84</f>
        <v/>
      </c>
      <c r="G83" s="319" t="str">
        <f>IFERROR(VLOOKUP(F83, Docenten!$A$2:$G$30, 7, FALSE), "0")</f>
        <v>0</v>
      </c>
      <c r="H83" s="320">
        <f t="shared" si="7"/>
        <v>0</v>
      </c>
      <c r="I83" s="327" t="str">
        <f>Rooster!H84</f>
        <v/>
      </c>
      <c r="J83" s="321" t="str">
        <f>IFERROR(VLOOKUP(I83, Locaties!$A$2:$G$15, 7, FALSE), "0")</f>
        <v>0</v>
      </c>
      <c r="K83" s="42">
        <f t="shared" si="2"/>
        <v>0</v>
      </c>
      <c r="L83" s="427" t="str">
        <f>Mei!L83</f>
        <v/>
      </c>
      <c r="M83" s="428" t="str">
        <f>Mei!M83</f>
        <v/>
      </c>
      <c r="N83" s="321" t="str">
        <f>IFERROR(VLOOKUP(M83, Tarieven!$A$1:$J$150, 10, FALSE), "0")</f>
        <v>0</v>
      </c>
      <c r="O83" s="427" t="str">
        <f>Mei!O83</f>
        <v/>
      </c>
      <c r="P83" s="428" t="str">
        <f>Mei!P83</f>
        <v/>
      </c>
      <c r="Q83" s="325" t="str">
        <f>IFERROR(VLOOKUP(P83, Tarieven!$A$2:$J$150, 10, FALSE), "0")</f>
        <v>0</v>
      </c>
      <c r="R83" s="444" t="str">
        <f>Mei!R83</f>
        <v/>
      </c>
      <c r="S83" s="428" t="str">
        <f>Mei!S83</f>
        <v/>
      </c>
      <c r="T83" s="325" t="str">
        <f>IFERROR(VLOOKUP(S83, Tarieven!$A$2:$J$150, 10, FALSE), "0")</f>
        <v>0</v>
      </c>
      <c r="U83" s="77" t="str">
        <f>Mei!U83</f>
        <v/>
      </c>
      <c r="V83" s="327" t="str">
        <f>Mei!V83</f>
        <v/>
      </c>
      <c r="W83" s="325" t="str">
        <f>IFERROR(VLOOKUP(V83, Tarieven!$A$2:$J$150, 10, FALSE), "0")</f>
        <v>0</v>
      </c>
      <c r="X83" s="138">
        <f>Mei!X83</f>
        <v>0</v>
      </c>
      <c r="Y83" s="398">
        <v>0.0</v>
      </c>
      <c r="Z83" s="329">
        <f t="shared" si="3"/>
        <v>0</v>
      </c>
      <c r="AA83" s="32">
        <f t="shared" si="4"/>
        <v>0</v>
      </c>
      <c r="AB83" s="32">
        <f t="shared" si="5"/>
        <v>0</v>
      </c>
      <c r="AC83" s="32">
        <f t="shared" si="6"/>
        <v>0</v>
      </c>
    </row>
    <row r="84" ht="22.5" customHeight="1">
      <c r="A84" s="331" t="str">
        <f>Rooster!A85</f>
        <v/>
      </c>
      <c r="B84" s="396" t="str">
        <f>Rooster!B85</f>
        <v/>
      </c>
      <c r="C84" s="15" t="str">
        <f>Rooster!C85</f>
        <v/>
      </c>
      <c r="D84" s="11" t="str">
        <f>Rooster!D85</f>
        <v/>
      </c>
      <c r="E84" s="77"/>
      <c r="F84" s="327" t="str">
        <f>Rooster!E85</f>
        <v/>
      </c>
      <c r="G84" s="319" t="str">
        <f>IFERROR(VLOOKUP(F84, Docenten!$A$2:$G$30, 7, FALSE), "0")</f>
        <v>0</v>
      </c>
      <c r="H84" s="320">
        <f t="shared" si="7"/>
        <v>0</v>
      </c>
      <c r="I84" s="327" t="str">
        <f>Rooster!H85</f>
        <v/>
      </c>
      <c r="J84" s="321" t="str">
        <f>IFERROR(VLOOKUP(I84, Locaties!$A$2:$G$15, 7, FALSE), "0")</f>
        <v>0</v>
      </c>
      <c r="K84" s="42">
        <f t="shared" si="2"/>
        <v>0</v>
      </c>
      <c r="L84" s="427" t="str">
        <f>Mei!L84</f>
        <v/>
      </c>
      <c r="M84" s="428" t="str">
        <f>Mei!M84</f>
        <v/>
      </c>
      <c r="N84" s="321" t="str">
        <f>IFERROR(VLOOKUP(M84, Tarieven!$A$1:$J$150, 10, FALSE), "0")</f>
        <v>0</v>
      </c>
      <c r="O84" s="427" t="str">
        <f>Mei!O84</f>
        <v/>
      </c>
      <c r="P84" s="428" t="str">
        <f>Mei!P84</f>
        <v/>
      </c>
      <c r="Q84" s="325" t="str">
        <f>IFERROR(VLOOKUP(P84, Tarieven!$A$2:$J$150, 10, FALSE), "0")</f>
        <v>0</v>
      </c>
      <c r="R84" s="444" t="str">
        <f>Mei!R84</f>
        <v/>
      </c>
      <c r="S84" s="428" t="str">
        <f>Mei!S84</f>
        <v/>
      </c>
      <c r="T84" s="325" t="str">
        <f>IFERROR(VLOOKUP(S84, Tarieven!$A$2:$J$150, 10, FALSE), "0")</f>
        <v>0</v>
      </c>
      <c r="U84" s="77" t="str">
        <f>Mei!U84</f>
        <v/>
      </c>
      <c r="V84" s="327" t="str">
        <f>Mei!V84</f>
        <v/>
      </c>
      <c r="W84" s="325" t="str">
        <f>IFERROR(VLOOKUP(V84, Tarieven!$A$2:$J$150, 10, FALSE), "0")</f>
        <v>0</v>
      </c>
      <c r="X84" s="138">
        <f>Mei!X84</f>
        <v>0</v>
      </c>
      <c r="Y84" s="398">
        <v>0.0</v>
      </c>
      <c r="Z84" s="329">
        <f t="shared" si="3"/>
        <v>0</v>
      </c>
      <c r="AA84" s="32">
        <f t="shared" si="4"/>
        <v>0</v>
      </c>
      <c r="AB84" s="32">
        <f t="shared" si="5"/>
        <v>0</v>
      </c>
      <c r="AC84" s="32">
        <f t="shared" si="6"/>
        <v>0</v>
      </c>
    </row>
    <row r="85" ht="22.5" customHeight="1">
      <c r="A85" s="331" t="str">
        <f>Rooster!A86</f>
        <v/>
      </c>
      <c r="B85" s="396" t="str">
        <f>Rooster!B86</f>
        <v/>
      </c>
      <c r="C85" s="15" t="str">
        <f>Rooster!C86</f>
        <v/>
      </c>
      <c r="D85" s="11" t="str">
        <f>Rooster!D86</f>
        <v/>
      </c>
      <c r="E85" s="77"/>
      <c r="F85" s="327" t="str">
        <f>Rooster!E86</f>
        <v/>
      </c>
      <c r="G85" s="319" t="str">
        <f>IFERROR(VLOOKUP(F85, Docenten!$A$2:$G$30, 7, FALSE), "0")</f>
        <v>0</v>
      </c>
      <c r="H85" s="320">
        <f t="shared" si="7"/>
        <v>0</v>
      </c>
      <c r="I85" s="327" t="str">
        <f>Rooster!H86</f>
        <v/>
      </c>
      <c r="J85" s="321" t="str">
        <f>IFERROR(VLOOKUP(I85, Locaties!$A$2:$G$15, 7, FALSE), "0")</f>
        <v>0</v>
      </c>
      <c r="K85" s="42">
        <f t="shared" si="2"/>
        <v>0</v>
      </c>
      <c r="L85" s="427" t="str">
        <f>Mei!L85</f>
        <v/>
      </c>
      <c r="M85" s="428" t="str">
        <f>Mei!M85</f>
        <v/>
      </c>
      <c r="N85" s="321" t="str">
        <f>IFERROR(VLOOKUP(M85, Tarieven!$A$1:$J$150, 10, FALSE), "0")</f>
        <v>0</v>
      </c>
      <c r="O85" s="427" t="str">
        <f>Mei!O85</f>
        <v/>
      </c>
      <c r="P85" s="428" t="str">
        <f>Mei!P85</f>
        <v/>
      </c>
      <c r="Q85" s="325" t="str">
        <f>IFERROR(VLOOKUP(P85, Tarieven!$A$2:$J$150, 10, FALSE), "0")</f>
        <v>0</v>
      </c>
      <c r="R85" s="444" t="str">
        <f>Mei!R85</f>
        <v/>
      </c>
      <c r="S85" s="428" t="str">
        <f>Mei!S85</f>
        <v/>
      </c>
      <c r="T85" s="325" t="str">
        <f>IFERROR(VLOOKUP(S85, Tarieven!$A$2:$J$150, 10, FALSE), "0")</f>
        <v>0</v>
      </c>
      <c r="U85" s="77" t="str">
        <f>Mei!U85</f>
        <v/>
      </c>
      <c r="V85" s="327" t="str">
        <f>Mei!V85</f>
        <v/>
      </c>
      <c r="W85" s="325" t="str">
        <f>IFERROR(VLOOKUP(V85, Tarieven!$A$2:$J$150, 10, FALSE), "0")</f>
        <v>0</v>
      </c>
      <c r="X85" s="138">
        <f>Mei!X85</f>
        <v>0</v>
      </c>
      <c r="Y85" s="398">
        <v>0.0</v>
      </c>
      <c r="Z85" s="329">
        <f t="shared" si="3"/>
        <v>0</v>
      </c>
      <c r="AA85" s="32">
        <f t="shared" si="4"/>
        <v>0</v>
      </c>
      <c r="AB85" s="32">
        <f t="shared" si="5"/>
        <v>0</v>
      </c>
      <c r="AC85" s="32">
        <f t="shared" si="6"/>
        <v>0</v>
      </c>
    </row>
    <row r="86" ht="22.5" customHeight="1">
      <c r="A86" s="331" t="str">
        <f>Rooster!A87</f>
        <v/>
      </c>
      <c r="B86" s="396" t="str">
        <f>Rooster!B87</f>
        <v/>
      </c>
      <c r="C86" s="15" t="str">
        <f>Rooster!C87</f>
        <v/>
      </c>
      <c r="D86" s="11" t="str">
        <f>Rooster!D87</f>
        <v/>
      </c>
      <c r="E86" s="77"/>
      <c r="F86" s="327" t="str">
        <f>Rooster!E87</f>
        <v/>
      </c>
      <c r="G86" s="319" t="str">
        <f>IFERROR(VLOOKUP(F86, Docenten!$A$2:$G$30, 7, FALSE), "0")</f>
        <v>0</v>
      </c>
      <c r="H86" s="320">
        <f t="shared" si="7"/>
        <v>0</v>
      </c>
      <c r="I86" s="327" t="str">
        <f>Rooster!H87</f>
        <v/>
      </c>
      <c r="J86" s="321" t="str">
        <f>IFERROR(VLOOKUP(I86, Locaties!$A$2:$G$15, 7, FALSE), "0")</f>
        <v>0</v>
      </c>
      <c r="K86" s="42">
        <f t="shared" si="2"/>
        <v>0</v>
      </c>
      <c r="L86" s="427" t="str">
        <f>Mei!L86</f>
        <v/>
      </c>
      <c r="M86" s="428" t="str">
        <f>Mei!M86</f>
        <v/>
      </c>
      <c r="N86" s="321" t="str">
        <f>IFERROR(VLOOKUP(M86, Tarieven!$A$1:$J$150, 10, FALSE), "0")</f>
        <v>0</v>
      </c>
      <c r="O86" s="427" t="str">
        <f>Mei!O86</f>
        <v/>
      </c>
      <c r="P86" s="428" t="str">
        <f>Mei!P86</f>
        <v/>
      </c>
      <c r="Q86" s="325" t="str">
        <f>IFERROR(VLOOKUP(P86, Tarieven!$A$2:$J$150, 10, FALSE), "0")</f>
        <v>0</v>
      </c>
      <c r="R86" s="444" t="str">
        <f>Mei!R86</f>
        <v/>
      </c>
      <c r="S86" s="428" t="str">
        <f>Mei!S86</f>
        <v/>
      </c>
      <c r="T86" s="325" t="str">
        <f>IFERROR(VLOOKUP(S86, Tarieven!$A$2:$J$150, 10, FALSE), "0")</f>
        <v>0</v>
      </c>
      <c r="U86" s="77" t="str">
        <f>Mei!U86</f>
        <v/>
      </c>
      <c r="V86" s="327" t="str">
        <f>Mei!V86</f>
        <v/>
      </c>
      <c r="W86" s="325" t="str">
        <f>IFERROR(VLOOKUP(V86, Tarieven!$A$2:$J$150, 10, FALSE), "0")</f>
        <v>0</v>
      </c>
      <c r="X86" s="138">
        <f>Mei!X86</f>
        <v>0</v>
      </c>
      <c r="Y86" s="398">
        <v>0.0</v>
      </c>
      <c r="Z86" s="329">
        <f t="shared" si="3"/>
        <v>0</v>
      </c>
      <c r="AA86" s="32">
        <f t="shared" si="4"/>
        <v>0</v>
      </c>
      <c r="AB86" s="32">
        <f t="shared" si="5"/>
        <v>0</v>
      </c>
      <c r="AC86" s="32">
        <f t="shared" si="6"/>
        <v>0</v>
      </c>
    </row>
    <row r="87" ht="22.5" customHeight="1">
      <c r="A87" s="331" t="str">
        <f>Rooster!A88</f>
        <v/>
      </c>
      <c r="B87" s="396" t="str">
        <f>Rooster!B88</f>
        <v/>
      </c>
      <c r="C87" s="15" t="str">
        <f>Rooster!C88</f>
        <v/>
      </c>
      <c r="D87" s="11" t="str">
        <f>Rooster!D88</f>
        <v/>
      </c>
      <c r="E87" s="77"/>
      <c r="F87" s="327" t="str">
        <f>Rooster!E88</f>
        <v/>
      </c>
      <c r="G87" s="319" t="str">
        <f>IFERROR(VLOOKUP(F87, Docenten!$A$2:$G$30, 7, FALSE), "0")</f>
        <v>0</v>
      </c>
      <c r="H87" s="320">
        <f t="shared" si="7"/>
        <v>0</v>
      </c>
      <c r="I87" s="327" t="str">
        <f>Rooster!H88</f>
        <v/>
      </c>
      <c r="J87" s="321" t="str">
        <f>IFERROR(VLOOKUP(I87, Locaties!$A$2:$G$15, 7, FALSE), "0")</f>
        <v>0</v>
      </c>
      <c r="K87" s="42">
        <f t="shared" si="2"/>
        <v>0</v>
      </c>
      <c r="L87" s="427" t="str">
        <f>Mei!L87</f>
        <v/>
      </c>
      <c r="M87" s="428" t="str">
        <f>Mei!M87</f>
        <v/>
      </c>
      <c r="N87" s="321" t="str">
        <f>IFERROR(VLOOKUP(M87, Tarieven!$A$1:$J$150, 10, FALSE), "0")</f>
        <v>0</v>
      </c>
      <c r="O87" s="427" t="str">
        <f>Mei!O87</f>
        <v/>
      </c>
      <c r="P87" s="428" t="str">
        <f>Mei!P87</f>
        <v/>
      </c>
      <c r="Q87" s="325" t="str">
        <f>IFERROR(VLOOKUP(P87, Tarieven!$A$2:$J$150, 10, FALSE), "0")</f>
        <v>0</v>
      </c>
      <c r="R87" s="444" t="str">
        <f>Mei!R87</f>
        <v/>
      </c>
      <c r="S87" s="428" t="str">
        <f>Mei!S87</f>
        <v/>
      </c>
      <c r="T87" s="325" t="str">
        <f>IFERROR(VLOOKUP(S87, Tarieven!$A$2:$J$150, 10, FALSE), "0")</f>
        <v>0</v>
      </c>
      <c r="U87" s="77" t="str">
        <f>Mei!U87</f>
        <v/>
      </c>
      <c r="V87" s="327" t="str">
        <f>Mei!V87</f>
        <v/>
      </c>
      <c r="W87" s="325" t="str">
        <f>IFERROR(VLOOKUP(V87, Tarieven!$A$2:$J$150, 10, FALSE), "0")</f>
        <v>0</v>
      </c>
      <c r="X87" s="138">
        <f>Mei!X87</f>
        <v>0</v>
      </c>
      <c r="Y87" s="398">
        <v>0.0</v>
      </c>
      <c r="Z87" s="329">
        <f t="shared" si="3"/>
        <v>0</v>
      </c>
      <c r="AA87" s="32">
        <f t="shared" si="4"/>
        <v>0</v>
      </c>
      <c r="AB87" s="32">
        <f t="shared" si="5"/>
        <v>0</v>
      </c>
      <c r="AC87" s="32">
        <f t="shared" si="6"/>
        <v>0</v>
      </c>
    </row>
    <row r="88" ht="22.5" customHeight="1">
      <c r="A88" s="331" t="str">
        <f>Rooster!A89</f>
        <v/>
      </c>
      <c r="B88" s="396" t="str">
        <f>Rooster!B89</f>
        <v/>
      </c>
      <c r="C88" s="15" t="str">
        <f>Rooster!C89</f>
        <v/>
      </c>
      <c r="D88" s="11" t="str">
        <f>Rooster!D89</f>
        <v/>
      </c>
      <c r="E88" s="77"/>
      <c r="F88" s="327" t="str">
        <f>Rooster!E89</f>
        <v/>
      </c>
      <c r="G88" s="319" t="str">
        <f>IFERROR(VLOOKUP(F88, Docenten!$A$2:$G$30, 7, FALSE), "0")</f>
        <v>0</v>
      </c>
      <c r="H88" s="320">
        <f t="shared" si="7"/>
        <v>0</v>
      </c>
      <c r="I88" s="327" t="str">
        <f>Rooster!H89</f>
        <v/>
      </c>
      <c r="J88" s="321" t="str">
        <f>IFERROR(VLOOKUP(I88, Locaties!$A$2:$G$15, 7, FALSE), "0")</f>
        <v>0</v>
      </c>
      <c r="K88" s="42">
        <f t="shared" si="2"/>
        <v>0</v>
      </c>
      <c r="L88" s="427" t="str">
        <f>Mei!L88</f>
        <v/>
      </c>
      <c r="M88" s="428" t="str">
        <f>Mei!M88</f>
        <v/>
      </c>
      <c r="N88" s="321" t="str">
        <f>IFERROR(VLOOKUP(M88, Tarieven!$A$1:$J$150, 10, FALSE), "0")</f>
        <v>0</v>
      </c>
      <c r="O88" s="427" t="str">
        <f>Mei!O88</f>
        <v/>
      </c>
      <c r="P88" s="428" t="str">
        <f>Mei!P88</f>
        <v/>
      </c>
      <c r="Q88" s="325" t="str">
        <f>IFERROR(VLOOKUP(P88, Tarieven!$A$2:$J$150, 10, FALSE), "0")</f>
        <v>0</v>
      </c>
      <c r="R88" s="444" t="str">
        <f>Mei!R88</f>
        <v/>
      </c>
      <c r="S88" s="428" t="str">
        <f>Mei!S88</f>
        <v/>
      </c>
      <c r="T88" s="325" t="str">
        <f>IFERROR(VLOOKUP(S88, Tarieven!$A$2:$J$150, 10, FALSE), "0")</f>
        <v>0</v>
      </c>
      <c r="U88" s="77" t="str">
        <f>Mei!U88</f>
        <v/>
      </c>
      <c r="V88" s="327" t="str">
        <f>Mei!V88</f>
        <v/>
      </c>
      <c r="W88" s="325" t="str">
        <f>IFERROR(VLOOKUP(V88, Tarieven!$A$2:$J$150, 10, FALSE), "0")</f>
        <v>0</v>
      </c>
      <c r="X88" s="138">
        <f>Mei!X88</f>
        <v>0</v>
      </c>
      <c r="Y88" s="398">
        <v>0.0</v>
      </c>
      <c r="Z88" s="329">
        <f t="shared" si="3"/>
        <v>0</v>
      </c>
      <c r="AA88" s="32">
        <f t="shared" si="4"/>
        <v>0</v>
      </c>
      <c r="AB88" s="32">
        <f t="shared" si="5"/>
        <v>0</v>
      </c>
      <c r="AC88" s="32">
        <f t="shared" si="6"/>
        <v>0</v>
      </c>
    </row>
    <row r="89" ht="22.5" customHeight="1">
      <c r="A89" s="331" t="str">
        <f>Rooster!A90</f>
        <v/>
      </c>
      <c r="B89" s="396" t="str">
        <f>Rooster!B90</f>
        <v/>
      </c>
      <c r="C89" s="15" t="str">
        <f>Rooster!C90</f>
        <v/>
      </c>
      <c r="D89" s="11" t="str">
        <f>Rooster!D90</f>
        <v/>
      </c>
      <c r="E89" s="77"/>
      <c r="F89" s="327" t="str">
        <f>Rooster!E90</f>
        <v/>
      </c>
      <c r="G89" s="319" t="str">
        <f>IFERROR(VLOOKUP(F89, Docenten!$A$2:$G$30, 7, FALSE), "0")</f>
        <v>0</v>
      </c>
      <c r="H89" s="320">
        <f t="shared" si="7"/>
        <v>0</v>
      </c>
      <c r="I89" s="327" t="str">
        <f>Rooster!H90</f>
        <v/>
      </c>
      <c r="J89" s="321" t="str">
        <f>IFERROR(VLOOKUP(I89, Locaties!$A$2:$G$15, 7, FALSE), "0")</f>
        <v>0</v>
      </c>
      <c r="K89" s="42">
        <f t="shared" si="2"/>
        <v>0</v>
      </c>
      <c r="L89" s="427" t="str">
        <f>Mei!L89</f>
        <v/>
      </c>
      <c r="M89" s="428" t="str">
        <f>Mei!M89</f>
        <v/>
      </c>
      <c r="N89" s="321" t="str">
        <f>IFERROR(VLOOKUP(M89, Tarieven!$A$1:$J$150, 10, FALSE), "0")</f>
        <v>0</v>
      </c>
      <c r="O89" s="427" t="str">
        <f>Mei!O89</f>
        <v/>
      </c>
      <c r="P89" s="428" t="str">
        <f>Mei!P89</f>
        <v/>
      </c>
      <c r="Q89" s="325" t="str">
        <f>IFERROR(VLOOKUP(P89, Tarieven!$A$2:$J$150, 10, FALSE), "0")</f>
        <v>0</v>
      </c>
      <c r="R89" s="444" t="str">
        <f>Mei!R89</f>
        <v/>
      </c>
      <c r="S89" s="428" t="str">
        <f>Mei!S89</f>
        <v/>
      </c>
      <c r="T89" s="325" t="str">
        <f>IFERROR(VLOOKUP(S89, Tarieven!$A$2:$J$150, 10, FALSE), "0")</f>
        <v>0</v>
      </c>
      <c r="U89" s="77" t="str">
        <f>Mei!U89</f>
        <v/>
      </c>
      <c r="V89" s="327" t="str">
        <f>Mei!V89</f>
        <v/>
      </c>
      <c r="W89" s="325" t="str">
        <f>IFERROR(VLOOKUP(V89, Tarieven!$A$2:$J$150, 10, FALSE), "0")</f>
        <v>0</v>
      </c>
      <c r="X89" s="138">
        <f>Mei!X89</f>
        <v>0</v>
      </c>
      <c r="Y89" s="398">
        <v>0.0</v>
      </c>
      <c r="Z89" s="329">
        <f t="shared" si="3"/>
        <v>0</v>
      </c>
      <c r="AA89" s="32">
        <f t="shared" si="4"/>
        <v>0</v>
      </c>
      <c r="AB89" s="32">
        <f t="shared" si="5"/>
        <v>0</v>
      </c>
      <c r="AC89" s="32">
        <f t="shared" si="6"/>
        <v>0</v>
      </c>
    </row>
    <row r="90" ht="22.5" customHeight="1">
      <c r="A90" s="331" t="str">
        <f>Rooster!A91</f>
        <v/>
      </c>
      <c r="B90" s="396" t="str">
        <f>Rooster!B91</f>
        <v/>
      </c>
      <c r="C90" s="15" t="str">
        <f>Rooster!C91</f>
        <v/>
      </c>
      <c r="D90" s="11" t="str">
        <f>Rooster!D91</f>
        <v/>
      </c>
      <c r="E90" s="77"/>
      <c r="F90" s="327" t="str">
        <f>Rooster!E91</f>
        <v/>
      </c>
      <c r="G90" s="319" t="str">
        <f>IFERROR(VLOOKUP(F90, Docenten!$A$2:$G$30, 7, FALSE), "0")</f>
        <v>0</v>
      </c>
      <c r="H90" s="320">
        <f t="shared" si="7"/>
        <v>0</v>
      </c>
      <c r="I90" s="327" t="str">
        <f>Rooster!H91</f>
        <v/>
      </c>
      <c r="J90" s="321" t="str">
        <f>IFERROR(VLOOKUP(I90, Locaties!$A$2:$G$15, 7, FALSE), "0")</f>
        <v>0</v>
      </c>
      <c r="K90" s="42">
        <f t="shared" si="2"/>
        <v>0</v>
      </c>
      <c r="L90" s="427" t="str">
        <f>Mei!L90</f>
        <v/>
      </c>
      <c r="M90" s="428" t="str">
        <f>Mei!M90</f>
        <v/>
      </c>
      <c r="N90" s="321" t="str">
        <f>IFERROR(VLOOKUP(M90, Tarieven!$A$1:$J$150, 10, FALSE), "0")</f>
        <v>0</v>
      </c>
      <c r="O90" s="427" t="str">
        <f>Mei!O90</f>
        <v/>
      </c>
      <c r="P90" s="428" t="str">
        <f>Mei!P90</f>
        <v/>
      </c>
      <c r="Q90" s="325" t="str">
        <f>IFERROR(VLOOKUP(P90, Tarieven!$A$2:$J$150, 10, FALSE), "0")</f>
        <v>0</v>
      </c>
      <c r="R90" s="444" t="str">
        <f>Mei!R90</f>
        <v/>
      </c>
      <c r="S90" s="428" t="str">
        <f>Mei!S90</f>
        <v/>
      </c>
      <c r="T90" s="325" t="str">
        <f>IFERROR(VLOOKUP(S90, Tarieven!$A$2:$J$150, 10, FALSE), "0")</f>
        <v>0</v>
      </c>
      <c r="U90" s="77" t="str">
        <f>Mei!U90</f>
        <v/>
      </c>
      <c r="V90" s="327" t="str">
        <f>Mei!V90</f>
        <v/>
      </c>
      <c r="W90" s="325" t="str">
        <f>IFERROR(VLOOKUP(V90, Tarieven!$A$2:$J$150, 10, FALSE), "0")</f>
        <v>0</v>
      </c>
      <c r="X90" s="138">
        <f>Mei!X90</f>
        <v>0</v>
      </c>
      <c r="Y90" s="398">
        <v>0.0</v>
      </c>
      <c r="Z90" s="329">
        <f t="shared" si="3"/>
        <v>0</v>
      </c>
      <c r="AA90" s="32">
        <f t="shared" si="4"/>
        <v>0</v>
      </c>
      <c r="AB90" s="32">
        <f t="shared" si="5"/>
        <v>0</v>
      </c>
      <c r="AC90" s="32">
        <f t="shared" si="6"/>
        <v>0</v>
      </c>
    </row>
    <row r="91" ht="22.5" customHeight="1">
      <c r="A91" s="331" t="str">
        <f>Rooster!A92</f>
        <v/>
      </c>
      <c r="B91" s="396" t="str">
        <f>Rooster!B92</f>
        <v/>
      </c>
      <c r="C91" s="15" t="str">
        <f>Rooster!C92</f>
        <v/>
      </c>
      <c r="D91" s="11" t="str">
        <f>Rooster!D92</f>
        <v/>
      </c>
      <c r="E91" s="77"/>
      <c r="F91" s="327" t="str">
        <f>Rooster!E92</f>
        <v/>
      </c>
      <c r="G91" s="319" t="str">
        <f>IFERROR(VLOOKUP(F91, Docenten!$A$2:$G$30, 7, FALSE), "0")</f>
        <v>0</v>
      </c>
      <c r="H91" s="320">
        <f t="shared" si="7"/>
        <v>0</v>
      </c>
      <c r="I91" s="327" t="str">
        <f>Rooster!H92</f>
        <v/>
      </c>
      <c r="J91" s="321" t="str">
        <f>IFERROR(VLOOKUP(I91, Locaties!$A$2:$G$15, 7, FALSE), "0")</f>
        <v>0</v>
      </c>
      <c r="K91" s="42">
        <f t="shared" si="2"/>
        <v>0</v>
      </c>
      <c r="L91" s="427" t="str">
        <f>Mei!L91</f>
        <v/>
      </c>
      <c r="M91" s="428" t="str">
        <f>Mei!M91</f>
        <v/>
      </c>
      <c r="N91" s="321" t="str">
        <f>IFERROR(VLOOKUP(M91, Tarieven!$A$1:$J$150, 10, FALSE), "0")</f>
        <v>0</v>
      </c>
      <c r="O91" s="427" t="str">
        <f>Mei!O91</f>
        <v/>
      </c>
      <c r="P91" s="428" t="str">
        <f>Mei!P91</f>
        <v/>
      </c>
      <c r="Q91" s="325" t="str">
        <f>IFERROR(VLOOKUP(P91, Tarieven!$A$2:$J$150, 10, FALSE), "0")</f>
        <v>0</v>
      </c>
      <c r="R91" s="444" t="str">
        <f>Mei!R91</f>
        <v/>
      </c>
      <c r="S91" s="428" t="str">
        <f>Mei!S91</f>
        <v/>
      </c>
      <c r="T91" s="325" t="str">
        <f>IFERROR(VLOOKUP(S91, Tarieven!$A$2:$J$150, 10, FALSE), "0")</f>
        <v>0</v>
      </c>
      <c r="U91" s="77" t="str">
        <f>Mei!U91</f>
        <v/>
      </c>
      <c r="V91" s="327" t="str">
        <f>Mei!V91</f>
        <v/>
      </c>
      <c r="W91" s="325" t="str">
        <f>IFERROR(VLOOKUP(V91, Tarieven!$A$2:$J$150, 10, FALSE), "0")</f>
        <v>0</v>
      </c>
      <c r="X91" s="138">
        <f>Mei!X91</f>
        <v>0</v>
      </c>
      <c r="Y91" s="398">
        <v>0.0</v>
      </c>
      <c r="Z91" s="329">
        <f t="shared" si="3"/>
        <v>0</v>
      </c>
      <c r="AA91" s="32">
        <f t="shared" si="4"/>
        <v>0</v>
      </c>
      <c r="AB91" s="32">
        <f t="shared" si="5"/>
        <v>0</v>
      </c>
      <c r="AC91" s="32">
        <f t="shared" si="6"/>
        <v>0</v>
      </c>
    </row>
    <row r="92" ht="22.5" customHeight="1">
      <c r="A92" s="331" t="str">
        <f>Rooster!A93</f>
        <v/>
      </c>
      <c r="B92" s="396" t="str">
        <f>Rooster!B93</f>
        <v/>
      </c>
      <c r="C92" s="15" t="str">
        <f>Rooster!C93</f>
        <v/>
      </c>
      <c r="D92" s="11" t="str">
        <f>Rooster!D93</f>
        <v/>
      </c>
      <c r="E92" s="77"/>
      <c r="F92" s="327" t="str">
        <f>Rooster!E93</f>
        <v/>
      </c>
      <c r="G92" s="319" t="str">
        <f>IFERROR(VLOOKUP(F92, Docenten!$A$2:$G$30, 7, FALSE), "0")</f>
        <v>0</v>
      </c>
      <c r="H92" s="320">
        <f t="shared" si="7"/>
        <v>0</v>
      </c>
      <c r="I92" s="327" t="str">
        <f>Rooster!H93</f>
        <v/>
      </c>
      <c r="J92" s="321" t="str">
        <f>IFERROR(VLOOKUP(I92, Locaties!$A$2:$G$15, 7, FALSE), "0")</f>
        <v>0</v>
      </c>
      <c r="K92" s="42">
        <f t="shared" si="2"/>
        <v>0</v>
      </c>
      <c r="L92" s="427" t="str">
        <f>Mei!L92</f>
        <v/>
      </c>
      <c r="M92" s="428" t="str">
        <f>Mei!M92</f>
        <v/>
      </c>
      <c r="N92" s="321" t="str">
        <f>IFERROR(VLOOKUP(M92, Tarieven!$A$1:$J$150, 10, FALSE), "0")</f>
        <v>0</v>
      </c>
      <c r="O92" s="427" t="str">
        <f>Mei!O92</f>
        <v/>
      </c>
      <c r="P92" s="428" t="str">
        <f>Mei!P92</f>
        <v/>
      </c>
      <c r="Q92" s="325" t="str">
        <f>IFERROR(VLOOKUP(P92, Tarieven!$A$2:$J$150, 10, FALSE), "0")</f>
        <v>0</v>
      </c>
      <c r="R92" s="444" t="str">
        <f>Mei!R92</f>
        <v/>
      </c>
      <c r="S92" s="428" t="str">
        <f>Mei!S92</f>
        <v/>
      </c>
      <c r="T92" s="325" t="str">
        <f>IFERROR(VLOOKUP(S92, Tarieven!$A$2:$J$150, 10, FALSE), "0")</f>
        <v>0</v>
      </c>
      <c r="U92" s="77" t="str">
        <f>Mei!U92</f>
        <v/>
      </c>
      <c r="V92" s="327" t="str">
        <f>Mei!V92</f>
        <v/>
      </c>
      <c r="W92" s="325" t="str">
        <f>IFERROR(VLOOKUP(V92, Tarieven!$A$2:$J$150, 10, FALSE), "0")</f>
        <v>0</v>
      </c>
      <c r="X92" s="138">
        <f>Mei!X92</f>
        <v>0</v>
      </c>
      <c r="Y92" s="398">
        <v>0.0</v>
      </c>
      <c r="Z92" s="329">
        <f t="shared" si="3"/>
        <v>0</v>
      </c>
      <c r="AA92" s="32">
        <f t="shared" si="4"/>
        <v>0</v>
      </c>
      <c r="AB92" s="32">
        <f t="shared" si="5"/>
        <v>0</v>
      </c>
      <c r="AC92" s="32">
        <f t="shared" si="6"/>
        <v>0</v>
      </c>
    </row>
    <row r="93" ht="22.5" customHeight="1">
      <c r="A93" s="331" t="str">
        <f>Rooster!A94</f>
        <v/>
      </c>
      <c r="B93" s="396" t="str">
        <f>Rooster!B94</f>
        <v/>
      </c>
      <c r="C93" s="15" t="str">
        <f>Rooster!C94</f>
        <v/>
      </c>
      <c r="D93" s="11" t="str">
        <f>Rooster!D94</f>
        <v/>
      </c>
      <c r="E93" s="77"/>
      <c r="F93" s="327" t="str">
        <f>Rooster!E94</f>
        <v/>
      </c>
      <c r="G93" s="319" t="str">
        <f>IFERROR(VLOOKUP(F93, Docenten!$A$2:$G$30, 7, FALSE), "0")</f>
        <v>0</v>
      </c>
      <c r="H93" s="320">
        <f t="shared" si="7"/>
        <v>0</v>
      </c>
      <c r="I93" s="327" t="str">
        <f>Rooster!H94</f>
        <v/>
      </c>
      <c r="J93" s="321" t="str">
        <f>IFERROR(VLOOKUP(I93, Locaties!$A$2:$G$15, 7, FALSE), "0")</f>
        <v>0</v>
      </c>
      <c r="K93" s="42">
        <f t="shared" si="2"/>
        <v>0</v>
      </c>
      <c r="L93" s="427" t="str">
        <f>Mei!L93</f>
        <v/>
      </c>
      <c r="M93" s="428" t="str">
        <f>Mei!M93</f>
        <v/>
      </c>
      <c r="N93" s="321" t="str">
        <f>IFERROR(VLOOKUP(M93, Tarieven!$A$1:$J$150, 10, FALSE), "0")</f>
        <v>0</v>
      </c>
      <c r="O93" s="427" t="str">
        <f>Mei!O93</f>
        <v/>
      </c>
      <c r="P93" s="428" t="str">
        <f>Mei!P93</f>
        <v/>
      </c>
      <c r="Q93" s="325" t="str">
        <f>IFERROR(VLOOKUP(P93, Tarieven!$A$2:$J$150, 10, FALSE), "0")</f>
        <v>0</v>
      </c>
      <c r="R93" s="444" t="str">
        <f>Mei!R93</f>
        <v/>
      </c>
      <c r="S93" s="428" t="str">
        <f>Mei!S93</f>
        <v/>
      </c>
      <c r="T93" s="325" t="str">
        <f>IFERROR(VLOOKUP(S93, Tarieven!$A$2:$J$150, 10, FALSE), "0")</f>
        <v>0</v>
      </c>
      <c r="U93" s="77" t="str">
        <f>Mei!U93</f>
        <v/>
      </c>
      <c r="V93" s="327" t="str">
        <f>Mei!V93</f>
        <v/>
      </c>
      <c r="W93" s="325" t="str">
        <f>IFERROR(VLOOKUP(V93, Tarieven!$A$2:$J$150, 10, FALSE), "0")</f>
        <v>0</v>
      </c>
      <c r="X93" s="138">
        <f>Mei!X93</f>
        <v>0</v>
      </c>
      <c r="Y93" s="398">
        <v>0.0</v>
      </c>
      <c r="Z93" s="329">
        <f t="shared" si="3"/>
        <v>0</v>
      </c>
      <c r="AA93" s="32">
        <f t="shared" si="4"/>
        <v>0</v>
      </c>
      <c r="AB93" s="32">
        <f t="shared" si="5"/>
        <v>0</v>
      </c>
      <c r="AC93" s="32">
        <f t="shared" si="6"/>
        <v>0</v>
      </c>
    </row>
    <row r="94" ht="22.5" customHeight="1">
      <c r="A94" s="331" t="str">
        <f>Rooster!A95</f>
        <v/>
      </c>
      <c r="B94" s="396" t="str">
        <f>Rooster!B95</f>
        <v/>
      </c>
      <c r="C94" s="15" t="str">
        <f>Rooster!C95</f>
        <v/>
      </c>
      <c r="D94" s="11" t="str">
        <f>Rooster!D95</f>
        <v/>
      </c>
      <c r="E94" s="77"/>
      <c r="F94" s="327" t="str">
        <f>Rooster!E95</f>
        <v/>
      </c>
      <c r="G94" s="319" t="str">
        <f>IFERROR(VLOOKUP(F94, Docenten!$A$2:$G$30, 7, FALSE), "0")</f>
        <v>0</v>
      </c>
      <c r="H94" s="320">
        <f t="shared" si="7"/>
        <v>0</v>
      </c>
      <c r="I94" s="327" t="str">
        <f>Rooster!H95</f>
        <v/>
      </c>
      <c r="J94" s="321" t="str">
        <f>IFERROR(VLOOKUP(I94, Locaties!$A$2:$G$15, 7, FALSE), "0")</f>
        <v>0</v>
      </c>
      <c r="K94" s="42">
        <f t="shared" si="2"/>
        <v>0</v>
      </c>
      <c r="L94" s="427" t="str">
        <f>Mei!L94</f>
        <v/>
      </c>
      <c r="M94" s="428" t="str">
        <f>Mei!M94</f>
        <v/>
      </c>
      <c r="N94" s="321" t="str">
        <f>IFERROR(VLOOKUP(M94, Tarieven!$A$1:$J$150, 10, FALSE), "0")</f>
        <v>0</v>
      </c>
      <c r="O94" s="427" t="str">
        <f>Mei!O94</f>
        <v/>
      </c>
      <c r="P94" s="428" t="str">
        <f>Mei!P94</f>
        <v/>
      </c>
      <c r="Q94" s="325" t="str">
        <f>IFERROR(VLOOKUP(P94, Tarieven!$A$2:$J$150, 10, FALSE), "0")</f>
        <v>0</v>
      </c>
      <c r="R94" s="444" t="str">
        <f>Mei!R94</f>
        <v/>
      </c>
      <c r="S94" s="428" t="str">
        <f>Mei!S94</f>
        <v/>
      </c>
      <c r="T94" s="325" t="str">
        <f>IFERROR(VLOOKUP(S94, Tarieven!$A$2:$J$150, 10, FALSE), "0")</f>
        <v>0</v>
      </c>
      <c r="U94" s="77" t="str">
        <f>Mei!U94</f>
        <v/>
      </c>
      <c r="V94" s="327" t="str">
        <f>Mei!V94</f>
        <v/>
      </c>
      <c r="W94" s="325" t="str">
        <f>IFERROR(VLOOKUP(V94, Tarieven!$A$2:$J$150, 10, FALSE), "0")</f>
        <v>0</v>
      </c>
      <c r="X94" s="138">
        <f>Mei!X94</f>
        <v>0</v>
      </c>
      <c r="Y94" s="398">
        <v>0.0</v>
      </c>
      <c r="Z94" s="329">
        <f t="shared" si="3"/>
        <v>0</v>
      </c>
      <c r="AA94" s="32">
        <f t="shared" si="4"/>
        <v>0</v>
      </c>
      <c r="AB94" s="32">
        <f t="shared" si="5"/>
        <v>0</v>
      </c>
      <c r="AC94" s="32">
        <f t="shared" si="6"/>
        <v>0</v>
      </c>
    </row>
    <row r="95" ht="22.5" customHeight="1">
      <c r="A95" s="331" t="str">
        <f>Rooster!A96</f>
        <v/>
      </c>
      <c r="B95" s="396" t="str">
        <f>Rooster!B96</f>
        <v/>
      </c>
      <c r="C95" s="15" t="str">
        <f>Rooster!C96</f>
        <v/>
      </c>
      <c r="D95" s="11" t="str">
        <f>Rooster!D96</f>
        <v/>
      </c>
      <c r="E95" s="77"/>
      <c r="F95" s="327" t="str">
        <f>Rooster!E96</f>
        <v/>
      </c>
      <c r="G95" s="319" t="str">
        <f>IFERROR(VLOOKUP(F95, Docenten!$A$2:$G$30, 7, FALSE), "0")</f>
        <v>0</v>
      </c>
      <c r="H95" s="320">
        <f t="shared" si="7"/>
        <v>0</v>
      </c>
      <c r="I95" s="327" t="str">
        <f>Rooster!H96</f>
        <v/>
      </c>
      <c r="J95" s="321" t="str">
        <f>IFERROR(VLOOKUP(I95, Locaties!$A$2:$G$15, 7, FALSE), "0")</f>
        <v>0</v>
      </c>
      <c r="K95" s="42">
        <f t="shared" si="2"/>
        <v>0</v>
      </c>
      <c r="L95" s="427" t="str">
        <f>Mei!L95</f>
        <v/>
      </c>
      <c r="M95" s="428" t="str">
        <f>Mei!M95</f>
        <v/>
      </c>
      <c r="N95" s="321" t="str">
        <f>IFERROR(VLOOKUP(M95, Tarieven!$A$1:$J$150, 10, FALSE), "0")</f>
        <v>0</v>
      </c>
      <c r="O95" s="427" t="str">
        <f>Mei!O95</f>
        <v/>
      </c>
      <c r="P95" s="428" t="str">
        <f>Mei!P95</f>
        <v/>
      </c>
      <c r="Q95" s="325" t="str">
        <f>IFERROR(VLOOKUP(P95, Tarieven!$A$2:$J$150, 10, FALSE), "0")</f>
        <v>0</v>
      </c>
      <c r="R95" s="444" t="str">
        <f>Mei!R95</f>
        <v/>
      </c>
      <c r="S95" s="428" t="str">
        <f>Mei!S95</f>
        <v/>
      </c>
      <c r="T95" s="325" t="str">
        <f>IFERROR(VLOOKUP(S95, Tarieven!$A$2:$J$150, 10, FALSE), "0")</f>
        <v>0</v>
      </c>
      <c r="U95" s="77" t="str">
        <f>Mei!U95</f>
        <v/>
      </c>
      <c r="V95" s="327" t="str">
        <f>Mei!V95</f>
        <v/>
      </c>
      <c r="W95" s="325" t="str">
        <f>IFERROR(VLOOKUP(V95, Tarieven!$A$2:$J$150, 10, FALSE), "0")</f>
        <v>0</v>
      </c>
      <c r="X95" s="138">
        <f>Mei!X95</f>
        <v>0</v>
      </c>
      <c r="Y95" s="398">
        <v>0.0</v>
      </c>
      <c r="Z95" s="329">
        <f t="shared" si="3"/>
        <v>0</v>
      </c>
      <c r="AA95" s="32">
        <f t="shared" si="4"/>
        <v>0</v>
      </c>
      <c r="AB95" s="32">
        <f t="shared" si="5"/>
        <v>0</v>
      </c>
      <c r="AC95" s="32">
        <f t="shared" si="6"/>
        <v>0</v>
      </c>
    </row>
    <row r="96" ht="22.5" customHeight="1">
      <c r="A96" s="331" t="str">
        <f>Rooster!A97</f>
        <v/>
      </c>
      <c r="B96" s="396" t="str">
        <f>Rooster!B97</f>
        <v/>
      </c>
      <c r="C96" s="15" t="str">
        <f>Rooster!C97</f>
        <v/>
      </c>
      <c r="D96" s="11" t="str">
        <f>Rooster!D97</f>
        <v/>
      </c>
      <c r="E96" s="77"/>
      <c r="F96" s="327" t="str">
        <f>Rooster!E97</f>
        <v/>
      </c>
      <c r="G96" s="319" t="str">
        <f>IFERROR(VLOOKUP(F96, Docenten!$A$2:$G$30, 7, FALSE), "0")</f>
        <v>0</v>
      </c>
      <c r="H96" s="320">
        <f t="shared" si="7"/>
        <v>0</v>
      </c>
      <c r="I96" s="327" t="str">
        <f>Rooster!H97</f>
        <v/>
      </c>
      <c r="J96" s="321" t="str">
        <f>IFERROR(VLOOKUP(I96, Locaties!$A$2:$G$15, 7, FALSE), "0")</f>
        <v>0</v>
      </c>
      <c r="K96" s="42">
        <f t="shared" si="2"/>
        <v>0</v>
      </c>
      <c r="L96" s="427" t="str">
        <f>Mei!L96</f>
        <v/>
      </c>
      <c r="M96" s="428" t="str">
        <f>Mei!M96</f>
        <v/>
      </c>
      <c r="N96" s="321" t="str">
        <f>IFERROR(VLOOKUP(M96, Tarieven!$A$1:$J$150, 10, FALSE), "0")</f>
        <v>0</v>
      </c>
      <c r="O96" s="427" t="str">
        <f>Mei!O96</f>
        <v/>
      </c>
      <c r="P96" s="428" t="str">
        <f>Mei!P96</f>
        <v/>
      </c>
      <c r="Q96" s="325" t="str">
        <f>IFERROR(VLOOKUP(P96, Tarieven!$A$2:$J$150, 10, FALSE), "0")</f>
        <v>0</v>
      </c>
      <c r="R96" s="444" t="str">
        <f>Mei!R96</f>
        <v/>
      </c>
      <c r="S96" s="428" t="str">
        <f>Mei!S96</f>
        <v/>
      </c>
      <c r="T96" s="325" t="str">
        <f>IFERROR(VLOOKUP(S96, Tarieven!$A$2:$J$150, 10, FALSE), "0")</f>
        <v>0</v>
      </c>
      <c r="U96" s="77" t="str">
        <f>Mei!U96</f>
        <v/>
      </c>
      <c r="V96" s="327" t="str">
        <f>Mei!V96</f>
        <v/>
      </c>
      <c r="W96" s="325" t="str">
        <f>IFERROR(VLOOKUP(V96, Tarieven!$A$2:$J$150, 10, FALSE), "0")</f>
        <v>0</v>
      </c>
      <c r="X96" s="138">
        <f>Mei!X96</f>
        <v>0</v>
      </c>
      <c r="Y96" s="398">
        <v>0.0</v>
      </c>
      <c r="Z96" s="329">
        <f t="shared" si="3"/>
        <v>0</v>
      </c>
      <c r="AA96" s="32">
        <f t="shared" si="4"/>
        <v>0</v>
      </c>
      <c r="AB96" s="32">
        <f t="shared" si="5"/>
        <v>0</v>
      </c>
      <c r="AC96" s="32">
        <f t="shared" si="6"/>
        <v>0</v>
      </c>
    </row>
    <row r="97" ht="22.5" customHeight="1">
      <c r="A97" s="331" t="str">
        <f>Rooster!A98</f>
        <v/>
      </c>
      <c r="B97" s="396" t="str">
        <f>Rooster!B98</f>
        <v/>
      </c>
      <c r="C97" s="15" t="str">
        <f>Rooster!C98</f>
        <v/>
      </c>
      <c r="D97" s="11" t="str">
        <f>Rooster!D98</f>
        <v/>
      </c>
      <c r="E97" s="77"/>
      <c r="F97" s="327" t="str">
        <f>Rooster!E98</f>
        <v/>
      </c>
      <c r="G97" s="319" t="str">
        <f>IFERROR(VLOOKUP(F97, Docenten!$A$2:$G$30, 7, FALSE), "0")</f>
        <v>0</v>
      </c>
      <c r="H97" s="320">
        <f t="shared" si="7"/>
        <v>0</v>
      </c>
      <c r="I97" s="327" t="str">
        <f>Rooster!H98</f>
        <v/>
      </c>
      <c r="J97" s="321" t="str">
        <f>IFERROR(VLOOKUP(I97, Locaties!$A$2:$G$15, 7, FALSE), "0")</f>
        <v>0</v>
      </c>
      <c r="K97" s="42">
        <f t="shared" si="2"/>
        <v>0</v>
      </c>
      <c r="L97" s="427" t="str">
        <f>Mei!L97</f>
        <v/>
      </c>
      <c r="M97" s="428" t="str">
        <f>Mei!M97</f>
        <v/>
      </c>
      <c r="N97" s="321" t="str">
        <f>IFERROR(VLOOKUP(M97, Tarieven!$A$1:$J$150, 10, FALSE), "0")</f>
        <v>0</v>
      </c>
      <c r="O97" s="427" t="str">
        <f>Mei!O97</f>
        <v/>
      </c>
      <c r="P97" s="428" t="str">
        <f>Mei!P97</f>
        <v/>
      </c>
      <c r="Q97" s="325" t="str">
        <f>IFERROR(VLOOKUP(P97, Tarieven!$A$2:$J$150, 10, FALSE), "0")</f>
        <v>0</v>
      </c>
      <c r="R97" s="444" t="str">
        <f>Mei!R97</f>
        <v/>
      </c>
      <c r="S97" s="428" t="str">
        <f>Mei!S97</f>
        <v/>
      </c>
      <c r="T97" s="325" t="str">
        <f>IFERROR(VLOOKUP(S97, Tarieven!$A$2:$J$150, 10, FALSE), "0")</f>
        <v>0</v>
      </c>
      <c r="U97" s="77" t="str">
        <f>Mei!U97</f>
        <v/>
      </c>
      <c r="V97" s="327" t="str">
        <f>Mei!V97</f>
        <v/>
      </c>
      <c r="W97" s="325" t="str">
        <f>IFERROR(VLOOKUP(V97, Tarieven!$A$2:$J$150, 10, FALSE), "0")</f>
        <v>0</v>
      </c>
      <c r="X97" s="138">
        <f>Mei!X97</f>
        <v>0</v>
      </c>
      <c r="Y97" s="398">
        <v>0.0</v>
      </c>
      <c r="Z97" s="329">
        <f t="shared" si="3"/>
        <v>0</v>
      </c>
      <c r="AA97" s="32">
        <f t="shared" si="4"/>
        <v>0</v>
      </c>
      <c r="AB97" s="32">
        <f t="shared" si="5"/>
        <v>0</v>
      </c>
      <c r="AC97" s="32">
        <f t="shared" si="6"/>
        <v>0</v>
      </c>
    </row>
    <row r="98" ht="22.5" customHeight="1">
      <c r="A98" s="331" t="str">
        <f>Rooster!A99</f>
        <v/>
      </c>
      <c r="B98" s="396" t="str">
        <f>Rooster!B99</f>
        <v/>
      </c>
      <c r="C98" s="15" t="str">
        <f>Rooster!C99</f>
        <v/>
      </c>
      <c r="D98" s="11" t="str">
        <f>Rooster!D99</f>
        <v/>
      </c>
      <c r="E98" s="77"/>
      <c r="F98" s="327" t="str">
        <f>Rooster!E99</f>
        <v/>
      </c>
      <c r="G98" s="319" t="str">
        <f>IFERROR(VLOOKUP(F98, Docenten!$A$2:$G$30, 7, FALSE), "0")</f>
        <v>0</v>
      </c>
      <c r="H98" s="320">
        <f t="shared" si="7"/>
        <v>0</v>
      </c>
      <c r="I98" s="327" t="str">
        <f>Rooster!H99</f>
        <v/>
      </c>
      <c r="J98" s="321" t="str">
        <f>IFERROR(VLOOKUP(I98, Locaties!$A$2:$G$15, 7, FALSE), "0")</f>
        <v>0</v>
      </c>
      <c r="K98" s="42">
        <f t="shared" si="2"/>
        <v>0</v>
      </c>
      <c r="L98" s="427" t="str">
        <f>Mei!L98</f>
        <v/>
      </c>
      <c r="M98" s="428" t="str">
        <f>Mei!M98</f>
        <v/>
      </c>
      <c r="N98" s="321" t="str">
        <f>IFERROR(VLOOKUP(M98, Tarieven!$A$1:$J$150, 10, FALSE), "0")</f>
        <v>0</v>
      </c>
      <c r="O98" s="427" t="str">
        <f>Mei!O98</f>
        <v/>
      </c>
      <c r="P98" s="428" t="str">
        <f>Mei!P98</f>
        <v/>
      </c>
      <c r="Q98" s="325" t="str">
        <f>IFERROR(VLOOKUP(P98, Tarieven!$A$2:$J$150, 10, FALSE), "0")</f>
        <v>0</v>
      </c>
      <c r="R98" s="444" t="str">
        <f>Mei!R98</f>
        <v/>
      </c>
      <c r="S98" s="428" t="str">
        <f>Mei!S98</f>
        <v/>
      </c>
      <c r="T98" s="325" t="str">
        <f>IFERROR(VLOOKUP(S98, Tarieven!$A$2:$J$150, 10, FALSE), "0")</f>
        <v>0</v>
      </c>
      <c r="U98" s="77" t="str">
        <f>Mei!U98</f>
        <v/>
      </c>
      <c r="V98" s="327" t="str">
        <f>Mei!V98</f>
        <v/>
      </c>
      <c r="W98" s="325" t="str">
        <f>IFERROR(VLOOKUP(V98, Tarieven!$A$2:$J$150, 10, FALSE), "0")</f>
        <v>0</v>
      </c>
      <c r="X98" s="138">
        <f>Mei!X98</f>
        <v>0</v>
      </c>
      <c r="Y98" s="398">
        <v>0.0</v>
      </c>
      <c r="Z98" s="329">
        <f t="shared" si="3"/>
        <v>0</v>
      </c>
      <c r="AA98" s="32">
        <f t="shared" si="4"/>
        <v>0</v>
      </c>
      <c r="AB98" s="32">
        <f t="shared" si="5"/>
        <v>0</v>
      </c>
      <c r="AC98" s="32">
        <f t="shared" si="6"/>
        <v>0</v>
      </c>
    </row>
    <row r="99" ht="22.5" customHeight="1">
      <c r="A99" s="331" t="str">
        <f>Rooster!A100</f>
        <v/>
      </c>
      <c r="B99" s="396" t="str">
        <f>Rooster!B100</f>
        <v/>
      </c>
      <c r="C99" s="15" t="str">
        <f>Rooster!C100</f>
        <v/>
      </c>
      <c r="D99" s="11" t="str">
        <f>Rooster!D100</f>
        <v/>
      </c>
      <c r="E99" s="77"/>
      <c r="F99" s="327" t="str">
        <f>Rooster!E100</f>
        <v/>
      </c>
      <c r="G99" s="319" t="str">
        <f>IFERROR(VLOOKUP(F99, Docenten!$A$2:$G$30, 7, FALSE), "0")</f>
        <v>0</v>
      </c>
      <c r="H99" s="320">
        <f t="shared" si="7"/>
        <v>0</v>
      </c>
      <c r="I99" s="327" t="str">
        <f>Rooster!H100</f>
        <v/>
      </c>
      <c r="J99" s="321" t="str">
        <f>IFERROR(VLOOKUP(I99, Locaties!$A$2:$G$15, 7, FALSE), "0")</f>
        <v>0</v>
      </c>
      <c r="K99" s="42">
        <f t="shared" si="2"/>
        <v>0</v>
      </c>
      <c r="L99" s="427" t="str">
        <f>Mei!L99</f>
        <v/>
      </c>
      <c r="M99" s="428" t="str">
        <f>Mei!M99</f>
        <v/>
      </c>
      <c r="N99" s="321" t="str">
        <f>IFERROR(VLOOKUP(M99, Tarieven!$A$1:$J$150, 10, FALSE), "0")</f>
        <v>0</v>
      </c>
      <c r="O99" s="427" t="str">
        <f>Mei!O99</f>
        <v/>
      </c>
      <c r="P99" s="428" t="str">
        <f>Mei!P99</f>
        <v/>
      </c>
      <c r="Q99" s="325" t="str">
        <f>IFERROR(VLOOKUP(P99, Tarieven!$A$2:$J$150, 10, FALSE), "0")</f>
        <v>0</v>
      </c>
      <c r="R99" s="444" t="str">
        <f>Mei!R99</f>
        <v/>
      </c>
      <c r="S99" s="428" t="str">
        <f>Mei!S99</f>
        <v/>
      </c>
      <c r="T99" s="325" t="str">
        <f>IFERROR(VLOOKUP(S99, Tarieven!$A$2:$J$150, 10, FALSE), "0")</f>
        <v>0</v>
      </c>
      <c r="U99" s="77" t="str">
        <f>Mei!U99</f>
        <v/>
      </c>
      <c r="V99" s="327" t="str">
        <f>Mei!V99</f>
        <v/>
      </c>
      <c r="W99" s="325" t="str">
        <f>IFERROR(VLOOKUP(V99, Tarieven!$A$2:$J$150, 10, FALSE), "0")</f>
        <v>0</v>
      </c>
      <c r="X99" s="138">
        <f>Mei!X99</f>
        <v>0</v>
      </c>
      <c r="Y99" s="398">
        <v>0.0</v>
      </c>
      <c r="Z99" s="329">
        <f t="shared" si="3"/>
        <v>0</v>
      </c>
      <c r="AA99" s="32">
        <f t="shared" si="4"/>
        <v>0</v>
      </c>
      <c r="AB99" s="32">
        <f t="shared" si="5"/>
        <v>0</v>
      </c>
      <c r="AC99" s="32">
        <f t="shared" si="6"/>
        <v>0</v>
      </c>
    </row>
    <row r="100" ht="22.5" customHeight="1">
      <c r="A100" s="331" t="str">
        <f>Rooster!A101</f>
        <v/>
      </c>
      <c r="B100" s="396" t="str">
        <f>Rooster!B101</f>
        <v/>
      </c>
      <c r="C100" s="15" t="str">
        <f>Rooster!C101</f>
        <v/>
      </c>
      <c r="D100" s="11" t="str">
        <f>Rooster!D101</f>
        <v/>
      </c>
      <c r="E100" s="77"/>
      <c r="F100" s="327" t="str">
        <f>Rooster!E101</f>
        <v/>
      </c>
      <c r="G100" s="319" t="str">
        <f>IFERROR(VLOOKUP(F100, Docenten!$A$2:$G$30, 7, FALSE), "0")</f>
        <v>0</v>
      </c>
      <c r="H100" s="320">
        <f t="shared" si="7"/>
        <v>0</v>
      </c>
      <c r="I100" s="327" t="str">
        <f>Rooster!H101</f>
        <v/>
      </c>
      <c r="J100" s="321" t="str">
        <f>IFERROR(VLOOKUP(I100, Locaties!$A$2:$G$15, 7, FALSE), "0")</f>
        <v>0</v>
      </c>
      <c r="K100" s="42">
        <f t="shared" si="2"/>
        <v>0</v>
      </c>
      <c r="L100" s="427" t="str">
        <f>Mei!L100</f>
        <v/>
      </c>
      <c r="M100" s="428" t="str">
        <f>Mei!M100</f>
        <v/>
      </c>
      <c r="N100" s="321" t="str">
        <f>IFERROR(VLOOKUP(M100, Tarieven!$A$1:$J$150, 10, FALSE), "0")</f>
        <v>0</v>
      </c>
      <c r="O100" s="427" t="str">
        <f>Mei!O100</f>
        <v/>
      </c>
      <c r="P100" s="428" t="str">
        <f>Mei!P100</f>
        <v/>
      </c>
      <c r="Q100" s="325" t="str">
        <f>IFERROR(VLOOKUP(P100, Tarieven!$A$2:$J$150, 10, FALSE), "0")</f>
        <v>0</v>
      </c>
      <c r="R100" s="444" t="str">
        <f>Mei!R100</f>
        <v/>
      </c>
      <c r="S100" s="428" t="str">
        <f>Mei!S100</f>
        <v/>
      </c>
      <c r="T100" s="325" t="str">
        <f>IFERROR(VLOOKUP(S100, Tarieven!$A$2:$J$150, 10, FALSE), "0")</f>
        <v>0</v>
      </c>
      <c r="U100" s="77" t="str">
        <f>Mei!U100</f>
        <v/>
      </c>
      <c r="V100" s="327" t="str">
        <f>Mei!V100</f>
        <v/>
      </c>
      <c r="W100" s="325" t="str">
        <f>IFERROR(VLOOKUP(V100, Tarieven!$A$2:$J$150, 10, FALSE), "0")</f>
        <v>0</v>
      </c>
      <c r="X100" s="138">
        <f>Mei!X100</f>
        <v>0</v>
      </c>
      <c r="Y100" s="398">
        <v>0.0</v>
      </c>
      <c r="Z100" s="329">
        <f t="shared" si="3"/>
        <v>0</v>
      </c>
      <c r="AA100" s="32">
        <f t="shared" si="4"/>
        <v>0</v>
      </c>
      <c r="AB100" s="32">
        <f t="shared" si="5"/>
        <v>0</v>
      </c>
      <c r="AC100" s="32">
        <f t="shared" si="6"/>
        <v>0</v>
      </c>
    </row>
    <row r="101" ht="22.5" customHeight="1">
      <c r="A101" s="331" t="str">
        <f>Rooster!A102</f>
        <v/>
      </c>
      <c r="B101" s="396" t="str">
        <f>Rooster!B102</f>
        <v/>
      </c>
      <c r="C101" s="15" t="str">
        <f>Rooster!C102</f>
        <v/>
      </c>
      <c r="D101" s="11" t="str">
        <f>Rooster!D102</f>
        <v/>
      </c>
      <c r="E101" s="426"/>
      <c r="F101" s="331" t="str">
        <f>Rooster!E102</f>
        <v/>
      </c>
      <c r="G101" s="319" t="str">
        <f>IFERROR(VLOOKUP(F101, Docenten!$A$2:$G$30, 7, FALSE), "0")</f>
        <v>0</v>
      </c>
      <c r="H101" s="320">
        <f t="shared" si="7"/>
        <v>0</v>
      </c>
      <c r="I101" s="331" t="str">
        <f>Rooster!H102</f>
        <v/>
      </c>
      <c r="J101" s="321" t="str">
        <f>IFERROR(VLOOKUP(I101, Locaties!$A$2:$G$15, 7, FALSE), "0")</f>
        <v>0</v>
      </c>
      <c r="K101" s="42">
        <f t="shared" si="2"/>
        <v>0</v>
      </c>
      <c r="L101" s="450">
        <f>SUM(L2:L100)</f>
        <v>133</v>
      </c>
      <c r="M101" s="451"/>
      <c r="N101" s="321" t="str">
        <f>IFERROR(VLOOKUP(M101, Tarieven!$A$1:$J$150, 10, FALSE), "0")</f>
        <v>0</v>
      </c>
      <c r="O101" s="450">
        <f>SUM(O2:O100)</f>
        <v>70</v>
      </c>
      <c r="P101" s="451"/>
      <c r="Q101" s="325" t="str">
        <f>IFERROR(VLOOKUP(P101, Tarieven!$A$2:$J$150, 10, FALSE), "0")</f>
        <v>0</v>
      </c>
      <c r="R101" s="452">
        <f>SUM(R2:R100)</f>
        <v>24</v>
      </c>
      <c r="S101" s="451"/>
      <c r="T101" s="325" t="str">
        <f>IFERROR(VLOOKUP(S101, Tarieven!$A$2:$J$150, 10, FALSE), "0")</f>
        <v>0</v>
      </c>
      <c r="U101" s="413">
        <f>SUM(U2:U100)</f>
        <v>14</v>
      </c>
      <c r="V101" s="85"/>
      <c r="W101" s="325" t="str">
        <f>IFERROR(VLOOKUP(V101, Tarieven!$A$2:$J$150, 10, FALSE), "0")</f>
        <v>0</v>
      </c>
      <c r="X101" s="413">
        <f>SUM(X2:X100)</f>
        <v>220</v>
      </c>
      <c r="Y101" s="398">
        <v>0.0</v>
      </c>
      <c r="Z101" s="329">
        <f>SUM(Z2:Z100)</f>
        <v>461</v>
      </c>
      <c r="AA101" s="32">
        <f t="shared" si="4"/>
        <v>0</v>
      </c>
      <c r="AB101" s="32">
        <f t="shared" si="5"/>
        <v>0</v>
      </c>
      <c r="AC101" s="32">
        <f t="shared" si="6"/>
        <v>0</v>
      </c>
    </row>
  </sheetData>
  <conditionalFormatting sqref="AG7">
    <cfRule type="cellIs" dxfId="7" priority="1" operator="lessThan">
      <formula>0</formula>
    </cfRule>
  </conditionalFormatting>
  <conditionalFormatting sqref="AC2:AC101">
    <cfRule type="cellIs" dxfId="7" priority="2" operator="lessThan">
      <formula>0</formula>
    </cfRule>
  </conditionalFormatting>
  <dataValidations>
    <dataValidation type="list" allowBlank="1" sqref="A2:A101">
      <formula1>"Maandag,Dinsdag,Woensdag,Donderdag,Vrijdag,Zaterdag,Zondag"</formula1>
    </dataValidation>
    <dataValidation type="custom" allowBlank="1" showDropDown="1" sqref="B2:B101">
      <formula1>OR(TIMEVALUE(TEXT(B2, "hh:mm:ss"))=B2, AND(ISNUMBER(B2), LEFT(CELL("format", B2))="D"))</formula1>
    </dataValidation>
    <dataValidation type="custom" allowBlank="1" showDropDown="1" sqref="L2:L101 N2:N101 AA2:AB101">
      <formula1>AND(ISNUMBER(L2),(NOT(OR(NOT(ISERROR(DATEVALUE(L2))), AND(ISNUMBER(L2), LEFT(CELL("format", L2))="D")))))</formula1>
    </dataValidation>
    <dataValidation type="list" allowBlank="1" sqref="F2:F101 I2:I101 M2:M101 P2:P101 S2:S101 V2:V101">
      <formula1>#REF!</formula1>
    </dataValidation>
    <dataValidation allowBlank="1" showDropDown="1" sqref="D2:D101"/>
    <dataValidation type="custom" allowBlank="1" showDropDown="1" sqref="C2:C101 E2:E101 G2:H101 J2:K101 O2:O101 Q2:R101 T2:U101 W2:Z101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15.33"/>
    <col customWidth="1" min="2" max="2" width="13.67"/>
    <col customWidth="1" min="3" max="3" width="14.22"/>
    <col customWidth="1" min="4" max="4" width="22.0"/>
    <col customWidth="1" min="5" max="5" width="15.56"/>
    <col customWidth="1" min="6" max="6" width="15.11"/>
    <col customWidth="1" hidden="1" min="7" max="7" width="15.11"/>
    <col customWidth="1" min="8" max="8" width="16.22"/>
    <col customWidth="1" min="9" max="9" width="15.11"/>
    <col customWidth="1" hidden="1" min="10" max="10" width="15.44"/>
    <col customWidth="1" min="11" max="11" width="15.44"/>
    <col customWidth="1" min="12" max="12" width="17.56"/>
    <col customWidth="1" min="13" max="13" width="18.56"/>
    <col customWidth="1" min="14" max="14" width="16.78"/>
    <col customWidth="1" min="15" max="15" width="17.56"/>
    <col customWidth="1" min="16" max="16" width="18.56"/>
    <col customWidth="1" min="17" max="17" width="14.78"/>
    <col customWidth="1" min="18" max="18" width="17.56"/>
    <col customWidth="1" min="19" max="19" width="18.56"/>
    <col customWidth="1" min="20" max="20" width="13.78"/>
    <col customWidth="1" min="21" max="21" width="16.67"/>
    <col customWidth="1" min="22" max="22" width="18.56"/>
    <col customWidth="1" min="23" max="23" width="13.78"/>
    <col customWidth="1" min="24" max="24" width="23.11"/>
    <col customWidth="1" min="25" max="25" width="20.56"/>
    <col customWidth="1" min="26" max="26" width="18.0"/>
    <col customWidth="1" min="27" max="27" width="16.33"/>
    <col customWidth="1" min="28" max="28" width="19.22"/>
    <col customWidth="1" min="29" max="30" width="16.89"/>
    <col customWidth="1" min="31" max="31" width="16.78"/>
    <col customWidth="1" min="32" max="32" width="16.89"/>
    <col customWidth="1" min="33" max="34" width="17.0"/>
  </cols>
  <sheetData>
    <row r="1" ht="22.5" customHeight="1">
      <c r="A1" s="1" t="s">
        <v>94</v>
      </c>
      <c r="B1" s="1" t="s">
        <v>95</v>
      </c>
      <c r="C1" s="1" t="s">
        <v>273</v>
      </c>
      <c r="D1" s="1" t="s">
        <v>98</v>
      </c>
      <c r="E1" s="302" t="s">
        <v>274</v>
      </c>
      <c r="F1" s="302" t="s">
        <v>99</v>
      </c>
      <c r="G1" s="303" t="s">
        <v>100</v>
      </c>
      <c r="H1" s="303" t="s">
        <v>275</v>
      </c>
      <c r="I1" s="304" t="s">
        <v>102</v>
      </c>
      <c r="J1" s="304" t="s">
        <v>103</v>
      </c>
      <c r="K1" s="304" t="s">
        <v>104</v>
      </c>
      <c r="L1" s="455" t="s">
        <v>322</v>
      </c>
      <c r="M1" s="422" t="s">
        <v>323</v>
      </c>
      <c r="N1" s="306" t="s">
        <v>278</v>
      </c>
      <c r="O1" s="423" t="s">
        <v>324</v>
      </c>
      <c r="P1" s="392" t="s">
        <v>325</v>
      </c>
      <c r="Q1" s="308" t="s">
        <v>281</v>
      </c>
      <c r="R1" s="424" t="s">
        <v>326</v>
      </c>
      <c r="S1" s="424" t="s">
        <v>327</v>
      </c>
      <c r="T1" s="310" t="s">
        <v>284</v>
      </c>
      <c r="U1" s="393" t="s">
        <v>285</v>
      </c>
      <c r="V1" s="393" t="s">
        <v>304</v>
      </c>
      <c r="W1" s="311" t="s">
        <v>305</v>
      </c>
      <c r="X1" s="394" t="s">
        <v>306</v>
      </c>
      <c r="Y1" s="395" t="s">
        <v>307</v>
      </c>
      <c r="Z1" s="314" t="s">
        <v>294</v>
      </c>
      <c r="AA1" s="314" t="s">
        <v>295</v>
      </c>
      <c r="AB1" s="1" t="s">
        <v>308</v>
      </c>
      <c r="AC1" s="1" t="s">
        <v>297</v>
      </c>
    </row>
    <row r="2" ht="22.5" customHeight="1">
      <c r="A2" s="331" t="str">
        <f>Rooster!A3</f>
        <v/>
      </c>
      <c r="B2" s="396" t="str">
        <f>Rooster!B3</f>
        <v/>
      </c>
      <c r="C2" s="15" t="str">
        <f>Rooster!C3</f>
        <v/>
      </c>
      <c r="D2" s="11" t="str">
        <f>Rooster!D3</f>
        <v/>
      </c>
      <c r="E2" s="318"/>
      <c r="F2" s="327" t="str">
        <f>Rooster!E3</f>
        <v/>
      </c>
      <c r="G2" s="319" t="str">
        <f>IFERROR(VLOOKUP(F2, Docenten!$A$2:$G$30, 7, FALSE), "0")</f>
        <v>0</v>
      </c>
      <c r="H2" s="320">
        <f t="shared" ref="H2:H101" si="1">SUM(G2/60)*C2</f>
        <v>0</v>
      </c>
      <c r="I2" s="327" t="str">
        <f>Rooster!H3</f>
        <v/>
      </c>
      <c r="J2" s="321" t="str">
        <f>IFERROR(VLOOKUP(I2, Locaties!$A$2:$G$15, 7, FALSE), "0")</f>
        <v>0</v>
      </c>
      <c r="K2" s="42">
        <f t="shared" ref="K2:K101" si="2">SUM(J2/60)*C2</f>
        <v>0</v>
      </c>
      <c r="L2" s="427" t="str">
        <f>Juni!L2</f>
        <v/>
      </c>
      <c r="M2" s="456"/>
      <c r="N2" s="321" t="str">
        <f>IFERROR(VLOOKUP(M2, Tarieven!$A$1:$J$150, 10, FALSE), "0")</f>
        <v>0</v>
      </c>
      <c r="O2" s="457" t="str">
        <f>Juni!O2</f>
        <v/>
      </c>
      <c r="P2" s="458"/>
      <c r="Q2" s="325" t="str">
        <f>IFERROR(VLOOKUP(P2, Tarieven!$A$2:$J$150, 10, FALSE), "0")</f>
        <v>0</v>
      </c>
      <c r="R2" s="138" t="str">
        <f>Juni!R2</f>
        <v/>
      </c>
      <c r="S2" s="459"/>
      <c r="T2" s="325" t="str">
        <f>IFERROR(VLOOKUP(S2, Tarieven!$A$2:$J$150, 10, FALSE), "0")</f>
        <v>0</v>
      </c>
      <c r="U2" s="77" t="str">
        <f>Juni!U2</f>
        <v/>
      </c>
      <c r="V2" s="327"/>
      <c r="W2" s="325" t="str">
        <f>IFERROR(VLOOKUP(V2, Tarieven!$A$2:$J$150, 10, FALSE), "0")</f>
        <v>0</v>
      </c>
      <c r="X2" s="138">
        <f>Juni!X2</f>
        <v>0</v>
      </c>
      <c r="Y2" s="398">
        <v>0.0</v>
      </c>
      <c r="Z2" s="329">
        <f t="shared" ref="Z2:Z100" si="3">SUM(L2+O2+R2+U2+X2)</f>
        <v>0</v>
      </c>
      <c r="AA2" s="32">
        <f t="shared" ref="AA2:AA101" si="4">SUM(H2+K2)*E2</f>
        <v>0</v>
      </c>
      <c r="AB2" s="32">
        <f t="shared" ref="AB2:AB101" si="5">SUM((L2*N2)+(O2*Q2)+(R2*T2)+(U2*W2)+Y2)</f>
        <v>0</v>
      </c>
      <c r="AC2" s="32">
        <f t="shared" ref="AC2:AC101" si="6">SUM(AB2-AA2)</f>
        <v>0</v>
      </c>
      <c r="AE2" s="154" t="s">
        <v>309</v>
      </c>
      <c r="AF2" s="154" t="s">
        <v>310</v>
      </c>
      <c r="AG2" s="109" t="s">
        <v>311</v>
      </c>
    </row>
    <row r="3" ht="22.5" customHeight="1">
      <c r="A3" s="331" t="str">
        <f>Rooster!A4</f>
        <v/>
      </c>
      <c r="B3" s="396" t="str">
        <f>Rooster!B4</f>
        <v/>
      </c>
      <c r="C3" s="15" t="str">
        <f>Rooster!C4</f>
        <v/>
      </c>
      <c r="D3" s="11" t="str">
        <f>Rooster!D4</f>
        <v/>
      </c>
      <c r="E3" s="318"/>
      <c r="F3" s="327" t="str">
        <f>Rooster!E4</f>
        <v/>
      </c>
      <c r="G3" s="319" t="str">
        <f>IFERROR(VLOOKUP(F3, Docenten!$A$2:$G$30, 7, FALSE), "0")</f>
        <v>0</v>
      </c>
      <c r="H3" s="320">
        <f t="shared" si="1"/>
        <v>0</v>
      </c>
      <c r="I3" s="327" t="str">
        <f>Rooster!H4</f>
        <v/>
      </c>
      <c r="J3" s="321" t="str">
        <f>IFERROR(VLOOKUP(I3, Locaties!$A$2:$G$15, 7, FALSE), "0")</f>
        <v>0</v>
      </c>
      <c r="K3" s="42">
        <f t="shared" si="2"/>
        <v>0</v>
      </c>
      <c r="L3" s="460" t="str">
        <f>Juni!L3</f>
        <v/>
      </c>
      <c r="M3" s="461"/>
      <c r="N3" s="321" t="str">
        <f>IFERROR(VLOOKUP(M3, Tarieven!$A$1:$J$150, 10, FALSE), "0")</f>
        <v>0</v>
      </c>
      <c r="O3" s="462" t="str">
        <f>Juni!O3</f>
        <v/>
      </c>
      <c r="P3" s="463"/>
      <c r="Q3" s="325" t="str">
        <f>IFERROR(VLOOKUP(P3, Tarieven!$A$2:$J$150, 10, FALSE), "0")</f>
        <v>0</v>
      </c>
      <c r="R3" s="138" t="str">
        <f>Juni!R3</f>
        <v/>
      </c>
      <c r="S3" s="459"/>
      <c r="T3" s="325" t="str">
        <f>IFERROR(VLOOKUP(S3, Tarieven!$A$2:$J$150, 10, FALSE), "0")</f>
        <v>0</v>
      </c>
      <c r="U3" s="77" t="str">
        <f>Juni!U3</f>
        <v/>
      </c>
      <c r="V3" s="327"/>
      <c r="W3" s="325" t="str">
        <f>IFERROR(VLOOKUP(V3, Tarieven!$A$2:$J$150, 10, FALSE), "0")</f>
        <v>0</v>
      </c>
      <c r="X3" s="138">
        <f>Juni!X3</f>
        <v>0</v>
      </c>
      <c r="Y3" s="398">
        <v>0.0</v>
      </c>
      <c r="Z3" s="329">
        <f t="shared" si="3"/>
        <v>0</v>
      </c>
      <c r="AA3" s="32">
        <f t="shared" si="4"/>
        <v>0</v>
      </c>
      <c r="AB3" s="32">
        <f t="shared" si="5"/>
        <v>0</v>
      </c>
      <c r="AC3" s="32">
        <f t="shared" si="6"/>
        <v>0</v>
      </c>
      <c r="AD3" s="130"/>
      <c r="AE3" s="159" t="s">
        <v>312</v>
      </c>
      <c r="AF3" s="32">
        <f>SUM(AB2:AB101)</f>
        <v>400</v>
      </c>
      <c r="AG3" s="160"/>
    </row>
    <row r="4" ht="22.5" customHeight="1">
      <c r="A4" s="331" t="str">
        <f>Rooster!A5</f>
        <v>Maandag</v>
      </c>
      <c r="B4" s="396">
        <f>Rooster!B5</f>
        <v>0.625</v>
      </c>
      <c r="C4" s="15">
        <f>Rooster!C5</f>
        <v>60</v>
      </c>
      <c r="D4" s="11" t="str">
        <f>Rooster!D5</f>
        <v>Kleuterdans</v>
      </c>
      <c r="E4" s="318"/>
      <c r="F4" s="327" t="str">
        <f>Rooster!E5</f>
        <v>Lotte</v>
      </c>
      <c r="G4" s="319">
        <f>IFERROR(VLOOKUP(F4, Docenten!$A$2:$G$30, 7, FALSE), "0")</f>
        <v>22.5</v>
      </c>
      <c r="H4" s="320">
        <f t="shared" si="1"/>
        <v>22.5</v>
      </c>
      <c r="I4" s="327" t="str">
        <f>Rooster!H5</f>
        <v>Santpoort Zuid</v>
      </c>
      <c r="J4" s="321">
        <f>IFERROR(VLOOKUP(I4, Locaties!$A$2:$G$15, 7, FALSE), "0")</f>
        <v>18.9</v>
      </c>
      <c r="K4" s="42">
        <f t="shared" si="2"/>
        <v>18.9</v>
      </c>
      <c r="L4" s="464" t="str">
        <f>Juni!L4</f>
        <v/>
      </c>
      <c r="M4" s="430"/>
      <c r="N4" s="321" t="str">
        <f>IFERROR(VLOOKUP(M4, Tarieven!$A$1:$J$150, 10, FALSE), "0")</f>
        <v>0</v>
      </c>
      <c r="O4" s="429" t="str">
        <f>Juni!O4</f>
        <v/>
      </c>
      <c r="P4" s="430"/>
      <c r="Q4" s="325" t="str">
        <f>IFERROR(VLOOKUP(P4, Tarieven!$A$2:$J$150, 10, FALSE), "0")</f>
        <v>0</v>
      </c>
      <c r="R4" s="138" t="str">
        <f>Juni!R4</f>
        <v/>
      </c>
      <c r="S4" s="459"/>
      <c r="T4" s="325" t="str">
        <f>IFERROR(VLOOKUP(S4, Tarieven!$A$2:$J$150, 10, FALSE), "0")</f>
        <v>0</v>
      </c>
      <c r="U4" s="77" t="str">
        <f>Juni!U4</f>
        <v/>
      </c>
      <c r="V4" s="327"/>
      <c r="W4" s="325" t="str">
        <f>IFERROR(VLOOKUP(V4, Tarieven!$A$2:$J$150, 10, FALSE), "0")</f>
        <v>0</v>
      </c>
      <c r="X4" s="138">
        <f>Juni!X4</f>
        <v>0</v>
      </c>
      <c r="Y4" s="398">
        <v>0.0</v>
      </c>
      <c r="Z4" s="329">
        <f t="shared" si="3"/>
        <v>0</v>
      </c>
      <c r="AA4" s="32">
        <f t="shared" si="4"/>
        <v>0</v>
      </c>
      <c r="AB4" s="32">
        <f t="shared" si="5"/>
        <v>0</v>
      </c>
      <c r="AC4" s="32">
        <f t="shared" si="6"/>
        <v>0</v>
      </c>
      <c r="AD4" s="130"/>
      <c r="AE4" s="159" t="s">
        <v>313</v>
      </c>
      <c r="AF4" s="404" t="str">
        <f>'Extra activiteiten'!K13</f>
        <v/>
      </c>
      <c r="AG4" s="159"/>
    </row>
    <row r="5" ht="22.5" customHeight="1">
      <c r="A5" s="17" t="s">
        <v>112</v>
      </c>
      <c r="B5" s="396">
        <v>0.625</v>
      </c>
      <c r="C5" s="15">
        <v>60.0</v>
      </c>
      <c r="D5" s="11" t="s">
        <v>130</v>
      </c>
      <c r="E5" s="318"/>
      <c r="F5" s="70" t="s">
        <v>56</v>
      </c>
      <c r="G5" s="319">
        <f>IFERROR(VLOOKUP(F5, Docenten!$A$2:$G$30, 7, FALSE), "0")</f>
        <v>22.5</v>
      </c>
      <c r="H5" s="320">
        <f t="shared" si="1"/>
        <v>22.5</v>
      </c>
      <c r="I5" s="327" t="str">
        <f>Rooster!H6</f>
        <v>Santpoort Zuid</v>
      </c>
      <c r="J5" s="321"/>
      <c r="K5" s="42">
        <f t="shared" si="2"/>
        <v>0</v>
      </c>
      <c r="L5" s="464" t="str">
        <f>Juni!L5</f>
        <v/>
      </c>
      <c r="M5" s="430"/>
      <c r="N5" s="321" t="str">
        <f>IFERROR(VLOOKUP(M5, Tarieven!$A$1:$J$150, 10, FALSE), "0")</f>
        <v>0</v>
      </c>
      <c r="O5" s="429" t="str">
        <f>Juni!O5</f>
        <v/>
      </c>
      <c r="P5" s="430"/>
      <c r="Q5" s="325" t="str">
        <f>IFERROR(VLOOKUP(P5, Tarieven!$A$2:$J$150, 10, FALSE), "0")</f>
        <v>0</v>
      </c>
      <c r="R5" s="138" t="str">
        <f>Juni!R5</f>
        <v/>
      </c>
      <c r="S5" s="459"/>
      <c r="T5" s="325" t="str">
        <f>IFERROR(VLOOKUP(S5, Tarieven!$A$2:$J$150, 10, FALSE), "0")</f>
        <v>0</v>
      </c>
      <c r="U5" s="77" t="str">
        <f>Juni!U5</f>
        <v/>
      </c>
      <c r="V5" s="327"/>
      <c r="W5" s="325" t="str">
        <f>IFERROR(VLOOKUP(V5, Tarieven!$A$2:$J$150, 10, FALSE), "0")</f>
        <v>0</v>
      </c>
      <c r="X5" s="138">
        <f>Juni!X5</f>
        <v>0</v>
      </c>
      <c r="Y5" s="398">
        <v>0.0</v>
      </c>
      <c r="Z5" s="329">
        <f t="shared" si="3"/>
        <v>0</v>
      </c>
      <c r="AA5" s="32">
        <f t="shared" si="4"/>
        <v>0</v>
      </c>
      <c r="AB5" s="32">
        <f t="shared" si="5"/>
        <v>0</v>
      </c>
      <c r="AC5" s="32">
        <f t="shared" si="6"/>
        <v>0</v>
      </c>
      <c r="AE5" s="159" t="s">
        <v>314</v>
      </c>
      <c r="AF5" s="32">
        <f>SUM(Juli[Kosten per maand])</f>
        <v>225</v>
      </c>
      <c r="AG5" s="159"/>
    </row>
    <row r="6" ht="22.5" customHeight="1">
      <c r="A6" s="331" t="str">
        <f>Rooster!A7</f>
        <v>Maandag</v>
      </c>
      <c r="B6" s="396">
        <f>Rooster!B7</f>
        <v>0.6666666667</v>
      </c>
      <c r="C6" s="15">
        <f>Rooster!C7</f>
        <v>60</v>
      </c>
      <c r="D6" s="11" t="str">
        <f>Rooster!D7</f>
        <v>Urban-Pop-Show 10+</v>
      </c>
      <c r="E6" s="318"/>
      <c r="F6" s="327" t="str">
        <f>Rooster!E7</f>
        <v>Lotte</v>
      </c>
      <c r="G6" s="319">
        <f>IFERROR(VLOOKUP(F6, Docenten!$A$2:$G$30, 7, FALSE), "0")</f>
        <v>22.5</v>
      </c>
      <c r="H6" s="320">
        <f t="shared" si="1"/>
        <v>22.5</v>
      </c>
      <c r="I6" s="327" t="str">
        <f>Rooster!H7</f>
        <v>Santpoort Zuid</v>
      </c>
      <c r="J6" s="321">
        <f>IFERROR(VLOOKUP(I6, Locaties!$A$2:$G$15, 7, FALSE), "0")</f>
        <v>18.9</v>
      </c>
      <c r="K6" s="42">
        <f t="shared" si="2"/>
        <v>18.9</v>
      </c>
      <c r="L6" s="465">
        <f>Juni!L6</f>
        <v>7</v>
      </c>
      <c r="M6" s="466"/>
      <c r="N6" s="321" t="str">
        <f>IFERROR(VLOOKUP(M6, Tarieven!$A$1:$J$150, 10, FALSE), "0")</f>
        <v>0</v>
      </c>
      <c r="O6" s="467">
        <f>Juni!O6</f>
        <v>1</v>
      </c>
      <c r="P6" s="430"/>
      <c r="Q6" s="325" t="str">
        <f>IFERROR(VLOOKUP(P6, Tarieven!$A$2:$J$150, 10, FALSE), "0")</f>
        <v>0</v>
      </c>
      <c r="R6" s="138">
        <f>Juni!R6</f>
        <v>1</v>
      </c>
      <c r="S6" s="459"/>
      <c r="T6" s="325" t="str">
        <f>IFERROR(VLOOKUP(S6, Tarieven!$A$2:$J$150, 10, FALSE), "0")</f>
        <v>0</v>
      </c>
      <c r="U6" s="77">
        <f>Juni!U6</f>
        <v>1</v>
      </c>
      <c r="V6" s="327"/>
      <c r="W6" s="325" t="str">
        <f>IFERROR(VLOOKUP(V6, Tarieven!$A$2:$J$150, 10, FALSE), "0")</f>
        <v>0</v>
      </c>
      <c r="X6" s="138">
        <f>Juni!X6</f>
        <v>4</v>
      </c>
      <c r="Y6" s="398">
        <v>0.0</v>
      </c>
      <c r="Z6" s="329">
        <f t="shared" si="3"/>
        <v>14</v>
      </c>
      <c r="AA6" s="32">
        <f t="shared" si="4"/>
        <v>0</v>
      </c>
      <c r="AB6" s="32">
        <f t="shared" si="5"/>
        <v>0</v>
      </c>
      <c r="AC6" s="32">
        <f t="shared" si="6"/>
        <v>0</v>
      </c>
      <c r="AD6" s="130"/>
      <c r="AE6" s="159" t="s">
        <v>315</v>
      </c>
      <c r="AF6" s="408">
        <f>Kosten!M69</f>
        <v>2199.99</v>
      </c>
      <c r="AG6" s="159" t="s">
        <v>316</v>
      </c>
    </row>
    <row r="7" ht="22.5" customHeight="1">
      <c r="A7" s="331" t="str">
        <f>Rooster!A8</f>
        <v>Maandag</v>
      </c>
      <c r="B7" s="396">
        <f>Rooster!B8</f>
        <v>0.7083333333</v>
      </c>
      <c r="C7" s="15">
        <f>Rooster!C8</f>
        <v>60</v>
      </c>
      <c r="D7" s="11" t="str">
        <f>Rooster!D8</f>
        <v>Urban-Pop-Show 12+</v>
      </c>
      <c r="E7" s="318"/>
      <c r="F7" s="327" t="str">
        <f>Rooster!E8</f>
        <v>Nova</v>
      </c>
      <c r="G7" s="319">
        <f>IFERROR(VLOOKUP(F7, Docenten!$A$2:$G$30, 7, FALSE), "0")</f>
        <v>22.5</v>
      </c>
      <c r="H7" s="320">
        <f t="shared" si="1"/>
        <v>22.5</v>
      </c>
      <c r="I7" s="327" t="str">
        <f>Rooster!H8</f>
        <v>Santpoort Zuid</v>
      </c>
      <c r="J7" s="321">
        <f>IFERROR(VLOOKUP(I7, Locaties!$A$2:$G$15, 7, FALSE), "0")</f>
        <v>18.9</v>
      </c>
      <c r="K7" s="42">
        <f t="shared" si="2"/>
        <v>18.9</v>
      </c>
      <c r="L7" s="468">
        <f>Juni!L7</f>
        <v>3</v>
      </c>
      <c r="M7" s="469"/>
      <c r="N7" s="321" t="str">
        <f>IFERROR(VLOOKUP(M7, Tarieven!$A$1:$J$150, 10, FALSE), "0")</f>
        <v>0</v>
      </c>
      <c r="O7" s="468">
        <f>Juni!O7</f>
        <v>1</v>
      </c>
      <c r="P7" s="470"/>
      <c r="Q7" s="325" t="str">
        <f>IFERROR(VLOOKUP(P7, Tarieven!$A$2:$J$150, 10, FALSE), "0")</f>
        <v>0</v>
      </c>
      <c r="R7" s="138">
        <f>Juni!R7</f>
        <v>1</v>
      </c>
      <c r="S7" s="459"/>
      <c r="T7" s="325" t="str">
        <f>IFERROR(VLOOKUP(S7, Tarieven!$A$2:$J$150, 10, FALSE), "0")</f>
        <v>0</v>
      </c>
      <c r="U7" s="77" t="str">
        <f>Juni!U7</f>
        <v/>
      </c>
      <c r="V7" s="327"/>
      <c r="W7" s="325" t="str">
        <f>IFERROR(VLOOKUP(V7, Tarieven!$A$2:$J$150, 10, FALSE), "0")</f>
        <v>0</v>
      </c>
      <c r="X7" s="138">
        <f>Juni!X7</f>
        <v>11</v>
      </c>
      <c r="Y7" s="398">
        <v>0.0</v>
      </c>
      <c r="Z7" s="329">
        <f t="shared" si="3"/>
        <v>16</v>
      </c>
      <c r="AA7" s="32">
        <f t="shared" si="4"/>
        <v>0</v>
      </c>
      <c r="AB7" s="32">
        <f t="shared" si="5"/>
        <v>0</v>
      </c>
      <c r="AC7" s="32">
        <f t="shared" si="6"/>
        <v>0</v>
      </c>
      <c r="AD7" s="409"/>
      <c r="AE7" s="410" t="s">
        <v>317</v>
      </c>
      <c r="AF7" s="411">
        <f>SUM(AF3+AF4)-AF5-AF6</f>
        <v>-2024.99</v>
      </c>
      <c r="AG7" s="412">
        <f>'Doel vs Werkelijkheid'!B2</f>
        <v>3000</v>
      </c>
    </row>
    <row r="8" ht="22.5" customHeight="1">
      <c r="A8" s="331" t="str">
        <f>Rooster!A9</f>
        <v>Maandag</v>
      </c>
      <c r="B8" s="396">
        <f>Rooster!B9</f>
        <v>0.75</v>
      </c>
      <c r="C8" s="15">
        <f>Rooster!C9</f>
        <v>60</v>
      </c>
      <c r="D8" s="11" t="str">
        <f>Rooster!D9</f>
        <v>Selectie Show</v>
      </c>
      <c r="E8" s="318"/>
      <c r="F8" s="327" t="str">
        <f>Rooster!E9</f>
        <v>Nova</v>
      </c>
      <c r="G8" s="319">
        <f>IFERROR(VLOOKUP(F8, Docenten!$A$2:$G$30, 7, FALSE), "0")</f>
        <v>22.5</v>
      </c>
      <c r="H8" s="320">
        <f t="shared" si="1"/>
        <v>22.5</v>
      </c>
      <c r="I8" s="327" t="str">
        <f>Rooster!H9</f>
        <v>Santpoort Zuid</v>
      </c>
      <c r="J8" s="321">
        <f>IFERROR(VLOOKUP(I8, Locaties!$A$2:$G$15, 7, FALSE), "0")</f>
        <v>18.9</v>
      </c>
      <c r="K8" s="42">
        <f t="shared" si="2"/>
        <v>18.9</v>
      </c>
      <c r="L8" s="471" t="str">
        <f>Juni!L8</f>
        <v/>
      </c>
      <c r="M8" s="472"/>
      <c r="N8" s="321" t="str">
        <f>IFERROR(VLOOKUP(M8, Tarieven!$A$1:$J$150, 10, FALSE), "0")</f>
        <v>0</v>
      </c>
      <c r="O8" s="467">
        <f>Juni!O8</f>
        <v>3</v>
      </c>
      <c r="P8" s="466"/>
      <c r="Q8" s="325" t="str">
        <f>IFERROR(VLOOKUP(P8, Tarieven!$A$2:$J$150, 10, FALSE), "0")</f>
        <v>0</v>
      </c>
      <c r="R8" s="138">
        <f>Juni!R8</f>
        <v>2</v>
      </c>
      <c r="S8" s="459"/>
      <c r="T8" s="325" t="str">
        <f>IFERROR(VLOOKUP(S8, Tarieven!$A$2:$J$150, 10, FALSE), "0")</f>
        <v>0</v>
      </c>
      <c r="U8" s="77">
        <f>Juni!U8</f>
        <v>3</v>
      </c>
      <c r="V8" s="327"/>
      <c r="W8" s="325" t="str">
        <f>IFERROR(VLOOKUP(V8, Tarieven!$A$2:$J$150, 10, FALSE), "0")</f>
        <v>0</v>
      </c>
      <c r="X8" s="138">
        <f>Juni!X8</f>
        <v>4</v>
      </c>
      <c r="Y8" s="398">
        <v>0.0</v>
      </c>
      <c r="Z8" s="329">
        <f t="shared" si="3"/>
        <v>12</v>
      </c>
      <c r="AA8" s="32">
        <f t="shared" si="4"/>
        <v>0</v>
      </c>
      <c r="AB8" s="32">
        <f t="shared" si="5"/>
        <v>0</v>
      </c>
      <c r="AC8" s="32">
        <f t="shared" si="6"/>
        <v>0</v>
      </c>
      <c r="AE8" s="160"/>
      <c r="AF8" s="160"/>
      <c r="AG8" s="160"/>
    </row>
    <row r="9" ht="22.5" customHeight="1">
      <c r="A9" s="331" t="str">
        <f>Rooster!A10</f>
        <v>Maandag</v>
      </c>
      <c r="B9" s="396">
        <f>Rooster!B10</f>
        <v>0.7916666667</v>
      </c>
      <c r="C9" s="15">
        <f>Rooster!C10</f>
        <v>60</v>
      </c>
      <c r="D9" s="11" t="str">
        <f>Rooster!D10</f>
        <v>Commercial 16+</v>
      </c>
      <c r="E9" s="318"/>
      <c r="F9" s="327" t="str">
        <f>Rooster!E10</f>
        <v>Nova</v>
      </c>
      <c r="G9" s="319">
        <f>IFERROR(VLOOKUP(F9, Docenten!$A$2:$G$30, 7, FALSE), "0")</f>
        <v>22.5</v>
      </c>
      <c r="H9" s="320">
        <f t="shared" si="1"/>
        <v>22.5</v>
      </c>
      <c r="I9" s="327" t="str">
        <f>Rooster!H10</f>
        <v>Santpoort Zuid</v>
      </c>
      <c r="J9" s="321">
        <f>IFERROR(VLOOKUP(I9, Locaties!$A$2:$G$15, 7, FALSE), "0")</f>
        <v>18.9</v>
      </c>
      <c r="K9" s="42">
        <f t="shared" si="2"/>
        <v>18.9</v>
      </c>
      <c r="L9" s="468">
        <f>Juni!L9</f>
        <v>2</v>
      </c>
      <c r="M9" s="469"/>
      <c r="N9" s="321" t="str">
        <f>IFERROR(VLOOKUP(M9, Tarieven!$A$1:$J$150, 10, FALSE), "0")</f>
        <v>0</v>
      </c>
      <c r="O9" s="473">
        <f>Juni!O9</f>
        <v>3</v>
      </c>
      <c r="P9" s="474"/>
      <c r="Q9" s="325" t="str">
        <f>IFERROR(VLOOKUP(P9, Tarieven!$A$2:$J$150, 10, FALSE), "0")</f>
        <v>0</v>
      </c>
      <c r="R9" s="138">
        <f>Juni!R9</f>
        <v>2</v>
      </c>
      <c r="S9" s="459"/>
      <c r="T9" s="325" t="str">
        <f>IFERROR(VLOOKUP(S9, Tarieven!$A$2:$J$150, 10, FALSE), "0")</f>
        <v>0</v>
      </c>
      <c r="U9" s="77">
        <f>Juni!U9</f>
        <v>2</v>
      </c>
      <c r="V9" s="327"/>
      <c r="W9" s="325" t="str">
        <f>IFERROR(VLOOKUP(V9, Tarieven!$A$2:$J$150, 10, FALSE), "0")</f>
        <v>0</v>
      </c>
      <c r="X9" s="138">
        <f>Juni!X9</f>
        <v>5</v>
      </c>
      <c r="Y9" s="398">
        <v>0.0</v>
      </c>
      <c r="Z9" s="329">
        <f t="shared" si="3"/>
        <v>14</v>
      </c>
      <c r="AA9" s="32">
        <f t="shared" si="4"/>
        <v>0</v>
      </c>
      <c r="AB9" s="32">
        <f t="shared" si="5"/>
        <v>0</v>
      </c>
      <c r="AC9" s="32">
        <f t="shared" si="6"/>
        <v>0</v>
      </c>
      <c r="AE9" s="159" t="s">
        <v>19</v>
      </c>
      <c r="AF9" s="413">
        <f>Z101</f>
        <v>461</v>
      </c>
      <c r="AG9" s="160"/>
    </row>
    <row r="10" ht="22.5" customHeight="1">
      <c r="A10" s="331" t="str">
        <f>Rooster!A11</f>
        <v>Maandag</v>
      </c>
      <c r="B10" s="396">
        <f>Rooster!B11</f>
        <v>0.8333333333</v>
      </c>
      <c r="C10" s="15">
        <f>Rooster!C11</f>
        <v>60</v>
      </c>
      <c r="D10" s="11" t="str">
        <f>Rooster!D11</f>
        <v>Commercial 20+</v>
      </c>
      <c r="E10" s="318"/>
      <c r="F10" s="327" t="str">
        <f>Rooster!E11</f>
        <v>Nova</v>
      </c>
      <c r="G10" s="319">
        <f>IFERROR(VLOOKUP(F10, Docenten!$A$2:$G$30, 7, FALSE), "0")</f>
        <v>22.5</v>
      </c>
      <c r="H10" s="320">
        <f t="shared" si="1"/>
        <v>22.5</v>
      </c>
      <c r="I10" s="327" t="str">
        <f>Rooster!H11</f>
        <v>Santpoort Zuid</v>
      </c>
      <c r="J10" s="321">
        <f>IFERROR(VLOOKUP(I10, Locaties!$A$2:$G$15, 7, FALSE), "0")</f>
        <v>18.9</v>
      </c>
      <c r="K10" s="42">
        <f t="shared" si="2"/>
        <v>18.9</v>
      </c>
      <c r="L10" s="471">
        <f>Juni!L10</f>
        <v>5</v>
      </c>
      <c r="M10" s="472"/>
      <c r="N10" s="321" t="str">
        <f>IFERROR(VLOOKUP(M10, Tarieven!$A$1:$J$150, 10, FALSE), "0")</f>
        <v>0</v>
      </c>
      <c r="O10" s="467">
        <f>Juni!O10</f>
        <v>2</v>
      </c>
      <c r="P10" s="430"/>
      <c r="Q10" s="325" t="str">
        <f>IFERROR(VLOOKUP(P10, Tarieven!$A$2:$J$150, 10, FALSE), "0")</f>
        <v>0</v>
      </c>
      <c r="R10" s="138" t="str">
        <f>Juni!R10</f>
        <v/>
      </c>
      <c r="S10" s="459"/>
      <c r="T10" s="325" t="str">
        <f>IFERROR(VLOOKUP(S10, Tarieven!$A$2:$J$150, 10, FALSE), "0")</f>
        <v>0</v>
      </c>
      <c r="U10" s="77" t="str">
        <f>Juni!U10</f>
        <v/>
      </c>
      <c r="V10" s="327"/>
      <c r="W10" s="325" t="str">
        <f>IFERROR(VLOOKUP(V10, Tarieven!$A$2:$J$150, 10, FALSE), "0")</f>
        <v>0</v>
      </c>
      <c r="X10" s="138">
        <f>Juni!X10</f>
        <v>8</v>
      </c>
      <c r="Y10" s="398">
        <v>0.0</v>
      </c>
      <c r="Z10" s="329">
        <f t="shared" si="3"/>
        <v>15</v>
      </c>
      <c r="AA10" s="32">
        <f t="shared" si="4"/>
        <v>0</v>
      </c>
      <c r="AB10" s="32">
        <f t="shared" si="5"/>
        <v>0</v>
      </c>
      <c r="AC10" s="32">
        <f t="shared" si="6"/>
        <v>0</v>
      </c>
      <c r="AE10" s="330"/>
      <c r="AF10" s="330"/>
    </row>
    <row r="11" ht="22.5" customHeight="1">
      <c r="A11" s="331" t="str">
        <f>Rooster!A12</f>
        <v>Maandag</v>
      </c>
      <c r="B11" s="396">
        <f>Rooster!B12</f>
        <v>0.875</v>
      </c>
      <c r="C11" s="15">
        <f>Rooster!C12</f>
        <v>60</v>
      </c>
      <c r="D11" s="11" t="str">
        <f>Rooster!D12</f>
        <v>Jazz 20+</v>
      </c>
      <c r="E11" s="318"/>
      <c r="F11" s="327" t="str">
        <f>Rooster!E12</f>
        <v>Nova</v>
      </c>
      <c r="G11" s="319">
        <f>IFERROR(VLOOKUP(F11, Docenten!$A$2:$G$30, 7, FALSE), "0")</f>
        <v>22.5</v>
      </c>
      <c r="H11" s="320">
        <f t="shared" si="1"/>
        <v>22.5</v>
      </c>
      <c r="I11" s="327" t="str">
        <f>Rooster!H12</f>
        <v>Santpoort Zuid</v>
      </c>
      <c r="J11" s="321">
        <f>IFERROR(VLOOKUP(I11, Locaties!$A$2:$G$15, 7, FALSE), "0")</f>
        <v>18.9</v>
      </c>
      <c r="K11" s="42">
        <f t="shared" si="2"/>
        <v>18.9</v>
      </c>
      <c r="L11" s="468">
        <f>Juni!L11</f>
        <v>4</v>
      </c>
      <c r="M11" s="469"/>
      <c r="N11" s="321" t="str">
        <f>IFERROR(VLOOKUP(M11, Tarieven!$A$1:$J$150, 10, FALSE), "0")</f>
        <v>0</v>
      </c>
      <c r="O11" s="473">
        <f>Juni!O11</f>
        <v>1</v>
      </c>
      <c r="P11" s="474"/>
      <c r="Q11" s="325" t="str">
        <f>IFERROR(VLOOKUP(P11, Tarieven!$A$2:$J$150, 10, FALSE), "0")</f>
        <v>0</v>
      </c>
      <c r="R11" s="138" t="str">
        <f>Juni!R11</f>
        <v/>
      </c>
      <c r="S11" s="459"/>
      <c r="T11" s="325" t="str">
        <f>IFERROR(VLOOKUP(S11, Tarieven!$A$2:$J$150, 10, FALSE), "0")</f>
        <v>0</v>
      </c>
      <c r="U11" s="77" t="str">
        <f>Juni!U11</f>
        <v/>
      </c>
      <c r="V11" s="327"/>
      <c r="W11" s="325" t="str">
        <f>IFERROR(VLOOKUP(V11, Tarieven!$A$2:$J$150, 10, FALSE), "0")</f>
        <v>0</v>
      </c>
      <c r="X11" s="138">
        <f>Juni!X11</f>
        <v>4</v>
      </c>
      <c r="Y11" s="398">
        <v>0.0</v>
      </c>
      <c r="Z11" s="329">
        <f t="shared" si="3"/>
        <v>9</v>
      </c>
      <c r="AA11" s="32">
        <f t="shared" si="4"/>
        <v>0</v>
      </c>
      <c r="AB11" s="32">
        <f t="shared" si="5"/>
        <v>0</v>
      </c>
      <c r="AC11" s="32">
        <f t="shared" si="6"/>
        <v>0</v>
      </c>
      <c r="AE11" s="330"/>
      <c r="AF11" s="330"/>
    </row>
    <row r="12" ht="22.5" customHeight="1">
      <c r="A12" s="331" t="str">
        <f>Rooster!A13</f>
        <v>Maandag</v>
      </c>
      <c r="B12" s="396">
        <f>Rooster!B13</f>
        <v>0.6666666667</v>
      </c>
      <c r="C12" s="15">
        <f>Rooster!C13</f>
        <v>60</v>
      </c>
      <c r="D12" s="11" t="str">
        <f>Rooster!D13</f>
        <v>Streetdance 6+</v>
      </c>
      <c r="E12" s="318"/>
      <c r="F12" s="327" t="str">
        <f>Rooster!E13</f>
        <v>Julia</v>
      </c>
      <c r="G12" s="319">
        <f>IFERROR(VLOOKUP(F12, Docenten!$A$2:$G$30, 7, FALSE), "0")</f>
        <v>15</v>
      </c>
      <c r="H12" s="320">
        <f t="shared" si="1"/>
        <v>15</v>
      </c>
      <c r="I12" s="327" t="str">
        <f>Rooster!H13</f>
        <v>Santpoort Noord</v>
      </c>
      <c r="J12" s="321">
        <f>IFERROR(VLOOKUP(I12, Locaties!$A$2:$G$15, 7, FALSE), "0")</f>
        <v>14.2</v>
      </c>
      <c r="K12" s="42">
        <f t="shared" si="2"/>
        <v>14.2</v>
      </c>
      <c r="L12" s="465">
        <f>Juni!L12</f>
        <v>2</v>
      </c>
      <c r="M12" s="466"/>
      <c r="N12" s="321" t="str">
        <f>IFERROR(VLOOKUP(M12, Tarieven!$A$1:$J$150, 10, FALSE), "0")</f>
        <v>0</v>
      </c>
      <c r="O12" s="467">
        <f>Juni!O12</f>
        <v>8</v>
      </c>
      <c r="P12" s="430"/>
      <c r="Q12" s="325" t="str">
        <f>IFERROR(VLOOKUP(P12, Tarieven!$A$2:$J$150, 10, FALSE), "0")</f>
        <v>0</v>
      </c>
      <c r="R12" s="138" t="str">
        <f>Juni!R12</f>
        <v/>
      </c>
      <c r="S12" s="459"/>
      <c r="T12" s="325" t="str">
        <f>IFERROR(VLOOKUP(S12, Tarieven!$A$2:$J$150, 10, FALSE), "0")</f>
        <v>0</v>
      </c>
      <c r="U12" s="77" t="str">
        <f>Juni!U12</f>
        <v/>
      </c>
      <c r="V12" s="327"/>
      <c r="W12" s="325" t="str">
        <f>IFERROR(VLOOKUP(V12, Tarieven!$A$2:$J$150, 10, FALSE), "0")</f>
        <v>0</v>
      </c>
      <c r="X12" s="138">
        <f>Juni!X12</f>
        <v>2</v>
      </c>
      <c r="Y12" s="398">
        <v>0.0</v>
      </c>
      <c r="Z12" s="329">
        <f t="shared" si="3"/>
        <v>12</v>
      </c>
      <c r="AA12" s="32">
        <f t="shared" si="4"/>
        <v>0</v>
      </c>
      <c r="AB12" s="32">
        <f t="shared" si="5"/>
        <v>0</v>
      </c>
      <c r="AC12" s="32">
        <f t="shared" si="6"/>
        <v>0</v>
      </c>
      <c r="AE12" s="330"/>
      <c r="AF12" s="330"/>
    </row>
    <row r="13" ht="22.5" customHeight="1">
      <c r="A13" s="331" t="str">
        <f>Rooster!A14</f>
        <v>Maandag</v>
      </c>
      <c r="B13" s="396">
        <f>Rooster!B14</f>
        <v>0.7083333333</v>
      </c>
      <c r="C13" s="15">
        <f>Rooster!C14</f>
        <v>60</v>
      </c>
      <c r="D13" s="11" t="str">
        <f>Rooster!D14</f>
        <v>Streetdance 8+</v>
      </c>
      <c r="E13" s="318"/>
      <c r="F13" s="327" t="str">
        <f>Rooster!E14</f>
        <v>Julia</v>
      </c>
      <c r="G13" s="319">
        <f>IFERROR(VLOOKUP(F13, Docenten!$A$2:$G$30, 7, FALSE), "0")</f>
        <v>15</v>
      </c>
      <c r="H13" s="320">
        <f t="shared" si="1"/>
        <v>15</v>
      </c>
      <c r="I13" s="327" t="str">
        <f>Rooster!H14</f>
        <v>Santpoort Noord</v>
      </c>
      <c r="J13" s="321">
        <f>IFERROR(VLOOKUP(I13, Locaties!$A$2:$G$15, 7, FALSE), "0")</f>
        <v>14.2</v>
      </c>
      <c r="K13" s="42">
        <f t="shared" si="2"/>
        <v>14.2</v>
      </c>
      <c r="L13" s="475">
        <f>Juni!L13</f>
        <v>1</v>
      </c>
      <c r="M13" s="470"/>
      <c r="N13" s="321" t="str">
        <f>IFERROR(VLOOKUP(M13, Tarieven!$A$1:$J$150, 10, FALSE), "0")</f>
        <v>0</v>
      </c>
      <c r="O13" s="473">
        <f>Juni!O13</f>
        <v>5</v>
      </c>
      <c r="P13" s="474"/>
      <c r="Q13" s="325" t="str">
        <f>IFERROR(VLOOKUP(P13, Tarieven!$A$2:$J$150, 10, FALSE), "0")</f>
        <v>0</v>
      </c>
      <c r="R13" s="138">
        <f>Juni!R13</f>
        <v>1</v>
      </c>
      <c r="S13" s="459"/>
      <c r="T13" s="325" t="str">
        <f>IFERROR(VLOOKUP(S13, Tarieven!$A$2:$J$150, 10, FALSE), "0")</f>
        <v>0</v>
      </c>
      <c r="U13" s="77" t="str">
        <f>Juni!U13</f>
        <v/>
      </c>
      <c r="V13" s="327"/>
      <c r="W13" s="325" t="str">
        <f>IFERROR(VLOOKUP(V13, Tarieven!$A$2:$J$150, 10, FALSE), "0")</f>
        <v>0</v>
      </c>
      <c r="X13" s="138">
        <f>Juni!X13</f>
        <v>13</v>
      </c>
      <c r="Y13" s="398">
        <v>0.0</v>
      </c>
      <c r="Z13" s="329">
        <f t="shared" si="3"/>
        <v>20</v>
      </c>
      <c r="AA13" s="32">
        <f t="shared" si="4"/>
        <v>0</v>
      </c>
      <c r="AB13" s="32">
        <f t="shared" si="5"/>
        <v>0</v>
      </c>
      <c r="AC13" s="32">
        <f t="shared" si="6"/>
        <v>0</v>
      </c>
      <c r="AE13" s="330"/>
      <c r="AF13" s="330"/>
    </row>
    <row r="14" ht="22.5" customHeight="1">
      <c r="A14" s="331" t="str">
        <f>Rooster!A15</f>
        <v>Dinsdag</v>
      </c>
      <c r="B14" s="396">
        <f>Rooster!B15</f>
        <v>0.6666666667</v>
      </c>
      <c r="C14" s="15">
        <f>Rooster!C15</f>
        <v>60</v>
      </c>
      <c r="D14" s="11" t="str">
        <f>Rooster!D15</f>
        <v>Modern 8+</v>
      </c>
      <c r="E14" s="318"/>
      <c r="F14" s="327" t="str">
        <f>Rooster!E15</f>
        <v>Eigenaar</v>
      </c>
      <c r="G14" s="319">
        <f>IFERROR(VLOOKUP(F14, Docenten!$A$2:$G$30, 7, FALSE), "0")</f>
        <v>0</v>
      </c>
      <c r="H14" s="320">
        <f t="shared" si="1"/>
        <v>0</v>
      </c>
      <c r="I14" s="327" t="str">
        <f>Rooster!H15</f>
        <v>Santpoort Zuid</v>
      </c>
      <c r="J14" s="321">
        <f>IFERROR(VLOOKUP(I14, Locaties!$A$2:$G$15, 7, FALSE), "0")</f>
        <v>18.9</v>
      </c>
      <c r="K14" s="42">
        <f t="shared" si="2"/>
        <v>18.9</v>
      </c>
      <c r="L14" s="471">
        <f>Juni!L14</f>
        <v>5</v>
      </c>
      <c r="M14" s="472"/>
      <c r="N14" s="321" t="str">
        <f>IFERROR(VLOOKUP(M14, Tarieven!$A$1:$J$150, 10, FALSE), "0")</f>
        <v>0</v>
      </c>
      <c r="O14" s="467">
        <f>Juni!O14</f>
        <v>1</v>
      </c>
      <c r="P14" s="430"/>
      <c r="Q14" s="325" t="str">
        <f>IFERROR(VLOOKUP(P14, Tarieven!$A$2:$J$150, 10, FALSE), "0")</f>
        <v>0</v>
      </c>
      <c r="R14" s="138">
        <f>Juni!R14</f>
        <v>2</v>
      </c>
      <c r="S14" s="459"/>
      <c r="T14" s="325" t="str">
        <f>IFERROR(VLOOKUP(S14, Tarieven!$A$2:$J$150, 10, FALSE), "0")</f>
        <v>0</v>
      </c>
      <c r="U14" s="77">
        <f>Juni!U14</f>
        <v>1</v>
      </c>
      <c r="V14" s="327"/>
      <c r="W14" s="325" t="str">
        <f>IFERROR(VLOOKUP(V14, Tarieven!$A$2:$J$150, 10, FALSE), "0")</f>
        <v>0</v>
      </c>
      <c r="X14" s="138">
        <f>Juni!X14</f>
        <v>8</v>
      </c>
      <c r="Y14" s="398">
        <v>0.0</v>
      </c>
      <c r="Z14" s="329">
        <f t="shared" si="3"/>
        <v>17</v>
      </c>
      <c r="AA14" s="32">
        <f t="shared" si="4"/>
        <v>0</v>
      </c>
      <c r="AB14" s="32">
        <f t="shared" si="5"/>
        <v>0</v>
      </c>
      <c r="AC14" s="32">
        <f t="shared" si="6"/>
        <v>0</v>
      </c>
    </row>
    <row r="15" ht="22.5" customHeight="1">
      <c r="A15" s="331" t="str">
        <f>Rooster!A16</f>
        <v>Dinsdag</v>
      </c>
      <c r="B15" s="396">
        <f>Rooster!B16</f>
        <v>0.7083333333</v>
      </c>
      <c r="C15" s="15">
        <f>Rooster!C16</f>
        <v>60</v>
      </c>
      <c r="D15" s="11" t="str">
        <f>Rooster!D16</f>
        <v>Selectie show 8+</v>
      </c>
      <c r="E15" s="318"/>
      <c r="F15" s="327" t="str">
        <f>Rooster!E16</f>
        <v>Eigenaar</v>
      </c>
      <c r="G15" s="319">
        <f>IFERROR(VLOOKUP(F15, Docenten!$A$2:$G$30, 7, FALSE), "0")</f>
        <v>0</v>
      </c>
      <c r="H15" s="320">
        <f t="shared" si="1"/>
        <v>0</v>
      </c>
      <c r="I15" s="327" t="str">
        <f>Rooster!H16</f>
        <v>Santpoort Zuid</v>
      </c>
      <c r="J15" s="321">
        <f>IFERROR(VLOOKUP(I15, Locaties!$A$2:$G$15, 7, FALSE), "0")</f>
        <v>18.9</v>
      </c>
      <c r="K15" s="42">
        <f t="shared" si="2"/>
        <v>18.9</v>
      </c>
      <c r="L15" s="476">
        <f>Juni!L15</f>
        <v>2</v>
      </c>
      <c r="M15" s="463"/>
      <c r="N15" s="321" t="str">
        <f>IFERROR(VLOOKUP(M15, Tarieven!$A$1:$J$150, 10, FALSE), "0")</f>
        <v>0</v>
      </c>
      <c r="O15" s="473">
        <f>Juni!O15</f>
        <v>2</v>
      </c>
      <c r="P15" s="474"/>
      <c r="Q15" s="325" t="str">
        <f>IFERROR(VLOOKUP(P15, Tarieven!$A$2:$J$150, 10, FALSE), "0")</f>
        <v>0</v>
      </c>
      <c r="R15" s="138" t="str">
        <f>Juni!R15</f>
        <v/>
      </c>
      <c r="S15" s="459"/>
      <c r="T15" s="325" t="str">
        <f>IFERROR(VLOOKUP(S15, Tarieven!$A$2:$J$150, 10, FALSE), "0")</f>
        <v>0</v>
      </c>
      <c r="U15" s="77">
        <f>Juni!U15</f>
        <v>1</v>
      </c>
      <c r="V15" s="327"/>
      <c r="W15" s="325" t="str">
        <f>IFERROR(VLOOKUP(V15, Tarieven!$A$2:$J$150, 10, FALSE), "0")</f>
        <v>0</v>
      </c>
      <c r="X15" s="138">
        <f>Juni!X15</f>
        <v>7</v>
      </c>
      <c r="Y15" s="398">
        <v>0.0</v>
      </c>
      <c r="Z15" s="329">
        <f t="shared" si="3"/>
        <v>12</v>
      </c>
      <c r="AA15" s="32">
        <f t="shared" si="4"/>
        <v>0</v>
      </c>
      <c r="AB15" s="32">
        <f t="shared" si="5"/>
        <v>0</v>
      </c>
      <c r="AC15" s="32">
        <f t="shared" si="6"/>
        <v>0</v>
      </c>
    </row>
    <row r="16" ht="22.5" customHeight="1">
      <c r="A16" s="331" t="str">
        <f>Rooster!A17</f>
        <v>Dinsdag</v>
      </c>
      <c r="B16" s="396">
        <f>Rooster!B17</f>
        <v>0.75</v>
      </c>
      <c r="C16" s="15">
        <f>Rooster!C17</f>
        <v>90</v>
      </c>
      <c r="D16" s="11" t="str">
        <f>Rooster!D17</f>
        <v>Selectie Cheer</v>
      </c>
      <c r="E16" s="318"/>
      <c r="F16" s="327" t="str">
        <f>Rooster!E17</f>
        <v>Eigenaar</v>
      </c>
      <c r="G16" s="319">
        <f>IFERROR(VLOOKUP(F16, Docenten!$A$2:$G$30, 7, FALSE), "0")</f>
        <v>0</v>
      </c>
      <c r="H16" s="320">
        <f t="shared" si="1"/>
        <v>0</v>
      </c>
      <c r="I16" s="327" t="str">
        <f>Rooster!H17</f>
        <v>Santpoort Zuid</v>
      </c>
      <c r="J16" s="321">
        <f>IFERROR(VLOOKUP(I16, Locaties!$A$2:$G$15, 7, FALSE), "0")</f>
        <v>18.9</v>
      </c>
      <c r="K16" s="42">
        <f t="shared" si="2"/>
        <v>28.35</v>
      </c>
      <c r="L16" s="477">
        <f>Juni!L16</f>
        <v>2</v>
      </c>
      <c r="M16" s="478"/>
      <c r="N16" s="321" t="str">
        <f>IFERROR(VLOOKUP(M16, Tarieven!$A$1:$J$150, 10, FALSE), "0")</f>
        <v>0</v>
      </c>
      <c r="O16" s="467">
        <f>Juni!O16</f>
        <v>1</v>
      </c>
      <c r="P16" s="430"/>
      <c r="Q16" s="325" t="str">
        <f>IFERROR(VLOOKUP(P16, Tarieven!$A$2:$J$150, 10, FALSE), "0")</f>
        <v>0</v>
      </c>
      <c r="R16" s="138" t="str">
        <f>Juni!R16</f>
        <v/>
      </c>
      <c r="S16" s="459"/>
      <c r="T16" s="325" t="str">
        <f>IFERROR(VLOOKUP(S16, Tarieven!$A$2:$J$150, 10, FALSE), "0")</f>
        <v>0</v>
      </c>
      <c r="U16" s="77" t="str">
        <f>Juni!U16</f>
        <v/>
      </c>
      <c r="V16" s="327"/>
      <c r="W16" s="325" t="str">
        <f>IFERROR(VLOOKUP(V16, Tarieven!$A$2:$J$150, 10, FALSE), "0")</f>
        <v>0</v>
      </c>
      <c r="X16" s="138">
        <f>Juni!X16</f>
        <v>8</v>
      </c>
      <c r="Y16" s="398">
        <v>0.0</v>
      </c>
      <c r="Z16" s="329">
        <f t="shared" si="3"/>
        <v>11</v>
      </c>
      <c r="AA16" s="32">
        <f t="shared" si="4"/>
        <v>0</v>
      </c>
      <c r="AB16" s="32">
        <f t="shared" si="5"/>
        <v>0</v>
      </c>
      <c r="AC16" s="32">
        <f t="shared" si="6"/>
        <v>0</v>
      </c>
    </row>
    <row r="17" ht="22.5" customHeight="1">
      <c r="A17" s="331" t="str">
        <f>Rooster!A18</f>
        <v>Dinsdag</v>
      </c>
      <c r="B17" s="396">
        <f>Rooster!B18</f>
        <v>0.8125</v>
      </c>
      <c r="C17" s="15">
        <f>Rooster!C18</f>
        <v>60</v>
      </c>
      <c r="D17" s="11" t="str">
        <f>Rooster!D18</f>
        <v>Hiphop 15+</v>
      </c>
      <c r="E17" s="318"/>
      <c r="F17" s="327" t="str">
        <f>Rooster!E18</f>
        <v>Eigenaar</v>
      </c>
      <c r="G17" s="319">
        <f>IFERROR(VLOOKUP(F17, Docenten!$A$2:$G$30, 7, FALSE), "0")</f>
        <v>0</v>
      </c>
      <c r="H17" s="320">
        <f t="shared" si="1"/>
        <v>0</v>
      </c>
      <c r="I17" s="327" t="str">
        <f>Rooster!H18</f>
        <v>Santpoort Zuid</v>
      </c>
      <c r="J17" s="321">
        <f>IFERROR(VLOOKUP(I17, Locaties!$A$2:$G$15, 7, FALSE), "0")</f>
        <v>18.9</v>
      </c>
      <c r="K17" s="42">
        <f t="shared" si="2"/>
        <v>18.9</v>
      </c>
      <c r="L17" s="476">
        <f>Juni!L17</f>
        <v>4</v>
      </c>
      <c r="M17" s="463"/>
      <c r="N17" s="321" t="str">
        <f>IFERROR(VLOOKUP(M17, Tarieven!$A$1:$J$150, 10, FALSE), "0")</f>
        <v>0</v>
      </c>
      <c r="O17" s="473">
        <f>Juni!O17</f>
        <v>1</v>
      </c>
      <c r="P17" s="474"/>
      <c r="Q17" s="325" t="str">
        <f>IFERROR(VLOOKUP(P17, Tarieven!$A$2:$J$150, 10, FALSE), "0")</f>
        <v>0</v>
      </c>
      <c r="R17" s="138">
        <f>Juni!R17</f>
        <v>2</v>
      </c>
      <c r="S17" s="459"/>
      <c r="T17" s="325" t="str">
        <f>IFERROR(VLOOKUP(S17, Tarieven!$A$2:$J$150, 10, FALSE), "0")</f>
        <v>0</v>
      </c>
      <c r="U17" s="77" t="str">
        <f>Juni!U17</f>
        <v/>
      </c>
      <c r="V17" s="327"/>
      <c r="W17" s="325" t="str">
        <f>IFERROR(VLOOKUP(V17, Tarieven!$A$2:$J$150, 10, FALSE), "0")</f>
        <v>0</v>
      </c>
      <c r="X17" s="138">
        <f>Juni!X17</f>
        <v>9</v>
      </c>
      <c r="Y17" s="398">
        <v>0.0</v>
      </c>
      <c r="Z17" s="329">
        <f t="shared" si="3"/>
        <v>16</v>
      </c>
      <c r="AA17" s="32">
        <f t="shared" si="4"/>
        <v>0</v>
      </c>
      <c r="AB17" s="32">
        <f t="shared" si="5"/>
        <v>0</v>
      </c>
      <c r="AC17" s="32">
        <f t="shared" si="6"/>
        <v>0</v>
      </c>
    </row>
    <row r="18" ht="22.5" customHeight="1">
      <c r="A18" s="331" t="str">
        <f>Rooster!A19</f>
        <v>Woensdag</v>
      </c>
      <c r="B18" s="396">
        <f>Rooster!B19</f>
        <v>0.6041666667</v>
      </c>
      <c r="C18" s="15">
        <f>Rooster!C19</f>
        <v>60</v>
      </c>
      <c r="D18" s="11" t="str">
        <f>Rooster!D19</f>
        <v>Streetdance 6+</v>
      </c>
      <c r="E18" s="318"/>
      <c r="F18" s="327" t="str">
        <f>Rooster!E19</f>
        <v>Julia</v>
      </c>
      <c r="G18" s="319">
        <f>IFERROR(VLOOKUP(F18, Docenten!$A$2:$G$30, 7, FALSE), "0")</f>
        <v>15</v>
      </c>
      <c r="H18" s="320">
        <f t="shared" si="1"/>
        <v>15</v>
      </c>
      <c r="I18" s="327" t="str">
        <f>Rooster!H19</f>
        <v>Santpoort Noord</v>
      </c>
      <c r="J18" s="321">
        <f>IFERROR(VLOOKUP(I18, Locaties!$A$2:$G$15, 7, FALSE), "0")</f>
        <v>14.2</v>
      </c>
      <c r="K18" s="42">
        <f t="shared" si="2"/>
        <v>14.2</v>
      </c>
      <c r="L18" s="465">
        <f>Juni!L18</f>
        <v>1</v>
      </c>
      <c r="M18" s="466"/>
      <c r="N18" s="321" t="str">
        <f>IFERROR(VLOOKUP(M18, Tarieven!$A$1:$J$150, 10, FALSE), "0")</f>
        <v>0</v>
      </c>
      <c r="O18" s="467">
        <f>Juni!O18</f>
        <v>3</v>
      </c>
      <c r="P18" s="430"/>
      <c r="Q18" s="325" t="str">
        <f>IFERROR(VLOOKUP(P18, Tarieven!$A$2:$J$150, 10, FALSE), "0")</f>
        <v>0</v>
      </c>
      <c r="R18" s="138" t="str">
        <f>Juni!R18</f>
        <v/>
      </c>
      <c r="S18" s="459"/>
      <c r="T18" s="325" t="str">
        <f>IFERROR(VLOOKUP(S18, Tarieven!$A$2:$J$150, 10, FALSE), "0")</f>
        <v>0</v>
      </c>
      <c r="U18" s="77" t="str">
        <f>Juni!U18</f>
        <v/>
      </c>
      <c r="V18" s="327"/>
      <c r="W18" s="325" t="str">
        <f>IFERROR(VLOOKUP(V18, Tarieven!$A$2:$J$150, 10, FALSE), "0")</f>
        <v>0</v>
      </c>
      <c r="X18" s="138">
        <f>Juni!X18</f>
        <v>9</v>
      </c>
      <c r="Y18" s="398">
        <v>0.0</v>
      </c>
      <c r="Z18" s="329">
        <f t="shared" si="3"/>
        <v>13</v>
      </c>
      <c r="AA18" s="32">
        <f t="shared" si="4"/>
        <v>0</v>
      </c>
      <c r="AB18" s="32">
        <f t="shared" si="5"/>
        <v>0</v>
      </c>
      <c r="AC18" s="32">
        <f t="shared" si="6"/>
        <v>0</v>
      </c>
    </row>
    <row r="19" ht="22.5" customHeight="1">
      <c r="A19" s="331" t="str">
        <f>Rooster!A20</f>
        <v>Woensdag</v>
      </c>
      <c r="B19" s="396">
        <f>Rooster!B20</f>
        <v>0.6458333333</v>
      </c>
      <c r="C19" s="15">
        <f>Rooster!C20</f>
        <v>60</v>
      </c>
      <c r="D19" s="11" t="str">
        <f>Rooster!D20</f>
        <v>Streetdance 8+</v>
      </c>
      <c r="E19" s="318"/>
      <c r="F19" s="327" t="str">
        <f>Rooster!E20</f>
        <v>Julia</v>
      </c>
      <c r="G19" s="319">
        <f>IFERROR(VLOOKUP(F19, Docenten!$A$2:$G$30, 7, FALSE), "0")</f>
        <v>15</v>
      </c>
      <c r="H19" s="320">
        <f t="shared" si="1"/>
        <v>15</v>
      </c>
      <c r="I19" s="327" t="str">
        <f>Rooster!H20</f>
        <v>Santpoort Noord</v>
      </c>
      <c r="J19" s="321">
        <f>IFERROR(VLOOKUP(I19, Locaties!$A$2:$G$15, 7, FALSE), "0")</f>
        <v>14.2</v>
      </c>
      <c r="K19" s="42">
        <f t="shared" si="2"/>
        <v>14.2</v>
      </c>
      <c r="L19" s="468">
        <f>Juni!L19</f>
        <v>4</v>
      </c>
      <c r="M19" s="469"/>
      <c r="N19" s="321" t="str">
        <f>IFERROR(VLOOKUP(M19, Tarieven!$A$1:$J$150, 10, FALSE), "0")</f>
        <v>0</v>
      </c>
      <c r="O19" s="468">
        <f>Juni!O19</f>
        <v>1</v>
      </c>
      <c r="P19" s="479"/>
      <c r="Q19" s="325" t="str">
        <f>IFERROR(VLOOKUP(P19, Tarieven!$A$2:$J$150, 10, FALSE), "0")</f>
        <v>0</v>
      </c>
      <c r="R19" s="138">
        <f>Juni!R19</f>
        <v>1</v>
      </c>
      <c r="S19" s="459"/>
      <c r="T19" s="325" t="str">
        <f>IFERROR(VLOOKUP(S19, Tarieven!$A$2:$J$150, 10, FALSE), "0")</f>
        <v>0</v>
      </c>
      <c r="U19" s="77">
        <f>Juni!U19</f>
        <v>1</v>
      </c>
      <c r="V19" s="327"/>
      <c r="W19" s="325" t="str">
        <f>IFERROR(VLOOKUP(V19, Tarieven!$A$2:$J$150, 10, FALSE), "0")</f>
        <v>0</v>
      </c>
      <c r="X19" s="138">
        <f>Juni!X19</f>
        <v>11</v>
      </c>
      <c r="Y19" s="398">
        <v>0.0</v>
      </c>
      <c r="Z19" s="329">
        <f t="shared" si="3"/>
        <v>18</v>
      </c>
      <c r="AA19" s="32">
        <f t="shared" si="4"/>
        <v>0</v>
      </c>
      <c r="AB19" s="32">
        <f t="shared" si="5"/>
        <v>0</v>
      </c>
      <c r="AC19" s="32">
        <f t="shared" si="6"/>
        <v>0</v>
      </c>
    </row>
    <row r="20" ht="22.5" customHeight="1">
      <c r="A20" s="331" t="str">
        <f>Rooster!A21</f>
        <v>Woensdag</v>
      </c>
      <c r="B20" s="396">
        <f>Rooster!B21</f>
        <v>0.6875</v>
      </c>
      <c r="C20" s="15">
        <f>Rooster!C21</f>
        <v>60</v>
      </c>
      <c r="D20" s="11" t="str">
        <f>Rooster!D21</f>
        <v>Modern 11+</v>
      </c>
      <c r="E20" s="318"/>
      <c r="F20" s="327" t="str">
        <f>Rooster!E21</f>
        <v>Julia</v>
      </c>
      <c r="G20" s="319">
        <f>IFERROR(VLOOKUP(F20, Docenten!$A$2:$G$30, 7, FALSE), "0")</f>
        <v>15</v>
      </c>
      <c r="H20" s="320">
        <f t="shared" si="1"/>
        <v>15</v>
      </c>
      <c r="I20" s="327" t="str">
        <f>Rooster!H21</f>
        <v>Santpoort Noord</v>
      </c>
      <c r="J20" s="321">
        <f>IFERROR(VLOOKUP(I20, Locaties!$A$2:$G$15, 7, FALSE), "0")</f>
        <v>14.2</v>
      </c>
      <c r="K20" s="42">
        <f t="shared" si="2"/>
        <v>14.2</v>
      </c>
      <c r="L20" s="471">
        <f>Juni!L20</f>
        <v>3</v>
      </c>
      <c r="M20" s="472"/>
      <c r="N20" s="321" t="str">
        <f>IFERROR(VLOOKUP(M20, Tarieven!$A$1:$J$150, 10, FALSE), "0")</f>
        <v>0</v>
      </c>
      <c r="O20" s="471">
        <f>Juni!O20</f>
        <v>1</v>
      </c>
      <c r="P20" s="480"/>
      <c r="Q20" s="325" t="str">
        <f>IFERROR(VLOOKUP(P20, Tarieven!$A$2:$J$150, 10, FALSE), "0")</f>
        <v>0</v>
      </c>
      <c r="R20" s="138">
        <f>Juni!R20</f>
        <v>1</v>
      </c>
      <c r="S20" s="459"/>
      <c r="T20" s="325" t="str">
        <f>IFERROR(VLOOKUP(S20, Tarieven!$A$2:$J$150, 10, FALSE), "0")</f>
        <v>0</v>
      </c>
      <c r="U20" s="77" t="str">
        <f>Juni!U20</f>
        <v/>
      </c>
      <c r="V20" s="327"/>
      <c r="W20" s="325" t="str">
        <f>IFERROR(VLOOKUP(V20, Tarieven!$A$2:$J$150, 10, FALSE), "0")</f>
        <v>0</v>
      </c>
      <c r="X20" s="138">
        <f>Juni!X20</f>
        <v>9</v>
      </c>
      <c r="Y20" s="398">
        <v>0.0</v>
      </c>
      <c r="Z20" s="329">
        <f t="shared" si="3"/>
        <v>14</v>
      </c>
      <c r="AA20" s="32">
        <f t="shared" si="4"/>
        <v>0</v>
      </c>
      <c r="AB20" s="32">
        <f t="shared" si="5"/>
        <v>0</v>
      </c>
      <c r="AC20" s="32">
        <f t="shared" si="6"/>
        <v>0</v>
      </c>
    </row>
    <row r="21" ht="22.5" customHeight="1">
      <c r="A21" s="331" t="str">
        <f>Rooster!A22</f>
        <v>Woensdag</v>
      </c>
      <c r="B21" s="396">
        <f>Rooster!B22</f>
        <v>0.7291666667</v>
      </c>
      <c r="C21" s="15">
        <f>Rooster!C22</f>
        <v>60</v>
      </c>
      <c r="D21" s="11" t="str">
        <f>Rooster!D22</f>
        <v>Selectie Hiphop 11+</v>
      </c>
      <c r="E21" s="318"/>
      <c r="F21" s="327" t="str">
        <f>Rooster!E22</f>
        <v>Eigenaar</v>
      </c>
      <c r="G21" s="319">
        <f>IFERROR(VLOOKUP(F21, Docenten!$A$2:$G$30, 7, FALSE), "0")</f>
        <v>0</v>
      </c>
      <c r="H21" s="320">
        <f t="shared" si="1"/>
        <v>0</v>
      </c>
      <c r="I21" s="327" t="str">
        <f>Rooster!H22</f>
        <v>Santpoort Noord</v>
      </c>
      <c r="J21" s="321">
        <f>IFERROR(VLOOKUP(I21, Locaties!$A$2:$G$15, 7, FALSE), "0")</f>
        <v>14.2</v>
      </c>
      <c r="K21" s="42">
        <f t="shared" si="2"/>
        <v>14.2</v>
      </c>
      <c r="L21" s="468">
        <f>Juni!L21</f>
        <v>1</v>
      </c>
      <c r="M21" s="469"/>
      <c r="N21" s="321" t="str">
        <f>IFERROR(VLOOKUP(M21, Tarieven!$A$1:$J$150, 10, FALSE), "0")</f>
        <v>0</v>
      </c>
      <c r="O21" s="481">
        <f>Juni!O21</f>
        <v>3</v>
      </c>
      <c r="P21" s="479"/>
      <c r="Q21" s="325" t="str">
        <f>IFERROR(VLOOKUP(P21, Tarieven!$A$2:$J$150, 10, FALSE), "0")</f>
        <v>0</v>
      </c>
      <c r="R21" s="138">
        <f>Juni!R21</f>
        <v>1</v>
      </c>
      <c r="S21" s="459"/>
      <c r="T21" s="325" t="str">
        <f>IFERROR(VLOOKUP(S21, Tarieven!$A$2:$J$150, 10, FALSE), "0")</f>
        <v>0</v>
      </c>
      <c r="U21" s="77" t="str">
        <f>Juni!U21</f>
        <v/>
      </c>
      <c r="V21" s="327"/>
      <c r="W21" s="325" t="str">
        <f>IFERROR(VLOOKUP(V21, Tarieven!$A$2:$J$150, 10, FALSE), "0")</f>
        <v>0</v>
      </c>
      <c r="X21" s="138">
        <f>Juni!X21</f>
        <v>11</v>
      </c>
      <c r="Y21" s="398">
        <v>0.0</v>
      </c>
      <c r="Z21" s="329">
        <f t="shared" si="3"/>
        <v>16</v>
      </c>
      <c r="AA21" s="32">
        <f t="shared" si="4"/>
        <v>0</v>
      </c>
      <c r="AB21" s="32">
        <f t="shared" si="5"/>
        <v>0</v>
      </c>
      <c r="AC21" s="32">
        <f t="shared" si="6"/>
        <v>0</v>
      </c>
    </row>
    <row r="22" ht="22.5" customHeight="1">
      <c r="A22" s="331" t="str">
        <f>Rooster!A23</f>
        <v>Woensdag</v>
      </c>
      <c r="B22" s="396">
        <f>Rooster!B23</f>
        <v>0.7708333333</v>
      </c>
      <c r="C22" s="15">
        <f>Rooster!C23</f>
        <v>60</v>
      </c>
      <c r="D22" s="11" t="str">
        <f>Rooster!D23</f>
        <v>Show 12+</v>
      </c>
      <c r="E22" s="318"/>
      <c r="F22" s="327" t="str">
        <f>Rooster!E23</f>
        <v>Eigenaar</v>
      </c>
      <c r="G22" s="319">
        <f>IFERROR(VLOOKUP(F22, Docenten!$A$2:$G$30, 7, FALSE), "0")</f>
        <v>0</v>
      </c>
      <c r="H22" s="320">
        <f t="shared" si="1"/>
        <v>0</v>
      </c>
      <c r="I22" s="327" t="str">
        <f>Rooster!H23</f>
        <v>Santpoort Noord</v>
      </c>
      <c r="J22" s="321">
        <f>IFERROR(VLOOKUP(I22, Locaties!$A$2:$G$15, 7, FALSE), "0")</f>
        <v>14.2</v>
      </c>
      <c r="K22" s="42">
        <f t="shared" si="2"/>
        <v>14.2</v>
      </c>
      <c r="L22" s="477">
        <f>Juni!L22</f>
        <v>1</v>
      </c>
      <c r="M22" s="478"/>
      <c r="N22" s="321" t="str">
        <f>IFERROR(VLOOKUP(M22, Tarieven!$A$1:$J$150, 10, FALSE), "0")</f>
        <v>0</v>
      </c>
      <c r="O22" s="467" t="str">
        <f>Juni!O22</f>
        <v/>
      </c>
      <c r="P22" s="430"/>
      <c r="Q22" s="325" t="str">
        <f>IFERROR(VLOOKUP(P22, Tarieven!$A$2:$J$150, 10, FALSE), "0")</f>
        <v>0</v>
      </c>
      <c r="R22" s="138" t="str">
        <f>Juni!R22</f>
        <v/>
      </c>
      <c r="S22" s="459"/>
      <c r="T22" s="325" t="str">
        <f>IFERROR(VLOOKUP(S22, Tarieven!$A$2:$J$150, 10, FALSE), "0")</f>
        <v>0</v>
      </c>
      <c r="U22" s="77" t="str">
        <f>Juni!U22</f>
        <v/>
      </c>
      <c r="V22" s="327"/>
      <c r="W22" s="325" t="str">
        <f>IFERROR(VLOOKUP(V22, Tarieven!$A$2:$J$150, 10, FALSE), "0")</f>
        <v>0</v>
      </c>
      <c r="X22" s="138">
        <f>Juni!X22</f>
        <v>9</v>
      </c>
      <c r="Y22" s="398">
        <v>0.0</v>
      </c>
      <c r="Z22" s="329">
        <f t="shared" si="3"/>
        <v>10</v>
      </c>
      <c r="AA22" s="32">
        <f t="shared" si="4"/>
        <v>0</v>
      </c>
      <c r="AB22" s="32">
        <f t="shared" si="5"/>
        <v>0</v>
      </c>
      <c r="AC22" s="32">
        <f t="shared" si="6"/>
        <v>0</v>
      </c>
    </row>
    <row r="23" ht="22.5" customHeight="1">
      <c r="A23" s="331" t="str">
        <f>Rooster!A24</f>
        <v/>
      </c>
      <c r="B23" s="396" t="str">
        <f>Rooster!B24</f>
        <v/>
      </c>
      <c r="C23" s="15" t="str">
        <f>Rooster!C24</f>
        <v/>
      </c>
      <c r="D23" s="11" t="str">
        <f>Rooster!D24</f>
        <v/>
      </c>
      <c r="E23" s="318"/>
      <c r="F23" s="327" t="str">
        <f>Rooster!E24</f>
        <v/>
      </c>
      <c r="G23" s="319" t="str">
        <f>IFERROR(VLOOKUP(F23, Docenten!$A$2:$G$30, 7, FALSE), "0")</f>
        <v>0</v>
      </c>
      <c r="H23" s="320">
        <f t="shared" si="1"/>
        <v>0</v>
      </c>
      <c r="I23" s="327" t="str">
        <f>Rooster!H24</f>
        <v/>
      </c>
      <c r="J23" s="321" t="str">
        <f>IFERROR(VLOOKUP(I23, Locaties!$A$2:$G$15, 7, FALSE), "0")</f>
        <v>0</v>
      </c>
      <c r="K23" s="42">
        <f t="shared" si="2"/>
        <v>0</v>
      </c>
      <c r="L23" s="476" t="str">
        <f>Juni!L23</f>
        <v/>
      </c>
      <c r="M23" s="463"/>
      <c r="N23" s="321" t="str">
        <f>IFERROR(VLOOKUP(M23, Tarieven!$A$1:$J$150, 10, FALSE), "0")</f>
        <v>0</v>
      </c>
      <c r="O23" s="473" t="str">
        <f>Juni!O23</f>
        <v/>
      </c>
      <c r="P23" s="474"/>
      <c r="Q23" s="325" t="str">
        <f>IFERROR(VLOOKUP(P23, Tarieven!$A$2:$J$150, 10, FALSE), "0")</f>
        <v>0</v>
      </c>
      <c r="R23" s="138" t="str">
        <f>Juni!R23</f>
        <v/>
      </c>
      <c r="S23" s="459"/>
      <c r="T23" s="325" t="str">
        <f>IFERROR(VLOOKUP(S23, Tarieven!$A$2:$J$150, 10, FALSE), "0")</f>
        <v>0</v>
      </c>
      <c r="U23" s="77" t="str">
        <f>Juni!U23</f>
        <v/>
      </c>
      <c r="V23" s="327"/>
      <c r="W23" s="325" t="str">
        <f>IFERROR(VLOOKUP(V23, Tarieven!$A$2:$J$150, 10, FALSE), "0")</f>
        <v>0</v>
      </c>
      <c r="X23" s="138">
        <f>Juni!X23</f>
        <v>0</v>
      </c>
      <c r="Y23" s="398">
        <v>0.0</v>
      </c>
      <c r="Z23" s="329">
        <f t="shared" si="3"/>
        <v>0</v>
      </c>
      <c r="AA23" s="32">
        <f t="shared" si="4"/>
        <v>0</v>
      </c>
      <c r="AB23" s="32">
        <f t="shared" si="5"/>
        <v>0</v>
      </c>
      <c r="AC23" s="32">
        <f t="shared" si="6"/>
        <v>0</v>
      </c>
    </row>
    <row r="24" ht="22.5" customHeight="1">
      <c r="A24" s="331" t="str">
        <f>Rooster!A25</f>
        <v>Donderdag</v>
      </c>
      <c r="B24" s="396">
        <f>Rooster!B25</f>
        <v>0.6458333333</v>
      </c>
      <c r="C24" s="15">
        <f>Rooster!C25</f>
        <v>60</v>
      </c>
      <c r="D24" s="11" t="str">
        <f>Rooster!D25</f>
        <v>Showdance 6+</v>
      </c>
      <c r="E24" s="318"/>
      <c r="F24" s="327" t="str">
        <f>Rooster!E25</f>
        <v>Eigenaar</v>
      </c>
      <c r="G24" s="319">
        <f>IFERROR(VLOOKUP(F24, Docenten!$A$2:$G$30, 7, FALSE), "0")</f>
        <v>0</v>
      </c>
      <c r="H24" s="320">
        <f t="shared" si="1"/>
        <v>0</v>
      </c>
      <c r="I24" s="327" t="str">
        <f>Rooster!H25</f>
        <v>Santpoort Zuid</v>
      </c>
      <c r="J24" s="321">
        <f>IFERROR(VLOOKUP(I24, Locaties!$A$2:$G$15, 7, FALSE), "0")</f>
        <v>18.9</v>
      </c>
      <c r="K24" s="42">
        <f t="shared" si="2"/>
        <v>18.9</v>
      </c>
      <c r="L24" s="471">
        <f>Juni!L24</f>
        <v>6</v>
      </c>
      <c r="M24" s="472"/>
      <c r="N24" s="321" t="str">
        <f>IFERROR(VLOOKUP(M24, Tarieven!$A$1:$J$150, 10, FALSE), "0")</f>
        <v>0</v>
      </c>
      <c r="O24" s="467">
        <f>Juni!O24</f>
        <v>3</v>
      </c>
      <c r="P24" s="430"/>
      <c r="Q24" s="325" t="str">
        <f>IFERROR(VLOOKUP(P24, Tarieven!$A$2:$J$150, 10, FALSE), "0")</f>
        <v>0</v>
      </c>
      <c r="R24" s="138" t="str">
        <f>Juni!R24</f>
        <v/>
      </c>
      <c r="S24" s="459"/>
      <c r="T24" s="325" t="str">
        <f>IFERROR(VLOOKUP(S24, Tarieven!$A$2:$J$150, 10, FALSE), "0")</f>
        <v>0</v>
      </c>
      <c r="U24" s="77" t="str">
        <f>Juni!U24</f>
        <v/>
      </c>
      <c r="V24" s="327"/>
      <c r="W24" s="325" t="str">
        <f>IFERROR(VLOOKUP(V24, Tarieven!$A$2:$J$150, 10, FALSE), "0")</f>
        <v>0</v>
      </c>
      <c r="X24" s="138">
        <f>Juni!X24</f>
        <v>4</v>
      </c>
      <c r="Y24" s="398">
        <v>0.0</v>
      </c>
      <c r="Z24" s="329">
        <f t="shared" si="3"/>
        <v>13</v>
      </c>
      <c r="AA24" s="32">
        <f t="shared" si="4"/>
        <v>0</v>
      </c>
      <c r="AB24" s="32">
        <f t="shared" si="5"/>
        <v>0</v>
      </c>
      <c r="AC24" s="32">
        <f t="shared" si="6"/>
        <v>0</v>
      </c>
    </row>
    <row r="25" ht="22.5" customHeight="1">
      <c r="A25" s="331" t="str">
        <f>Rooster!A26</f>
        <v>Donderdag</v>
      </c>
      <c r="B25" s="396">
        <f>Rooster!B26</f>
        <v>0.6875</v>
      </c>
      <c r="C25" s="15">
        <f>Rooster!C26</f>
        <v>60</v>
      </c>
      <c r="D25" s="11" t="str">
        <f>Rooster!D26</f>
        <v>Showdance 8+</v>
      </c>
      <c r="E25" s="318"/>
      <c r="F25" s="327" t="str">
        <f>Rooster!E26</f>
        <v>Eigenaar</v>
      </c>
      <c r="G25" s="319">
        <f>IFERROR(VLOOKUP(F25, Docenten!$A$2:$G$30, 7, FALSE), "0")</f>
        <v>0</v>
      </c>
      <c r="H25" s="320">
        <f t="shared" si="1"/>
        <v>0</v>
      </c>
      <c r="I25" s="327" t="str">
        <f>Rooster!H26</f>
        <v>Santpoort Zuid</v>
      </c>
      <c r="J25" s="321">
        <f>IFERROR(VLOOKUP(I25, Locaties!$A$2:$G$15, 7, FALSE), "0")</f>
        <v>18.9</v>
      </c>
      <c r="K25" s="42">
        <f t="shared" si="2"/>
        <v>18.9</v>
      </c>
      <c r="L25" s="468">
        <f>Juni!L25</f>
        <v>5</v>
      </c>
      <c r="M25" s="469"/>
      <c r="N25" s="321" t="str">
        <f>IFERROR(VLOOKUP(M25, Tarieven!$A$1:$J$150, 10, FALSE), "0")</f>
        <v>0</v>
      </c>
      <c r="O25" s="473">
        <f>Juni!O25</f>
        <v>2</v>
      </c>
      <c r="P25" s="474"/>
      <c r="Q25" s="325" t="str">
        <f>IFERROR(VLOOKUP(P25, Tarieven!$A$2:$J$150, 10, FALSE), "0")</f>
        <v>0</v>
      </c>
      <c r="R25" s="138" t="str">
        <f>Juni!R25</f>
        <v/>
      </c>
      <c r="S25" s="459"/>
      <c r="T25" s="325" t="str">
        <f>IFERROR(VLOOKUP(S25, Tarieven!$A$2:$J$150, 10, FALSE), "0")</f>
        <v>0</v>
      </c>
      <c r="U25" s="77" t="str">
        <f>Juni!U25</f>
        <v/>
      </c>
      <c r="V25" s="327"/>
      <c r="W25" s="325" t="str">
        <f>IFERROR(VLOOKUP(V25, Tarieven!$A$2:$J$150, 10, FALSE), "0")</f>
        <v>0</v>
      </c>
      <c r="X25" s="138">
        <f>Juni!X25</f>
        <v>4</v>
      </c>
      <c r="Y25" s="398">
        <v>0.0</v>
      </c>
      <c r="Z25" s="329">
        <f t="shared" si="3"/>
        <v>11</v>
      </c>
      <c r="AA25" s="32">
        <f t="shared" si="4"/>
        <v>0</v>
      </c>
      <c r="AB25" s="32">
        <f t="shared" si="5"/>
        <v>0</v>
      </c>
      <c r="AC25" s="32">
        <f t="shared" si="6"/>
        <v>0</v>
      </c>
    </row>
    <row r="26" ht="22.5" customHeight="1">
      <c r="A26" s="331" t="str">
        <f>Rooster!A27</f>
        <v>Donderdag</v>
      </c>
      <c r="B26" s="396">
        <f>Rooster!B27</f>
        <v>0.7291666667</v>
      </c>
      <c r="C26" s="15">
        <f>Rooster!C27</f>
        <v>60</v>
      </c>
      <c r="D26" s="11" t="str">
        <f>Rooster!D27</f>
        <v>Modern 14+</v>
      </c>
      <c r="E26" s="318"/>
      <c r="F26" s="327" t="str">
        <f>Rooster!E27</f>
        <v>Eigenaar</v>
      </c>
      <c r="G26" s="319">
        <f>IFERROR(VLOOKUP(F26, Docenten!$A$2:$G$30, 7, FALSE), "0")</f>
        <v>0</v>
      </c>
      <c r="H26" s="320">
        <f t="shared" si="1"/>
        <v>0</v>
      </c>
      <c r="I26" s="327" t="str">
        <f>Rooster!H27</f>
        <v>Santpoort Zuid</v>
      </c>
      <c r="J26" s="321">
        <f>IFERROR(VLOOKUP(I26, Locaties!$A$2:$G$15, 7, FALSE), "0")</f>
        <v>18.9</v>
      </c>
      <c r="K26" s="42">
        <f t="shared" si="2"/>
        <v>18.9</v>
      </c>
      <c r="L26" s="471">
        <f>Juni!L26</f>
        <v>3</v>
      </c>
      <c r="M26" s="472"/>
      <c r="N26" s="321" t="str">
        <f>IFERROR(VLOOKUP(M26, Tarieven!$A$1:$J$150, 10, FALSE), "0")</f>
        <v>0</v>
      </c>
      <c r="O26" s="467">
        <f>Juni!O26</f>
        <v>1</v>
      </c>
      <c r="P26" s="430"/>
      <c r="Q26" s="325" t="str">
        <f>IFERROR(VLOOKUP(P26, Tarieven!$A$2:$J$150, 10, FALSE), "0")</f>
        <v>0</v>
      </c>
      <c r="R26" s="138">
        <f>Juni!R26</f>
        <v>2</v>
      </c>
      <c r="S26" s="459"/>
      <c r="T26" s="325" t="str">
        <f>IFERROR(VLOOKUP(S26, Tarieven!$A$2:$J$150, 10, FALSE), "0")</f>
        <v>0</v>
      </c>
      <c r="U26" s="77" t="str">
        <f>Juni!U26</f>
        <v/>
      </c>
      <c r="V26" s="327"/>
      <c r="W26" s="325" t="str">
        <f>IFERROR(VLOOKUP(V26, Tarieven!$A$2:$J$150, 10, FALSE), "0")</f>
        <v>0</v>
      </c>
      <c r="X26" s="138">
        <f>Juni!X26</f>
        <v>7</v>
      </c>
      <c r="Y26" s="398">
        <v>0.0</v>
      </c>
      <c r="Z26" s="329">
        <f t="shared" si="3"/>
        <v>13</v>
      </c>
      <c r="AA26" s="32">
        <f t="shared" si="4"/>
        <v>0</v>
      </c>
      <c r="AB26" s="32">
        <f t="shared" si="5"/>
        <v>0</v>
      </c>
      <c r="AC26" s="32">
        <f t="shared" si="6"/>
        <v>0</v>
      </c>
    </row>
    <row r="27" ht="22.5" customHeight="1">
      <c r="A27" s="331" t="str">
        <f>Rooster!A28</f>
        <v>Donderdag</v>
      </c>
      <c r="B27" s="396">
        <f>Rooster!B28</f>
        <v>0.7708333333</v>
      </c>
      <c r="C27" s="15">
        <f>Rooster!C28</f>
        <v>60</v>
      </c>
      <c r="D27" s="11" t="str">
        <f>Rooster!D28</f>
        <v>Commercial 14+</v>
      </c>
      <c r="E27" s="318"/>
      <c r="F27" s="327" t="str">
        <f>Rooster!E28</f>
        <v>Nova</v>
      </c>
      <c r="G27" s="319">
        <f>IFERROR(VLOOKUP(F27, Docenten!$A$2:$G$30, 7, FALSE), "0")</f>
        <v>22.5</v>
      </c>
      <c r="H27" s="320">
        <f t="shared" si="1"/>
        <v>22.5</v>
      </c>
      <c r="I27" s="327" t="str">
        <f>Rooster!H28</f>
        <v>Santpoort Zuid</v>
      </c>
      <c r="J27" s="321">
        <f>IFERROR(VLOOKUP(I27, Locaties!$A$2:$G$15, 7, FALSE), "0")</f>
        <v>18.9</v>
      </c>
      <c r="K27" s="42">
        <f t="shared" si="2"/>
        <v>18.9</v>
      </c>
      <c r="L27" s="468">
        <f>Juni!L27</f>
        <v>5</v>
      </c>
      <c r="M27" s="469"/>
      <c r="N27" s="321" t="str">
        <f>IFERROR(VLOOKUP(M27, Tarieven!$A$1:$J$150, 10, FALSE), "0")</f>
        <v>0</v>
      </c>
      <c r="O27" s="473">
        <f>Juni!O27</f>
        <v>2</v>
      </c>
      <c r="P27" s="482"/>
      <c r="Q27" s="325" t="str">
        <f>IFERROR(VLOOKUP(P27, Tarieven!$A$2:$J$150, 10, FALSE), "0")</f>
        <v>0</v>
      </c>
      <c r="R27" s="138">
        <f>Juni!R27</f>
        <v>2</v>
      </c>
      <c r="S27" s="459"/>
      <c r="T27" s="325" t="str">
        <f>IFERROR(VLOOKUP(S27, Tarieven!$A$2:$J$150, 10, FALSE), "0")</f>
        <v>0</v>
      </c>
      <c r="U27" s="77">
        <f>Juni!U27</f>
        <v>1</v>
      </c>
      <c r="V27" s="327"/>
      <c r="W27" s="325" t="str">
        <f>IFERROR(VLOOKUP(V27, Tarieven!$A$2:$J$150, 10, FALSE), "0")</f>
        <v>0</v>
      </c>
      <c r="X27" s="138">
        <f>Juni!X27</f>
        <v>10</v>
      </c>
      <c r="Y27" s="398">
        <v>0.0</v>
      </c>
      <c r="Z27" s="329">
        <f t="shared" si="3"/>
        <v>20</v>
      </c>
      <c r="AA27" s="32">
        <f t="shared" si="4"/>
        <v>0</v>
      </c>
      <c r="AB27" s="32">
        <f t="shared" si="5"/>
        <v>0</v>
      </c>
      <c r="AC27" s="32">
        <f t="shared" si="6"/>
        <v>0</v>
      </c>
    </row>
    <row r="28" ht="22.5" customHeight="1">
      <c r="A28" s="331" t="str">
        <f>Rooster!A29</f>
        <v>Donderdag</v>
      </c>
      <c r="B28" s="396">
        <f>Rooster!B29</f>
        <v>0.8125</v>
      </c>
      <c r="C28" s="15">
        <f>Rooster!C29</f>
        <v>60</v>
      </c>
      <c r="D28" s="11" t="str">
        <f>Rooster!D29</f>
        <v>Selectie Hiphop 16+</v>
      </c>
      <c r="E28" s="318"/>
      <c r="F28" s="327" t="str">
        <f>Rooster!E29</f>
        <v>Nova</v>
      </c>
      <c r="G28" s="319">
        <f>IFERROR(VLOOKUP(F28, Docenten!$A$2:$G$30, 7, FALSE), "0")</f>
        <v>22.5</v>
      </c>
      <c r="H28" s="320">
        <f t="shared" si="1"/>
        <v>22.5</v>
      </c>
      <c r="I28" s="327" t="str">
        <f>Rooster!H29</f>
        <v>Santpoort Zuid</v>
      </c>
      <c r="J28" s="321">
        <f>IFERROR(VLOOKUP(I28, Locaties!$A$2:$G$15, 7, FALSE), "0")</f>
        <v>18.9</v>
      </c>
      <c r="K28" s="42">
        <f t="shared" si="2"/>
        <v>18.9</v>
      </c>
      <c r="L28" s="477">
        <f>Juni!L28</f>
        <v>2</v>
      </c>
      <c r="M28" s="478"/>
      <c r="N28" s="321" t="str">
        <f>IFERROR(VLOOKUP(M28, Tarieven!$A$1:$J$150, 10, FALSE), "0")</f>
        <v>0</v>
      </c>
      <c r="O28" s="467">
        <f>Juni!O28</f>
        <v>3</v>
      </c>
      <c r="P28" s="466"/>
      <c r="Q28" s="325" t="str">
        <f>IFERROR(VLOOKUP(P28, Tarieven!$A$2:$J$150, 10, FALSE), "0")</f>
        <v>0</v>
      </c>
      <c r="R28" s="138">
        <f>Juni!R28</f>
        <v>2</v>
      </c>
      <c r="S28" s="459"/>
      <c r="T28" s="325" t="str">
        <f>IFERROR(VLOOKUP(S28, Tarieven!$A$2:$J$150, 10, FALSE), "0")</f>
        <v>0</v>
      </c>
      <c r="U28" s="77" t="str">
        <f>Juni!U28</f>
        <v/>
      </c>
      <c r="V28" s="327"/>
      <c r="W28" s="325" t="str">
        <f>IFERROR(VLOOKUP(V28, Tarieven!$A$2:$J$150, 10, FALSE), "0")</f>
        <v>0</v>
      </c>
      <c r="X28" s="138">
        <f>Juni!X28</f>
        <v>8</v>
      </c>
      <c r="Y28" s="398">
        <v>0.0</v>
      </c>
      <c r="Z28" s="329">
        <f t="shared" si="3"/>
        <v>15</v>
      </c>
      <c r="AA28" s="32">
        <f t="shared" si="4"/>
        <v>0</v>
      </c>
      <c r="AB28" s="32">
        <f t="shared" si="5"/>
        <v>0</v>
      </c>
      <c r="AC28" s="32">
        <f t="shared" si="6"/>
        <v>0</v>
      </c>
    </row>
    <row r="29" ht="22.5" customHeight="1">
      <c r="A29" s="331" t="str">
        <f>Rooster!A30</f>
        <v>Donderdag</v>
      </c>
      <c r="B29" s="396">
        <f>Rooster!B30</f>
        <v>0.8541666667</v>
      </c>
      <c r="C29" s="15">
        <f>Rooster!C30</f>
        <v>60</v>
      </c>
      <c r="D29" s="11" t="str">
        <f>Rooster!D30</f>
        <v>Modern 16+</v>
      </c>
      <c r="E29" s="318"/>
      <c r="F29" s="327" t="str">
        <f>Rooster!E30</f>
        <v>Nova</v>
      </c>
      <c r="G29" s="319">
        <f>IFERROR(VLOOKUP(F29, Docenten!$A$2:$G$30, 7, FALSE), "0")</f>
        <v>22.5</v>
      </c>
      <c r="H29" s="320">
        <f t="shared" si="1"/>
        <v>22.5</v>
      </c>
      <c r="I29" s="327" t="str">
        <f>Rooster!H30</f>
        <v>Santpoort Zuid</v>
      </c>
      <c r="J29" s="321">
        <f>IFERROR(VLOOKUP(I29, Locaties!$A$2:$G$15, 7, FALSE), "0")</f>
        <v>18.9</v>
      </c>
      <c r="K29" s="42">
        <f t="shared" si="2"/>
        <v>18.9</v>
      </c>
      <c r="L29" s="476">
        <f>Juni!L29</f>
        <v>1</v>
      </c>
      <c r="M29" s="463"/>
      <c r="N29" s="321" t="str">
        <f>IFERROR(VLOOKUP(M29, Tarieven!$A$1:$J$150, 10, FALSE), "0")</f>
        <v>0</v>
      </c>
      <c r="O29" s="473">
        <f>Juni!O29</f>
        <v>2</v>
      </c>
      <c r="P29" s="463"/>
      <c r="Q29" s="325" t="str">
        <f>IFERROR(VLOOKUP(P29, Tarieven!$A$2:$J$150, 10, FALSE), "0")</f>
        <v>0</v>
      </c>
      <c r="R29" s="138" t="str">
        <f>Juni!R29</f>
        <v/>
      </c>
      <c r="S29" s="459"/>
      <c r="T29" s="325" t="str">
        <f>IFERROR(VLOOKUP(S29, Tarieven!$A$2:$J$150, 10, FALSE), "0")</f>
        <v>0</v>
      </c>
      <c r="U29" s="77" t="str">
        <f>Juni!U29</f>
        <v/>
      </c>
      <c r="V29" s="327"/>
      <c r="W29" s="325" t="str">
        <f>IFERROR(VLOOKUP(V29, Tarieven!$A$2:$J$150, 10, FALSE), "0")</f>
        <v>0</v>
      </c>
      <c r="X29" s="138">
        <f>Juni!X29</f>
        <v>5</v>
      </c>
      <c r="Y29" s="398">
        <v>0.0</v>
      </c>
      <c r="Z29" s="329">
        <f t="shared" si="3"/>
        <v>8</v>
      </c>
      <c r="AA29" s="32">
        <f t="shared" si="4"/>
        <v>0</v>
      </c>
      <c r="AB29" s="32">
        <f t="shared" si="5"/>
        <v>0</v>
      </c>
      <c r="AC29" s="32">
        <f t="shared" si="6"/>
        <v>0</v>
      </c>
    </row>
    <row r="30" ht="22.5" customHeight="1">
      <c r="A30" s="331" t="str">
        <f>Rooster!A31</f>
        <v>Vrijdag</v>
      </c>
      <c r="B30" s="396">
        <f>Rooster!B31</f>
        <v>0.625</v>
      </c>
      <c r="C30" s="15">
        <f>Rooster!C31</f>
        <v>60</v>
      </c>
      <c r="D30" s="11" t="str">
        <f>Rooster!D31</f>
        <v>Selectie Hiphop 8+</v>
      </c>
      <c r="E30" s="318"/>
      <c r="F30" s="327" t="str">
        <f>Rooster!E31</f>
        <v>Eigenaar</v>
      </c>
      <c r="G30" s="319">
        <f>IFERROR(VLOOKUP(F30, Docenten!$A$2:$G$30, 7, FALSE), "0")</f>
        <v>0</v>
      </c>
      <c r="H30" s="320">
        <f t="shared" si="1"/>
        <v>0</v>
      </c>
      <c r="I30" s="327" t="str">
        <f>Rooster!H31</f>
        <v>Santpoort Zuid</v>
      </c>
      <c r="J30" s="321">
        <f>IFERROR(VLOOKUP(I30, Locaties!$A$2:$G$15, 7, FALSE), "0")</f>
        <v>18.9</v>
      </c>
      <c r="K30" s="42">
        <f t="shared" si="2"/>
        <v>18.9</v>
      </c>
      <c r="L30" s="465">
        <f>Juni!L30</f>
        <v>5</v>
      </c>
      <c r="M30" s="466"/>
      <c r="N30" s="321" t="str">
        <f>IFERROR(VLOOKUP(M30, Tarieven!$A$1:$J$150, 10, FALSE), "0")</f>
        <v>0</v>
      </c>
      <c r="O30" s="467">
        <f>Juni!O30</f>
        <v>3</v>
      </c>
      <c r="P30" s="430"/>
      <c r="Q30" s="325" t="str">
        <f>IFERROR(VLOOKUP(P30, Tarieven!$A$2:$J$150, 10, FALSE), "0")</f>
        <v>0</v>
      </c>
      <c r="R30" s="138">
        <f>Juni!R30</f>
        <v>1</v>
      </c>
      <c r="S30" s="459"/>
      <c r="T30" s="325" t="str">
        <f>IFERROR(VLOOKUP(S30, Tarieven!$A$2:$J$150, 10, FALSE), "0")</f>
        <v>0</v>
      </c>
      <c r="U30" s="77" t="str">
        <f>Juni!U30</f>
        <v/>
      </c>
      <c r="V30" s="327"/>
      <c r="W30" s="325" t="str">
        <f>IFERROR(VLOOKUP(V30, Tarieven!$A$2:$J$150, 10, FALSE), "0")</f>
        <v>0</v>
      </c>
      <c r="X30" s="138">
        <f>Juni!X30</f>
        <v>4</v>
      </c>
      <c r="Y30" s="398">
        <v>0.0</v>
      </c>
      <c r="Z30" s="329">
        <f t="shared" si="3"/>
        <v>13</v>
      </c>
      <c r="AA30" s="32">
        <f t="shared" si="4"/>
        <v>0</v>
      </c>
      <c r="AB30" s="32">
        <f t="shared" si="5"/>
        <v>0</v>
      </c>
      <c r="AC30" s="32">
        <f t="shared" si="6"/>
        <v>0</v>
      </c>
    </row>
    <row r="31" ht="22.5" customHeight="1">
      <c r="A31" s="331" t="str">
        <f>Rooster!A32</f>
        <v>Vrijdag</v>
      </c>
      <c r="B31" s="396">
        <f>Rooster!B32</f>
        <v>0.6666666667</v>
      </c>
      <c r="C31" s="15">
        <f>Rooster!C32</f>
        <v>60</v>
      </c>
      <c r="D31" s="11" t="str">
        <f>Rooster!D32</f>
        <v>Cheer 8+</v>
      </c>
      <c r="E31" s="318"/>
      <c r="F31" s="327" t="str">
        <f>Rooster!E32</f>
        <v>Eigenaar</v>
      </c>
      <c r="G31" s="319">
        <f>IFERROR(VLOOKUP(F31, Docenten!$A$2:$G$30, 7, FALSE), "0")</f>
        <v>0</v>
      </c>
      <c r="H31" s="320">
        <f t="shared" si="1"/>
        <v>0</v>
      </c>
      <c r="I31" s="327" t="str">
        <f>Rooster!H32</f>
        <v>Santpoort Zuid</v>
      </c>
      <c r="J31" s="321">
        <f>IFERROR(VLOOKUP(I31, Locaties!$A$2:$G$15, 7, FALSE), "0")</f>
        <v>18.9</v>
      </c>
      <c r="K31" s="42">
        <f t="shared" si="2"/>
        <v>18.9</v>
      </c>
      <c r="L31" s="475">
        <f>Juni!L31</f>
        <v>3</v>
      </c>
      <c r="M31" s="470"/>
      <c r="N31" s="321" t="str">
        <f>IFERROR(VLOOKUP(M31, Tarieven!$A$1:$J$150, 10, FALSE), "0")</f>
        <v>0</v>
      </c>
      <c r="O31" s="473">
        <f>Juni!O31</f>
        <v>5</v>
      </c>
      <c r="P31" s="463"/>
      <c r="Q31" s="325" t="str">
        <f>IFERROR(VLOOKUP(P31, Tarieven!$A$2:$J$150, 10, FALSE), "0")</f>
        <v>0</v>
      </c>
      <c r="R31" s="138">
        <f>Juni!R31</f>
        <v>1</v>
      </c>
      <c r="S31" s="459"/>
      <c r="T31" s="325" t="str">
        <f>IFERROR(VLOOKUP(S31, Tarieven!$A$2:$J$150, 10, FALSE), "0")</f>
        <v>0</v>
      </c>
      <c r="U31" s="77">
        <f>Juni!U31</f>
        <v>1</v>
      </c>
      <c r="V31" s="327"/>
      <c r="W31" s="325" t="str">
        <f>IFERROR(VLOOKUP(V31, Tarieven!$A$2:$J$150, 10, FALSE), "0")</f>
        <v>0</v>
      </c>
      <c r="X31" s="138">
        <f>Juni!X31</f>
        <v>11</v>
      </c>
      <c r="Y31" s="398">
        <v>0.0</v>
      </c>
      <c r="Z31" s="329">
        <f t="shared" si="3"/>
        <v>21</v>
      </c>
      <c r="AA31" s="32">
        <f t="shared" si="4"/>
        <v>0</v>
      </c>
      <c r="AB31" s="32">
        <f t="shared" si="5"/>
        <v>0</v>
      </c>
      <c r="AC31" s="32">
        <f t="shared" si="6"/>
        <v>0</v>
      </c>
    </row>
    <row r="32" ht="22.5" customHeight="1">
      <c r="A32" s="331" t="str">
        <f>Rooster!A33</f>
        <v>Vrijdag</v>
      </c>
      <c r="B32" s="396">
        <f>Rooster!B33</f>
        <v>0.7083333333</v>
      </c>
      <c r="C32" s="15">
        <f>Rooster!C33</f>
        <v>60</v>
      </c>
      <c r="D32" s="11" t="str">
        <f>Rooster!D33</f>
        <v>Cheer 12+</v>
      </c>
      <c r="E32" s="318"/>
      <c r="F32" s="327" t="str">
        <f>Rooster!E33</f>
        <v>Eigenaar</v>
      </c>
      <c r="G32" s="319">
        <f>IFERROR(VLOOKUP(F32, Docenten!$A$2:$G$30, 7, FALSE), "0")</f>
        <v>0</v>
      </c>
      <c r="H32" s="320">
        <f t="shared" si="1"/>
        <v>0</v>
      </c>
      <c r="I32" s="327" t="str">
        <f>Rooster!H33</f>
        <v>Santpoort Zuid</v>
      </c>
      <c r="J32" s="321">
        <f>IFERROR(VLOOKUP(I32, Locaties!$A$2:$G$15, 7, FALSE), "0")</f>
        <v>18.9</v>
      </c>
      <c r="K32" s="42">
        <f t="shared" si="2"/>
        <v>18.9</v>
      </c>
      <c r="L32" s="477">
        <f>Juni!L32</f>
        <v>4</v>
      </c>
      <c r="M32" s="478"/>
      <c r="N32" s="321" t="str">
        <f>IFERROR(VLOOKUP(M32, Tarieven!$A$1:$J$150, 10, FALSE), "0")</f>
        <v>0</v>
      </c>
      <c r="O32" s="467">
        <f>Juni!O32</f>
        <v>3</v>
      </c>
      <c r="P32" s="430"/>
      <c r="Q32" s="325" t="str">
        <f>IFERROR(VLOOKUP(P32, Tarieven!$A$2:$J$150, 10, FALSE), "0")</f>
        <v>0</v>
      </c>
      <c r="R32" s="138">
        <f>Juni!R32</f>
        <v>1</v>
      </c>
      <c r="S32" s="459"/>
      <c r="T32" s="325" t="str">
        <f>IFERROR(VLOOKUP(S32, Tarieven!$A$2:$J$150, 10, FALSE), "0")</f>
        <v>0</v>
      </c>
      <c r="U32" s="77">
        <f>Juni!U32</f>
        <v>2</v>
      </c>
      <c r="V32" s="327"/>
      <c r="W32" s="325" t="str">
        <f>IFERROR(VLOOKUP(V32, Tarieven!$A$2:$J$150, 10, FALSE), "0")</f>
        <v>0</v>
      </c>
      <c r="X32" s="138">
        <f>Juni!X32</f>
        <v>5</v>
      </c>
      <c r="Y32" s="398">
        <v>0.0</v>
      </c>
      <c r="Z32" s="329">
        <f t="shared" si="3"/>
        <v>15</v>
      </c>
      <c r="AA32" s="32">
        <f t="shared" si="4"/>
        <v>0</v>
      </c>
      <c r="AB32" s="32">
        <f t="shared" si="5"/>
        <v>0</v>
      </c>
      <c r="AC32" s="32">
        <f t="shared" si="6"/>
        <v>0</v>
      </c>
    </row>
    <row r="33" ht="22.5" customHeight="1">
      <c r="A33" s="331" t="str">
        <f>Rooster!A34</f>
        <v>Vrijdag</v>
      </c>
      <c r="B33" s="396">
        <f>Rooster!B34</f>
        <v>0.75</v>
      </c>
      <c r="C33" s="15">
        <f>Rooster!C34</f>
        <v>60</v>
      </c>
      <c r="D33" s="11" t="str">
        <f>Rooster!D34</f>
        <v>Urban-pop-Show 11+</v>
      </c>
      <c r="E33" s="318"/>
      <c r="F33" s="327" t="str">
        <f>Rooster!E34</f>
        <v>Eigenaar</v>
      </c>
      <c r="G33" s="319">
        <f>IFERROR(VLOOKUP(F33, Docenten!$A$2:$G$30, 7, FALSE), "0")</f>
        <v>0</v>
      </c>
      <c r="H33" s="320">
        <f t="shared" si="1"/>
        <v>0</v>
      </c>
      <c r="I33" s="327" t="str">
        <f>Rooster!H34</f>
        <v>Santpoort Noord</v>
      </c>
      <c r="J33" s="321">
        <f>IFERROR(VLOOKUP(I33, Locaties!$A$2:$G$15, 7, FALSE), "0")</f>
        <v>14.2</v>
      </c>
      <c r="K33" s="42">
        <f t="shared" si="2"/>
        <v>14.2</v>
      </c>
      <c r="L33" s="475">
        <f>Juni!L33</f>
        <v>2</v>
      </c>
      <c r="M33" s="470"/>
      <c r="N33" s="321" t="str">
        <f>IFERROR(VLOOKUP(M33, Tarieven!$A$1:$J$150, 10, FALSE), "0")</f>
        <v>0</v>
      </c>
      <c r="O33" s="473">
        <f>Juni!O33</f>
        <v>3</v>
      </c>
      <c r="P33" s="463"/>
      <c r="Q33" s="325" t="str">
        <f>IFERROR(VLOOKUP(P33, Tarieven!$A$2:$J$150, 10, FALSE), "0")</f>
        <v>0</v>
      </c>
      <c r="R33" s="138" t="str">
        <f>Juni!R33</f>
        <v/>
      </c>
      <c r="S33" s="459"/>
      <c r="T33" s="325" t="str">
        <f>IFERROR(VLOOKUP(S33, Tarieven!$A$2:$J$150, 10, FALSE), "0")</f>
        <v>0</v>
      </c>
      <c r="U33" s="77" t="str">
        <f>Juni!U33</f>
        <v/>
      </c>
      <c r="V33" s="327"/>
      <c r="W33" s="325" t="str">
        <f>IFERROR(VLOOKUP(V33, Tarieven!$A$2:$J$150, 10, FALSE), "0")</f>
        <v>0</v>
      </c>
      <c r="X33" s="138">
        <f>Juni!X33</f>
        <v>8</v>
      </c>
      <c r="Y33" s="398">
        <v>0.0</v>
      </c>
      <c r="Z33" s="329">
        <f t="shared" si="3"/>
        <v>13</v>
      </c>
      <c r="AA33" s="32">
        <f t="shared" si="4"/>
        <v>0</v>
      </c>
      <c r="AB33" s="32">
        <f t="shared" si="5"/>
        <v>0</v>
      </c>
      <c r="AC33" s="32">
        <f t="shared" si="6"/>
        <v>0</v>
      </c>
    </row>
    <row r="34" ht="22.5" customHeight="1">
      <c r="A34" s="331" t="str">
        <f>Rooster!A35</f>
        <v>Zaterdag</v>
      </c>
      <c r="B34" s="396">
        <f>Rooster!B35</f>
        <v>0.375</v>
      </c>
      <c r="C34" s="15">
        <f>Rooster!C35</f>
        <v>60</v>
      </c>
      <c r="D34" s="11" t="str">
        <f>Rooster!D35</f>
        <v>Peuters</v>
      </c>
      <c r="E34" s="318"/>
      <c r="F34" s="327" t="str">
        <f>Rooster!E35</f>
        <v>Frederique</v>
      </c>
      <c r="G34" s="319">
        <f>IFERROR(VLOOKUP(F34, Docenten!$A$2:$G$30, 7, FALSE), "0")</f>
        <v>12.5</v>
      </c>
      <c r="H34" s="320">
        <f t="shared" si="1"/>
        <v>12.5</v>
      </c>
      <c r="I34" s="327" t="str">
        <f>Rooster!H35</f>
        <v>Santpoort Noord</v>
      </c>
      <c r="J34" s="321">
        <f>IFERROR(VLOOKUP(I34, Locaties!$A$2:$G$15, 7, FALSE), "0")</f>
        <v>14.2</v>
      </c>
      <c r="K34" s="42">
        <f t="shared" si="2"/>
        <v>14.2</v>
      </c>
      <c r="L34" s="477">
        <f>Juni!L34</f>
        <v>5</v>
      </c>
      <c r="M34" s="478"/>
      <c r="N34" s="321" t="str">
        <f>IFERROR(VLOOKUP(M34, Tarieven!$A$1:$J$150, 10, FALSE), "0")</f>
        <v>0</v>
      </c>
      <c r="O34" s="467">
        <f>Juni!O34</f>
        <v>1</v>
      </c>
      <c r="P34" s="430"/>
      <c r="Q34" s="325" t="str">
        <f>IFERROR(VLOOKUP(P34, Tarieven!$A$2:$J$150, 10, FALSE), "0")</f>
        <v>0</v>
      </c>
      <c r="R34" s="138" t="str">
        <f>Juni!R34</f>
        <v/>
      </c>
      <c r="S34" s="459"/>
      <c r="T34" s="325" t="str">
        <f>IFERROR(VLOOKUP(S34, Tarieven!$A$2:$J$150, 10, FALSE), "0")</f>
        <v>0</v>
      </c>
      <c r="U34" s="77" t="str">
        <f>Juni!U34</f>
        <v/>
      </c>
      <c r="V34" s="327"/>
      <c r="W34" s="325" t="str">
        <f>IFERROR(VLOOKUP(V34, Tarieven!$A$2:$J$150, 10, FALSE), "0")</f>
        <v>0</v>
      </c>
      <c r="X34" s="138">
        <f>Juni!X34</f>
        <v>4</v>
      </c>
      <c r="Y34" s="398">
        <v>0.0</v>
      </c>
      <c r="Z34" s="329">
        <f t="shared" si="3"/>
        <v>10</v>
      </c>
      <c r="AA34" s="32">
        <f t="shared" si="4"/>
        <v>0</v>
      </c>
      <c r="AB34" s="32">
        <f t="shared" si="5"/>
        <v>0</v>
      </c>
      <c r="AC34" s="32">
        <f t="shared" si="6"/>
        <v>0</v>
      </c>
    </row>
    <row r="35" ht="22.5" customHeight="1">
      <c r="A35" s="331" t="str">
        <f>Rooster!A36</f>
        <v>Zaterdag</v>
      </c>
      <c r="B35" s="396">
        <f>Rooster!B36</f>
        <v>0.40625</v>
      </c>
      <c r="C35" s="15">
        <f>Rooster!C36</f>
        <v>60</v>
      </c>
      <c r="D35" s="11" t="str">
        <f>Rooster!D36</f>
        <v>Kleuters</v>
      </c>
      <c r="E35" s="318"/>
      <c r="F35" s="327" t="str">
        <f>Rooster!E36</f>
        <v>Frederique</v>
      </c>
      <c r="G35" s="319">
        <f>IFERROR(VLOOKUP(F35, Docenten!$A$2:$G$30, 7, FALSE), "0")</f>
        <v>12.5</v>
      </c>
      <c r="H35" s="320">
        <f t="shared" si="1"/>
        <v>12.5</v>
      </c>
      <c r="I35" s="327" t="str">
        <f>Rooster!H36</f>
        <v>Santpoort Noord</v>
      </c>
      <c r="J35" s="321">
        <f>IFERROR(VLOOKUP(I35, Locaties!$A$2:$G$15, 7, FALSE), "0")</f>
        <v>14.2</v>
      </c>
      <c r="K35" s="42">
        <f t="shared" si="2"/>
        <v>14.2</v>
      </c>
      <c r="L35" s="475">
        <f>Juni!L35</f>
        <v>11</v>
      </c>
      <c r="M35" s="470"/>
      <c r="N35" s="321" t="str">
        <f>IFERROR(VLOOKUP(M35, Tarieven!$A$1:$J$150, 10, FALSE), "0")</f>
        <v>0</v>
      </c>
      <c r="O35" s="473" t="str">
        <f>Juni!O35</f>
        <v/>
      </c>
      <c r="P35" s="463"/>
      <c r="Q35" s="325" t="str">
        <f>IFERROR(VLOOKUP(P35, Tarieven!$A$2:$J$150, 10, FALSE), "0")</f>
        <v>0</v>
      </c>
      <c r="R35" s="138" t="str">
        <f>Juni!R35</f>
        <v/>
      </c>
      <c r="S35" s="459"/>
      <c r="T35" s="325" t="str">
        <f>IFERROR(VLOOKUP(S35, Tarieven!$A$2:$J$150, 10, FALSE), "0")</f>
        <v>0</v>
      </c>
      <c r="U35" s="77" t="str">
        <f>Juni!U35</f>
        <v/>
      </c>
      <c r="V35" s="327"/>
      <c r="W35" s="325" t="str">
        <f>IFERROR(VLOOKUP(V35, Tarieven!$A$2:$J$150, 10, FALSE), "0")</f>
        <v>0</v>
      </c>
      <c r="X35" s="138">
        <f>Juni!X35</f>
        <v>5</v>
      </c>
      <c r="Y35" s="398">
        <v>0.0</v>
      </c>
      <c r="Z35" s="329">
        <f t="shared" si="3"/>
        <v>16</v>
      </c>
      <c r="AA35" s="32">
        <f t="shared" si="4"/>
        <v>0</v>
      </c>
      <c r="AB35" s="32">
        <f t="shared" si="5"/>
        <v>0</v>
      </c>
      <c r="AC35" s="32">
        <f t="shared" si="6"/>
        <v>0</v>
      </c>
    </row>
    <row r="36" ht="22.5" customHeight="1">
      <c r="A36" s="331" t="str">
        <f>Rooster!A37</f>
        <v>Zaterdag</v>
      </c>
      <c r="B36" s="396">
        <f>Rooster!B37</f>
        <v>0.4375</v>
      </c>
      <c r="C36" s="15">
        <f>Rooster!C37</f>
        <v>60</v>
      </c>
      <c r="D36" s="11" t="str">
        <f>Rooster!D37</f>
        <v>Showdance 5-6</v>
      </c>
      <c r="E36" s="318"/>
      <c r="F36" s="327" t="str">
        <f>Rooster!E37</f>
        <v>Frederique</v>
      </c>
      <c r="G36" s="319">
        <f>IFERROR(VLOOKUP(F36, Docenten!$A$2:$G$30, 7, FALSE), "0")</f>
        <v>12.5</v>
      </c>
      <c r="H36" s="320">
        <f t="shared" si="1"/>
        <v>12.5</v>
      </c>
      <c r="I36" s="327" t="str">
        <f>Rooster!H37</f>
        <v>Santpoort Noord</v>
      </c>
      <c r="J36" s="321">
        <f>IFERROR(VLOOKUP(I36, Locaties!$A$2:$G$15, 7, FALSE), "0")</f>
        <v>14.2</v>
      </c>
      <c r="K36" s="42">
        <f t="shared" si="2"/>
        <v>14.2</v>
      </c>
      <c r="L36" s="465">
        <f>Juni!L36</f>
        <v>2</v>
      </c>
      <c r="M36" s="466"/>
      <c r="N36" s="321" t="str">
        <f>IFERROR(VLOOKUP(M36, Tarieven!$A$1:$J$150, 10, FALSE), "0")</f>
        <v>0</v>
      </c>
      <c r="O36" s="467" t="str">
        <f>Juni!O36</f>
        <v/>
      </c>
      <c r="P36" s="430"/>
      <c r="Q36" s="325" t="str">
        <f>IFERROR(VLOOKUP(P36, Tarieven!$A$2:$J$150, 10, FALSE), "0")</f>
        <v>0</v>
      </c>
      <c r="R36" s="138" t="str">
        <f>Juni!R36</f>
        <v/>
      </c>
      <c r="S36" s="459"/>
      <c r="T36" s="325" t="str">
        <f>IFERROR(VLOOKUP(S36, Tarieven!$A$2:$J$150, 10, FALSE), "0")</f>
        <v>0</v>
      </c>
      <c r="U36" s="77" t="str">
        <f>Juni!U36</f>
        <v/>
      </c>
      <c r="V36" s="327"/>
      <c r="W36" s="325" t="str">
        <f>IFERROR(VLOOKUP(V36, Tarieven!$A$2:$J$150, 10, FALSE), "0")</f>
        <v>0</v>
      </c>
      <c r="X36" s="138">
        <f>Juni!X36</f>
        <v>9</v>
      </c>
      <c r="Y36" s="398">
        <v>0.0</v>
      </c>
      <c r="Z36" s="329">
        <f t="shared" si="3"/>
        <v>11</v>
      </c>
      <c r="AA36" s="32">
        <f t="shared" si="4"/>
        <v>0</v>
      </c>
      <c r="AB36" s="32">
        <f t="shared" si="5"/>
        <v>0</v>
      </c>
      <c r="AC36" s="32">
        <f t="shared" si="6"/>
        <v>0</v>
      </c>
    </row>
    <row r="37" ht="22.5" customHeight="1">
      <c r="A37" s="331" t="str">
        <f>Rooster!A38</f>
        <v>Zaterdag</v>
      </c>
      <c r="B37" s="396">
        <f>Rooster!B38</f>
        <v>0.4791666667</v>
      </c>
      <c r="C37" s="15">
        <f>Rooster!C38</f>
        <v>60</v>
      </c>
      <c r="D37" s="11" t="str">
        <f>Rooster!D38</f>
        <v>Showdance 7+</v>
      </c>
      <c r="E37" s="318"/>
      <c r="F37" s="327" t="str">
        <f>Rooster!E38</f>
        <v>Frederique</v>
      </c>
      <c r="G37" s="319">
        <f>IFERROR(VLOOKUP(F37, Docenten!$A$2:$G$30, 7, FALSE), "0")</f>
        <v>12.5</v>
      </c>
      <c r="H37" s="320">
        <f t="shared" si="1"/>
        <v>12.5</v>
      </c>
      <c r="I37" s="327" t="str">
        <f>Rooster!H38</f>
        <v>Santpoort Noord</v>
      </c>
      <c r="J37" s="321">
        <f>IFERROR(VLOOKUP(I37, Locaties!$A$2:$G$15, 7, FALSE), "0")</f>
        <v>14.2</v>
      </c>
      <c r="K37" s="42">
        <f t="shared" si="2"/>
        <v>14.2</v>
      </c>
      <c r="L37" s="475">
        <f>Juni!L37</f>
        <v>6</v>
      </c>
      <c r="M37" s="470"/>
      <c r="N37" s="321" t="str">
        <f>IFERROR(VLOOKUP(M37, Tarieven!$A$1:$J$150, 10, FALSE), "0")</f>
        <v>0</v>
      </c>
      <c r="O37" s="473">
        <f>Juni!O37</f>
        <v>1</v>
      </c>
      <c r="P37" s="463"/>
      <c r="Q37" s="325" t="str">
        <f>IFERROR(VLOOKUP(P37, Tarieven!$A$2:$J$150, 10, FALSE), "0")</f>
        <v>0</v>
      </c>
      <c r="R37" s="138" t="str">
        <f>Juni!R37</f>
        <v/>
      </c>
      <c r="S37" s="459"/>
      <c r="T37" s="325" t="str">
        <f>IFERROR(VLOOKUP(S37, Tarieven!$A$2:$J$150, 10, FALSE), "0")</f>
        <v>0</v>
      </c>
      <c r="U37" s="77" t="str">
        <f>Juni!U37</f>
        <v/>
      </c>
      <c r="V37" s="327"/>
      <c r="W37" s="325" t="str">
        <f>IFERROR(VLOOKUP(V37, Tarieven!$A$2:$J$150, 10, FALSE), "0")</f>
        <v>0</v>
      </c>
      <c r="X37" s="138">
        <f>Juni!X37</f>
        <v>4</v>
      </c>
      <c r="Y37" s="398">
        <v>0.0</v>
      </c>
      <c r="Z37" s="329">
        <f t="shared" si="3"/>
        <v>11</v>
      </c>
      <c r="AA37" s="32">
        <f t="shared" si="4"/>
        <v>0</v>
      </c>
      <c r="AB37" s="32">
        <f t="shared" si="5"/>
        <v>0</v>
      </c>
      <c r="AC37" s="32">
        <f t="shared" si="6"/>
        <v>0</v>
      </c>
    </row>
    <row r="38" ht="22.5" customHeight="1">
      <c r="A38" s="331" t="str">
        <f>Rooster!A39</f>
        <v>Zaterdag</v>
      </c>
      <c r="B38" s="396">
        <f>Rooster!B39</f>
        <v>0.4166666667</v>
      </c>
      <c r="C38" s="15">
        <f>Rooster!C39</f>
        <v>60</v>
      </c>
      <c r="D38" s="11" t="str">
        <f>Rooster!D39</f>
        <v>Peuters</v>
      </c>
      <c r="E38" s="318"/>
      <c r="F38" s="327" t="str">
        <f>Rooster!E39</f>
        <v>Tess</v>
      </c>
      <c r="G38" s="319">
        <f>IFERROR(VLOOKUP(F38, Docenten!$A$2:$G$30, 7, FALSE), "0")</f>
        <v>17.5</v>
      </c>
      <c r="H38" s="320">
        <f t="shared" si="1"/>
        <v>17.5</v>
      </c>
      <c r="I38" s="327" t="str">
        <f>Rooster!H39</f>
        <v>Santpoort Zuid</v>
      </c>
      <c r="J38" s="321">
        <f>IFERROR(VLOOKUP(I38, Locaties!$A$2:$G$15, 7, FALSE), "0")</f>
        <v>18.9</v>
      </c>
      <c r="K38" s="42">
        <f t="shared" si="2"/>
        <v>18.9</v>
      </c>
      <c r="L38" s="427" t="str">
        <f>Juni!L38</f>
        <v/>
      </c>
      <c r="M38" s="483"/>
      <c r="N38" s="321" t="str">
        <f>IFERROR(VLOOKUP(M38, Tarieven!$A$1:$J$150, 10, FALSE), "0")</f>
        <v>0</v>
      </c>
      <c r="O38" s="467" t="str">
        <f>Juni!O38</f>
        <v/>
      </c>
      <c r="P38" s="430"/>
      <c r="Q38" s="325" t="str">
        <f>IFERROR(VLOOKUP(P38, Tarieven!$A$2:$J$150, 10, FALSE), "0")</f>
        <v>0</v>
      </c>
      <c r="R38" s="138" t="str">
        <f>Juni!R38</f>
        <v/>
      </c>
      <c r="S38" s="459"/>
      <c r="T38" s="325" t="str">
        <f>IFERROR(VLOOKUP(S38, Tarieven!$A$2:$J$150, 10, FALSE), "0")</f>
        <v>0</v>
      </c>
      <c r="U38" s="77" t="str">
        <f>Juni!U38</f>
        <v/>
      </c>
      <c r="V38" s="327"/>
      <c r="W38" s="325" t="str">
        <f>IFERROR(VLOOKUP(V38, Tarieven!$A$2:$J$150, 10, FALSE), "0")</f>
        <v>0</v>
      </c>
      <c r="X38" s="138">
        <f>Juni!X38</f>
        <v>0</v>
      </c>
      <c r="Y38" s="398">
        <v>0.0</v>
      </c>
      <c r="Z38" s="329">
        <f t="shared" si="3"/>
        <v>0</v>
      </c>
      <c r="AA38" s="32">
        <f t="shared" si="4"/>
        <v>0</v>
      </c>
      <c r="AB38" s="32">
        <f t="shared" si="5"/>
        <v>0</v>
      </c>
      <c r="AC38" s="32">
        <f t="shared" si="6"/>
        <v>0</v>
      </c>
    </row>
    <row r="39" ht="22.5" customHeight="1">
      <c r="A39" s="331" t="str">
        <f>Rooster!A40</f>
        <v>Zaterdag</v>
      </c>
      <c r="B39" s="396">
        <f>Rooster!B40</f>
        <v>0.4479166667</v>
      </c>
      <c r="C39" s="15">
        <f>Rooster!C40</f>
        <v>60</v>
      </c>
      <c r="D39" s="11" t="str">
        <f>Rooster!D40</f>
        <v>Kleuters</v>
      </c>
      <c r="E39" s="318"/>
      <c r="F39" s="327" t="str">
        <f>Rooster!E40</f>
        <v>Tess</v>
      </c>
      <c r="G39" s="319">
        <f>IFERROR(VLOOKUP(F39, Docenten!$A$2:$G$30, 7, FALSE), "0")</f>
        <v>17.5</v>
      </c>
      <c r="H39" s="320">
        <f t="shared" si="1"/>
        <v>17.5</v>
      </c>
      <c r="I39" s="327" t="str">
        <f>Rooster!H40</f>
        <v>Santpoort Zuid</v>
      </c>
      <c r="J39" s="321">
        <f>IFERROR(VLOOKUP(I39, Locaties!$A$2:$G$15, 7, FALSE), "0")</f>
        <v>18.9</v>
      </c>
      <c r="K39" s="42">
        <f t="shared" si="2"/>
        <v>18.9</v>
      </c>
      <c r="L39" s="484">
        <f>Juni!L39</f>
        <v>9</v>
      </c>
      <c r="M39" s="474"/>
      <c r="N39" s="321" t="str">
        <f>IFERROR(VLOOKUP(M39, Tarieven!$A$1:$J$150, 10, FALSE), "0")</f>
        <v>0</v>
      </c>
      <c r="O39" s="473">
        <f>Juni!O39</f>
        <v>1</v>
      </c>
      <c r="P39" s="463"/>
      <c r="Q39" s="325" t="str">
        <f>IFERROR(VLOOKUP(P39, Tarieven!$A$2:$J$150, 10, FALSE), "0")</f>
        <v>0</v>
      </c>
      <c r="R39" s="138">
        <f>Juni!R39</f>
        <v>1</v>
      </c>
      <c r="S39" s="459"/>
      <c r="T39" s="325" t="str">
        <f>IFERROR(VLOOKUP(S39, Tarieven!$A$2:$J$150, 10, FALSE), "0")</f>
        <v>0</v>
      </c>
      <c r="U39" s="77">
        <f>Juni!U39</f>
        <v>1</v>
      </c>
      <c r="V39" s="327"/>
      <c r="W39" s="325" t="str">
        <f>IFERROR(VLOOKUP(V39, Tarieven!$A$2:$J$150, 10, FALSE), "0")</f>
        <v>0</v>
      </c>
      <c r="X39" s="138">
        <f>Juni!X39</f>
        <v>0</v>
      </c>
      <c r="Y39" s="398">
        <v>0.0</v>
      </c>
      <c r="Z39" s="329">
        <f t="shared" si="3"/>
        <v>12</v>
      </c>
      <c r="AA39" s="32">
        <f t="shared" si="4"/>
        <v>0</v>
      </c>
      <c r="AB39" s="32">
        <f t="shared" si="5"/>
        <v>0</v>
      </c>
      <c r="AC39" s="32">
        <f t="shared" si="6"/>
        <v>0</v>
      </c>
    </row>
    <row r="40" ht="22.5" customHeight="1">
      <c r="A40" s="331" t="str">
        <f>Rooster!A41</f>
        <v/>
      </c>
      <c r="B40" s="396" t="str">
        <f>Rooster!B41</f>
        <v/>
      </c>
      <c r="C40" s="15" t="str">
        <f>Rooster!C41</f>
        <v/>
      </c>
      <c r="D40" s="11" t="str">
        <f>Rooster!D41</f>
        <v/>
      </c>
      <c r="E40" s="485"/>
      <c r="F40" s="327" t="str">
        <f>Rooster!E41</f>
        <v/>
      </c>
      <c r="G40" s="319" t="str">
        <f>IFERROR(VLOOKUP(F40, Docenten!$A$2:$G$30, 7, FALSE), "0")</f>
        <v>0</v>
      </c>
      <c r="H40" s="320">
        <f t="shared" si="1"/>
        <v>0</v>
      </c>
      <c r="I40" s="327" t="str">
        <f>Rooster!H41</f>
        <v/>
      </c>
      <c r="J40" s="321" t="str">
        <f>IFERROR(VLOOKUP(I40, Locaties!$A$2:$G$15, 7, FALSE), "0")</f>
        <v>0</v>
      </c>
      <c r="K40" s="42">
        <f t="shared" si="2"/>
        <v>0</v>
      </c>
      <c r="L40" s="427" t="str">
        <f>Juni!L40</f>
        <v/>
      </c>
      <c r="M40" s="483"/>
      <c r="N40" s="321" t="str">
        <f>IFERROR(VLOOKUP(M40, Tarieven!$A$1:$J$150, 10, FALSE), "0")</f>
        <v>0</v>
      </c>
      <c r="O40" s="467" t="str">
        <f>Juni!O40</f>
        <v/>
      </c>
      <c r="P40" s="430"/>
      <c r="Q40" s="325" t="str">
        <f>IFERROR(VLOOKUP(P40, Tarieven!$A$2:$J$150, 10, FALSE), "0")</f>
        <v>0</v>
      </c>
      <c r="R40" s="138" t="str">
        <f>Juni!R40</f>
        <v/>
      </c>
      <c r="S40" s="459"/>
      <c r="T40" s="325" t="str">
        <f>IFERROR(VLOOKUP(S40, Tarieven!$A$2:$J$150, 10, FALSE), "0")</f>
        <v>0</v>
      </c>
      <c r="U40" s="77" t="str">
        <f>Juni!U40</f>
        <v/>
      </c>
      <c r="V40" s="327"/>
      <c r="W40" s="325" t="str">
        <f>IFERROR(VLOOKUP(V40, Tarieven!$A$2:$J$150, 10, FALSE), "0")</f>
        <v>0</v>
      </c>
      <c r="X40" s="138">
        <f>Juni!X40</f>
        <v>0</v>
      </c>
      <c r="Y40" s="398">
        <v>0.0</v>
      </c>
      <c r="Z40" s="329">
        <f t="shared" si="3"/>
        <v>0</v>
      </c>
      <c r="AA40" s="32">
        <f t="shared" si="4"/>
        <v>0</v>
      </c>
      <c r="AB40" s="32">
        <f t="shared" si="5"/>
        <v>0</v>
      </c>
      <c r="AC40" s="32">
        <f t="shared" si="6"/>
        <v>0</v>
      </c>
    </row>
    <row r="41" ht="22.5" customHeight="1">
      <c r="A41" s="331" t="str">
        <f>Rooster!A42</f>
        <v/>
      </c>
      <c r="B41" s="396" t="str">
        <f>Rooster!B42</f>
        <v/>
      </c>
      <c r="C41" s="15" t="str">
        <f>Rooster!C42</f>
        <v/>
      </c>
      <c r="D41" s="11" t="str">
        <f>Rooster!D42</f>
        <v/>
      </c>
      <c r="E41" s="485"/>
      <c r="F41" s="327" t="str">
        <f>Rooster!E42</f>
        <v/>
      </c>
      <c r="G41" s="319" t="str">
        <f>IFERROR(VLOOKUP(F41, Docenten!$A$2:$G$30, 7, FALSE), "0")</f>
        <v>0</v>
      </c>
      <c r="H41" s="320">
        <f t="shared" si="1"/>
        <v>0</v>
      </c>
      <c r="I41" s="327" t="str">
        <f>Rooster!H42</f>
        <v/>
      </c>
      <c r="J41" s="321" t="str">
        <f>IFERROR(VLOOKUP(I41, Locaties!$A$2:$G$15, 7, FALSE), "0")</f>
        <v>0</v>
      </c>
      <c r="K41" s="42">
        <f t="shared" si="2"/>
        <v>0</v>
      </c>
      <c r="L41" s="484" t="str">
        <f>Juni!L41</f>
        <v/>
      </c>
      <c r="M41" s="474"/>
      <c r="N41" s="321" t="str">
        <f>IFERROR(VLOOKUP(M41, Tarieven!$A$1:$J$150, 10, FALSE), "0")</f>
        <v>0</v>
      </c>
      <c r="O41" s="473" t="str">
        <f>Juni!O41</f>
        <v/>
      </c>
      <c r="P41" s="463"/>
      <c r="Q41" s="325" t="str">
        <f>IFERROR(VLOOKUP(P41, Tarieven!$A$2:$J$150, 10, FALSE), "0")</f>
        <v>0</v>
      </c>
      <c r="R41" s="138" t="str">
        <f>Juni!R41</f>
        <v/>
      </c>
      <c r="S41" s="459"/>
      <c r="T41" s="325" t="str">
        <f>IFERROR(VLOOKUP(S41, Tarieven!$A$2:$J$150, 10, FALSE), "0")</f>
        <v>0</v>
      </c>
      <c r="U41" s="77" t="str">
        <f>Juni!U41</f>
        <v/>
      </c>
      <c r="V41" s="327"/>
      <c r="W41" s="325" t="str">
        <f>IFERROR(VLOOKUP(V41, Tarieven!$A$2:$J$150, 10, FALSE), "0")</f>
        <v>0</v>
      </c>
      <c r="X41" s="138">
        <f>Juni!X41</f>
        <v>0</v>
      </c>
      <c r="Y41" s="398">
        <v>0.0</v>
      </c>
      <c r="Z41" s="329">
        <f t="shared" si="3"/>
        <v>0</v>
      </c>
      <c r="AA41" s="32">
        <f t="shared" si="4"/>
        <v>0</v>
      </c>
      <c r="AB41" s="32">
        <f t="shared" si="5"/>
        <v>0</v>
      </c>
      <c r="AC41" s="32">
        <f t="shared" si="6"/>
        <v>0</v>
      </c>
    </row>
    <row r="42" ht="22.5" customHeight="1">
      <c r="A42" s="331" t="str">
        <f>Rooster!A43</f>
        <v>Maandag</v>
      </c>
      <c r="B42" s="396">
        <f>Rooster!B43</f>
        <v>0.3958333333</v>
      </c>
      <c r="C42" s="15">
        <f>Rooster!C43</f>
        <v>60</v>
      </c>
      <c r="D42" s="11" t="str">
        <f>Rooster!D43</f>
        <v>Kinderopvang</v>
      </c>
      <c r="E42" s="318">
        <v>5.0</v>
      </c>
      <c r="F42" s="327" t="str">
        <f>Rooster!E43</f>
        <v>Opvang T</v>
      </c>
      <c r="G42" s="319">
        <f>IFERROR(VLOOKUP(F42, Docenten!$A$2:$G$30, 7, FALSE), "0")</f>
        <v>45</v>
      </c>
      <c r="H42" s="320">
        <f t="shared" si="1"/>
        <v>45</v>
      </c>
      <c r="I42" s="327" t="str">
        <f>Rooster!H43</f>
        <v/>
      </c>
      <c r="J42" s="321" t="str">
        <f>IFERROR(VLOOKUP(I42, Locaties!$A$2:$G$15, 7, FALSE), "0")</f>
        <v>0</v>
      </c>
      <c r="K42" s="42">
        <f t="shared" si="2"/>
        <v>0</v>
      </c>
      <c r="L42" s="464">
        <f>Juni!L42</f>
        <v>1</v>
      </c>
      <c r="M42" s="438" t="s">
        <v>46</v>
      </c>
      <c r="N42" s="442">
        <v>400.0</v>
      </c>
      <c r="O42" s="467" t="str">
        <f>Juni!O42</f>
        <v/>
      </c>
      <c r="P42" s="430"/>
      <c r="Q42" s="325" t="str">
        <f>IFERROR(VLOOKUP(P42, Tarieven!$A$2:$J$150, 10, FALSE), "0")</f>
        <v>0</v>
      </c>
      <c r="R42" s="138" t="str">
        <f>Juni!R42</f>
        <v/>
      </c>
      <c r="S42" s="459"/>
      <c r="T42" s="325" t="str">
        <f>IFERROR(VLOOKUP(S42, Tarieven!$A$2:$J$150, 10, FALSE), "0")</f>
        <v>0</v>
      </c>
      <c r="U42" s="77" t="str">
        <f>Juni!U42</f>
        <v/>
      </c>
      <c r="V42" s="327"/>
      <c r="W42" s="325" t="str">
        <f>IFERROR(VLOOKUP(V42, Tarieven!$A$2:$J$150, 10, FALSE), "0")</f>
        <v>0</v>
      </c>
      <c r="X42" s="138">
        <f>Juni!X42</f>
        <v>0</v>
      </c>
      <c r="Y42" s="398">
        <v>0.0</v>
      </c>
      <c r="Z42" s="329">
        <f t="shared" si="3"/>
        <v>1</v>
      </c>
      <c r="AA42" s="32">
        <f t="shared" si="4"/>
        <v>225</v>
      </c>
      <c r="AB42" s="32">
        <f t="shared" si="5"/>
        <v>400</v>
      </c>
      <c r="AC42" s="32">
        <f t="shared" si="6"/>
        <v>175</v>
      </c>
    </row>
    <row r="43" ht="22.5" customHeight="1">
      <c r="A43" s="331" t="str">
        <f>Rooster!A44</f>
        <v>Vrijdag</v>
      </c>
      <c r="B43" s="396">
        <f>Rooster!B44</f>
        <v>0.7916666667</v>
      </c>
      <c r="C43" s="15"/>
      <c r="D43" s="11" t="str">
        <f>Rooster!D44</f>
        <v>Prive training</v>
      </c>
      <c r="E43" s="485"/>
      <c r="F43" s="327"/>
      <c r="G43" s="319" t="str">
        <f>IFERROR(VLOOKUP(F43, Docenten!$A$2:$G$30, 7, FALSE), "0")</f>
        <v>0</v>
      </c>
      <c r="H43" s="320">
        <f t="shared" si="1"/>
        <v>0</v>
      </c>
      <c r="I43" s="327" t="str">
        <f>Rooster!H44</f>
        <v/>
      </c>
      <c r="J43" s="321" t="str">
        <f>IFERROR(VLOOKUP(I43, Locaties!$A$2:$G$15, 7, FALSE), "0")</f>
        <v>0</v>
      </c>
      <c r="K43" s="42">
        <f t="shared" si="2"/>
        <v>0</v>
      </c>
      <c r="L43" s="484" t="str">
        <f>Juni!L43</f>
        <v/>
      </c>
      <c r="M43" s="474"/>
      <c r="N43" s="321" t="str">
        <f>IFERROR(VLOOKUP(M43, Tarieven!$A$1:$J$150, 10, FALSE), "0")</f>
        <v>0</v>
      </c>
      <c r="O43" s="473" t="str">
        <f>Juni!O43</f>
        <v/>
      </c>
      <c r="P43" s="463"/>
      <c r="Q43" s="325" t="str">
        <f>IFERROR(VLOOKUP(P43, Tarieven!$A$2:$J$150, 10, FALSE), "0")</f>
        <v>0</v>
      </c>
      <c r="R43" s="138" t="str">
        <f>Juni!R43</f>
        <v/>
      </c>
      <c r="S43" s="459"/>
      <c r="T43" s="325" t="str">
        <f>IFERROR(VLOOKUP(S43, Tarieven!$A$2:$J$150, 10, FALSE), "0")</f>
        <v>0</v>
      </c>
      <c r="U43" s="77" t="str">
        <f>Juni!U43</f>
        <v/>
      </c>
      <c r="V43" s="327"/>
      <c r="W43" s="325" t="str">
        <f>IFERROR(VLOOKUP(V43, Tarieven!$A$2:$J$150, 10, FALSE), "0")</f>
        <v>0</v>
      </c>
      <c r="X43" s="138">
        <f>Juni!X43</f>
        <v>0</v>
      </c>
      <c r="Y43" s="398">
        <v>0.0</v>
      </c>
      <c r="Z43" s="329">
        <f t="shared" si="3"/>
        <v>0</v>
      </c>
      <c r="AA43" s="32">
        <f t="shared" si="4"/>
        <v>0</v>
      </c>
      <c r="AB43" s="32">
        <f t="shared" si="5"/>
        <v>0</v>
      </c>
      <c r="AC43" s="32">
        <f t="shared" si="6"/>
        <v>0</v>
      </c>
    </row>
    <row r="44" ht="22.5" customHeight="1">
      <c r="A44" s="331" t="str">
        <f>Rooster!A45</f>
        <v>Zaterdag</v>
      </c>
      <c r="B44" s="396">
        <f>Rooster!B45</f>
        <v>0.5625</v>
      </c>
      <c r="C44" s="15"/>
      <c r="D44" s="11" t="str">
        <f>Rooster!D45</f>
        <v>Prive training</v>
      </c>
      <c r="E44" s="485"/>
      <c r="F44" s="327"/>
      <c r="G44" s="319" t="str">
        <f>IFERROR(VLOOKUP(F44, Docenten!$A$2:$G$30, 7, FALSE), "0")</f>
        <v>0</v>
      </c>
      <c r="H44" s="320">
        <f t="shared" si="1"/>
        <v>0</v>
      </c>
      <c r="I44" s="327" t="str">
        <f>Rooster!H45</f>
        <v/>
      </c>
      <c r="J44" s="321" t="str">
        <f>IFERROR(VLOOKUP(I44, Locaties!$A$2:$G$15, 7, FALSE), "0")</f>
        <v>0</v>
      </c>
      <c r="K44" s="42">
        <f t="shared" si="2"/>
        <v>0</v>
      </c>
      <c r="L44" s="464" t="str">
        <f>Juni!L44</f>
        <v/>
      </c>
      <c r="M44" s="430"/>
      <c r="N44" s="321" t="str">
        <f>IFERROR(VLOOKUP(M44, Tarieven!$A$1:$J$150, 10, FALSE), "0")</f>
        <v>0</v>
      </c>
      <c r="O44" s="467" t="str">
        <f>Juni!O44</f>
        <v/>
      </c>
      <c r="P44" s="430"/>
      <c r="Q44" s="325" t="str">
        <f>IFERROR(VLOOKUP(P44, Tarieven!$A$2:$J$150, 10, FALSE), "0")</f>
        <v>0</v>
      </c>
      <c r="R44" s="138" t="str">
        <f>Juni!R44</f>
        <v/>
      </c>
      <c r="S44" s="459"/>
      <c r="T44" s="325" t="str">
        <f>IFERROR(VLOOKUP(S44, Tarieven!$A$2:$J$150, 10, FALSE), "0")</f>
        <v>0</v>
      </c>
      <c r="U44" s="77" t="str">
        <f>Juni!U44</f>
        <v/>
      </c>
      <c r="V44" s="327"/>
      <c r="W44" s="325" t="str">
        <f>IFERROR(VLOOKUP(V44, Tarieven!$A$2:$J$150, 10, FALSE), "0")</f>
        <v>0</v>
      </c>
      <c r="X44" s="138">
        <f>Juni!X44</f>
        <v>0</v>
      </c>
      <c r="Y44" s="398">
        <v>0.0</v>
      </c>
      <c r="Z44" s="329">
        <f t="shared" si="3"/>
        <v>0</v>
      </c>
      <c r="AA44" s="32">
        <f t="shared" si="4"/>
        <v>0</v>
      </c>
      <c r="AB44" s="32">
        <f t="shared" si="5"/>
        <v>0</v>
      </c>
      <c r="AC44" s="32">
        <f t="shared" si="6"/>
        <v>0</v>
      </c>
    </row>
    <row r="45" ht="22.5" customHeight="1">
      <c r="A45" s="331" t="str">
        <f>Rooster!A46</f>
        <v/>
      </c>
      <c r="B45" s="396" t="str">
        <f>Rooster!B46</f>
        <v/>
      </c>
      <c r="C45" s="15" t="str">
        <f>Rooster!C46</f>
        <v/>
      </c>
      <c r="D45" s="11" t="str">
        <f>Rooster!D46</f>
        <v/>
      </c>
      <c r="E45" s="485"/>
      <c r="F45" s="327"/>
      <c r="G45" s="319" t="str">
        <f>IFERROR(VLOOKUP(F45, Docenten!$A$2:$G$30, 7, FALSE), "0")</f>
        <v>0</v>
      </c>
      <c r="H45" s="320">
        <f t="shared" si="1"/>
        <v>0</v>
      </c>
      <c r="I45" s="327" t="str">
        <f>Rooster!H46</f>
        <v/>
      </c>
      <c r="J45" s="321" t="str">
        <f>IFERROR(VLOOKUP(I45, Locaties!$A$2:$G$15, 7, FALSE), "0")</f>
        <v>0</v>
      </c>
      <c r="K45" s="42">
        <f t="shared" si="2"/>
        <v>0</v>
      </c>
      <c r="L45" s="484" t="str">
        <f>Juni!L45</f>
        <v/>
      </c>
      <c r="M45" s="474"/>
      <c r="N45" s="321" t="str">
        <f>IFERROR(VLOOKUP(M45, Tarieven!$A$1:$J$150, 10, FALSE), "0")</f>
        <v>0</v>
      </c>
      <c r="O45" s="473" t="str">
        <f>Juni!O45</f>
        <v/>
      </c>
      <c r="P45" s="463"/>
      <c r="Q45" s="325" t="str">
        <f>IFERROR(VLOOKUP(P45, Tarieven!$A$2:$J$150, 10, FALSE), "0")</f>
        <v>0</v>
      </c>
      <c r="R45" s="138" t="str">
        <f>Juni!R45</f>
        <v/>
      </c>
      <c r="S45" s="459"/>
      <c r="T45" s="325" t="str">
        <f>IFERROR(VLOOKUP(S45, Tarieven!$A$2:$J$150, 10, FALSE), "0")</f>
        <v>0</v>
      </c>
      <c r="U45" s="77" t="str">
        <f>Juni!U45</f>
        <v/>
      </c>
      <c r="V45" s="327"/>
      <c r="W45" s="325" t="str">
        <f>IFERROR(VLOOKUP(V45, Tarieven!$A$2:$J$150, 10, FALSE), "0")</f>
        <v>0</v>
      </c>
      <c r="X45" s="138">
        <f>Juni!X45</f>
        <v>0</v>
      </c>
      <c r="Y45" s="398">
        <v>0.0</v>
      </c>
      <c r="Z45" s="329">
        <f t="shared" si="3"/>
        <v>0</v>
      </c>
      <c r="AA45" s="32">
        <f t="shared" si="4"/>
        <v>0</v>
      </c>
      <c r="AB45" s="32">
        <f t="shared" si="5"/>
        <v>0</v>
      </c>
      <c r="AC45" s="32">
        <f t="shared" si="6"/>
        <v>0</v>
      </c>
    </row>
    <row r="46" ht="22.5" customHeight="1">
      <c r="A46" s="331" t="str">
        <f>Rooster!A47</f>
        <v/>
      </c>
      <c r="B46" s="396" t="str">
        <f>Rooster!B47</f>
        <v/>
      </c>
      <c r="C46" s="15" t="str">
        <f>Rooster!C47</f>
        <v/>
      </c>
      <c r="D46" s="11" t="str">
        <f>Rooster!D47</f>
        <v/>
      </c>
      <c r="E46" s="485"/>
      <c r="F46" s="327" t="str">
        <f>Rooster!E47</f>
        <v/>
      </c>
      <c r="G46" s="319" t="str">
        <f>IFERROR(VLOOKUP(F46, Docenten!$A$2:$G$30, 7, FALSE), "0")</f>
        <v>0</v>
      </c>
      <c r="H46" s="320">
        <f t="shared" si="1"/>
        <v>0</v>
      </c>
      <c r="I46" s="327" t="str">
        <f>Rooster!H47</f>
        <v/>
      </c>
      <c r="J46" s="321" t="str">
        <f>IFERROR(VLOOKUP(I46, Locaties!$A$2:$G$15, 7, FALSE), "0")</f>
        <v>0</v>
      </c>
      <c r="K46" s="42">
        <f t="shared" si="2"/>
        <v>0</v>
      </c>
      <c r="L46" s="464" t="str">
        <f>Juni!L46</f>
        <v/>
      </c>
      <c r="M46" s="430"/>
      <c r="N46" s="321" t="str">
        <f>IFERROR(VLOOKUP(M46, Tarieven!$A$1:$J$150, 10, FALSE), "0")</f>
        <v>0</v>
      </c>
      <c r="O46" s="467" t="str">
        <f>Juni!O46</f>
        <v/>
      </c>
      <c r="P46" s="430"/>
      <c r="Q46" s="325" t="str">
        <f>IFERROR(VLOOKUP(P46, Tarieven!$A$2:$J$150, 10, FALSE), "0")</f>
        <v>0</v>
      </c>
      <c r="R46" s="138" t="str">
        <f>Juni!R46</f>
        <v/>
      </c>
      <c r="S46" s="459"/>
      <c r="T46" s="325" t="str">
        <f>IFERROR(VLOOKUP(S46, Tarieven!$A$2:$J$150, 10, FALSE), "0")</f>
        <v>0</v>
      </c>
      <c r="U46" s="77" t="str">
        <f>Juni!U46</f>
        <v/>
      </c>
      <c r="V46" s="327"/>
      <c r="W46" s="325" t="str">
        <f>IFERROR(VLOOKUP(V46, Tarieven!$A$2:$J$150, 10, FALSE), "0")</f>
        <v>0</v>
      </c>
      <c r="X46" s="138">
        <f>Juni!X46</f>
        <v>0</v>
      </c>
      <c r="Y46" s="398">
        <v>0.0</v>
      </c>
      <c r="Z46" s="329">
        <f t="shared" si="3"/>
        <v>0</v>
      </c>
      <c r="AA46" s="32">
        <f t="shared" si="4"/>
        <v>0</v>
      </c>
      <c r="AB46" s="32">
        <f t="shared" si="5"/>
        <v>0</v>
      </c>
      <c r="AC46" s="32">
        <f t="shared" si="6"/>
        <v>0</v>
      </c>
    </row>
    <row r="47" ht="22.5" customHeight="1">
      <c r="A47" s="331" t="str">
        <f>Rooster!A48</f>
        <v>Donderdag</v>
      </c>
      <c r="B47" s="396">
        <f>Rooster!B48</f>
        <v>0.75</v>
      </c>
      <c r="C47" s="15">
        <f>Rooster!C48</f>
        <v>60</v>
      </c>
      <c r="D47" s="11" t="str">
        <f>Rooster!D48</f>
        <v>Turnen 6+</v>
      </c>
      <c r="E47" s="485"/>
      <c r="F47" s="327" t="str">
        <f>Rooster!E48</f>
        <v>Dion + 3</v>
      </c>
      <c r="G47" s="319">
        <f>IFERROR(VLOOKUP(F47, Docenten!$A$2:$G$30, 7, FALSE), "0")</f>
        <v>34</v>
      </c>
      <c r="H47" s="320">
        <f t="shared" si="1"/>
        <v>34</v>
      </c>
      <c r="I47" s="327" t="str">
        <f>Rooster!H48</f>
        <v>Santpoort Noord</v>
      </c>
      <c r="J47" s="321">
        <f>IFERROR(VLOOKUP(I47, Locaties!$A$2:$G$15, 7, FALSE), "0")</f>
        <v>14.2</v>
      </c>
      <c r="K47" s="42">
        <f t="shared" si="2"/>
        <v>14.2</v>
      </c>
      <c r="L47" s="484">
        <f>Juni!L47</f>
        <v>10</v>
      </c>
      <c r="M47" s="474"/>
      <c r="N47" s="321" t="str">
        <f>IFERROR(VLOOKUP(M47, Tarieven!$A$1:$J$150, 10, FALSE), "0")</f>
        <v>0</v>
      </c>
      <c r="O47" s="473">
        <f>Juni!O47</f>
        <v>1</v>
      </c>
      <c r="P47" s="463"/>
      <c r="Q47" s="325" t="str">
        <f>IFERROR(VLOOKUP(P47, Tarieven!$A$2:$J$150, 10, FALSE), "0")</f>
        <v>0</v>
      </c>
      <c r="R47" s="138" t="str">
        <f>Juni!R47</f>
        <v/>
      </c>
      <c r="S47" s="459"/>
      <c r="T47" s="325" t="str">
        <f>IFERROR(VLOOKUP(S47, Tarieven!$A$2:$J$150, 10, FALSE), "0")</f>
        <v>0</v>
      </c>
      <c r="U47" s="77" t="str">
        <f>Juni!U47</f>
        <v/>
      </c>
      <c r="V47" s="327"/>
      <c r="W47" s="325" t="str">
        <f>IFERROR(VLOOKUP(V47, Tarieven!$A$2:$J$150, 10, FALSE), "0")</f>
        <v>0</v>
      </c>
      <c r="X47" s="138">
        <f>Juni!X47</f>
        <v>0</v>
      </c>
      <c r="Y47" s="398">
        <v>0.0</v>
      </c>
      <c r="Z47" s="329">
        <f t="shared" si="3"/>
        <v>11</v>
      </c>
      <c r="AA47" s="32">
        <f t="shared" si="4"/>
        <v>0</v>
      </c>
      <c r="AB47" s="32">
        <f t="shared" si="5"/>
        <v>0</v>
      </c>
      <c r="AC47" s="32">
        <f t="shared" si="6"/>
        <v>0</v>
      </c>
    </row>
    <row r="48" ht="22.5" customHeight="1">
      <c r="A48" s="331" t="str">
        <f>Rooster!A49</f>
        <v>Donderdag</v>
      </c>
      <c r="B48" s="396">
        <f>Rooster!B49</f>
        <v>0.7916666667</v>
      </c>
      <c r="C48" s="15">
        <f>Rooster!C49</f>
        <v>60</v>
      </c>
      <c r="D48" s="11" t="str">
        <f>Rooster!D49</f>
        <v>Turnen 12+</v>
      </c>
      <c r="E48" s="485"/>
      <c r="F48" s="327" t="str">
        <f>Rooster!E49</f>
        <v>Dion + 3</v>
      </c>
      <c r="G48" s="319">
        <f>IFERROR(VLOOKUP(F48, Docenten!$A$2:$G$30, 7, FALSE), "0")</f>
        <v>34</v>
      </c>
      <c r="H48" s="320">
        <f t="shared" si="1"/>
        <v>34</v>
      </c>
      <c r="I48" s="327" t="str">
        <f>Rooster!H49</f>
        <v>Santpoort Noord</v>
      </c>
      <c r="J48" s="321">
        <f>IFERROR(VLOOKUP(I48, Locaties!$A$2:$G$15, 7, FALSE), "0")</f>
        <v>14.2</v>
      </c>
      <c r="K48" s="42">
        <f t="shared" si="2"/>
        <v>14.2</v>
      </c>
      <c r="L48" s="464">
        <f>Juni!L48</f>
        <v>6</v>
      </c>
      <c r="M48" s="430"/>
      <c r="N48" s="321" t="str">
        <f>IFERROR(VLOOKUP(M48, Tarieven!$A$1:$J$150, 10, FALSE), "0")</f>
        <v>0</v>
      </c>
      <c r="O48" s="467">
        <f>Juni!O48</f>
        <v>2</v>
      </c>
      <c r="P48" s="430"/>
      <c r="Q48" s="325" t="str">
        <f>IFERROR(VLOOKUP(P48, Tarieven!$A$2:$J$150, 10, FALSE), "0")</f>
        <v>0</v>
      </c>
      <c r="R48" s="138" t="str">
        <f>Juni!R48</f>
        <v/>
      </c>
      <c r="S48" s="459"/>
      <c r="T48" s="325" t="str">
        <f>IFERROR(VLOOKUP(S48, Tarieven!$A$2:$J$150, 10, FALSE), "0")</f>
        <v>0</v>
      </c>
      <c r="U48" s="77" t="str">
        <f>Juni!U48</f>
        <v/>
      </c>
      <c r="V48" s="327"/>
      <c r="W48" s="325" t="str">
        <f>IFERROR(VLOOKUP(V48, Tarieven!$A$2:$J$150, 10, FALSE), "0")</f>
        <v>0</v>
      </c>
      <c r="X48" s="138">
        <f>Juni!X48</f>
        <v>0</v>
      </c>
      <c r="Y48" s="398">
        <v>0.0</v>
      </c>
      <c r="Z48" s="329">
        <f t="shared" si="3"/>
        <v>8</v>
      </c>
      <c r="AA48" s="32">
        <f t="shared" si="4"/>
        <v>0</v>
      </c>
      <c r="AB48" s="32">
        <f t="shared" si="5"/>
        <v>0</v>
      </c>
      <c r="AC48" s="32">
        <f t="shared" si="6"/>
        <v>0</v>
      </c>
    </row>
    <row r="49" ht="22.5" customHeight="1">
      <c r="A49" s="331" t="str">
        <f>Rooster!A50</f>
        <v/>
      </c>
      <c r="B49" s="396" t="str">
        <f>Rooster!B50</f>
        <v/>
      </c>
      <c r="C49" s="15" t="str">
        <f>Rooster!C50</f>
        <v/>
      </c>
      <c r="D49" s="11" t="str">
        <f>Rooster!D50</f>
        <v/>
      </c>
      <c r="E49" s="485"/>
      <c r="F49" s="327" t="str">
        <f>Rooster!E50</f>
        <v/>
      </c>
      <c r="G49" s="319" t="str">
        <f>IFERROR(VLOOKUP(F49, Docenten!$A$2:$G$30, 7, FALSE), "0")</f>
        <v>0</v>
      </c>
      <c r="H49" s="320">
        <f t="shared" si="1"/>
        <v>0</v>
      </c>
      <c r="I49" s="327" t="str">
        <f>Rooster!H50</f>
        <v/>
      </c>
      <c r="J49" s="321" t="str">
        <f>IFERROR(VLOOKUP(I49, Locaties!$A$2:$G$15, 7, FALSE), "0")</f>
        <v>0</v>
      </c>
      <c r="K49" s="42">
        <f t="shared" si="2"/>
        <v>0</v>
      </c>
      <c r="L49" s="484" t="str">
        <f>Juni!L49</f>
        <v/>
      </c>
      <c r="M49" s="474"/>
      <c r="N49" s="321" t="str">
        <f>IFERROR(VLOOKUP(M49, Tarieven!$A$1:$J$150, 10, FALSE), "0")</f>
        <v>0</v>
      </c>
      <c r="O49" s="473" t="str">
        <f>Juni!O49</f>
        <v/>
      </c>
      <c r="P49" s="463"/>
      <c r="Q49" s="325" t="str">
        <f>IFERROR(VLOOKUP(P49, Tarieven!$A$2:$J$150, 10, FALSE), "0")</f>
        <v>0</v>
      </c>
      <c r="R49" s="138" t="str">
        <f>Juni!R49</f>
        <v/>
      </c>
      <c r="S49" s="459"/>
      <c r="T49" s="325" t="str">
        <f>IFERROR(VLOOKUP(S49, Tarieven!$A$2:$J$150, 10, FALSE), "0")</f>
        <v>0</v>
      </c>
      <c r="U49" s="77" t="str">
        <f>Juni!U49</f>
        <v/>
      </c>
      <c r="V49" s="327"/>
      <c r="W49" s="325" t="str">
        <f>IFERROR(VLOOKUP(V49, Tarieven!$A$2:$J$150, 10, FALSE), "0")</f>
        <v>0</v>
      </c>
      <c r="X49" s="138">
        <f>Juni!X49</f>
        <v>0</v>
      </c>
      <c r="Y49" s="398">
        <v>0.0</v>
      </c>
      <c r="Z49" s="329">
        <f t="shared" si="3"/>
        <v>0</v>
      </c>
      <c r="AA49" s="32">
        <f t="shared" si="4"/>
        <v>0</v>
      </c>
      <c r="AB49" s="32">
        <f t="shared" si="5"/>
        <v>0</v>
      </c>
      <c r="AC49" s="32">
        <f t="shared" si="6"/>
        <v>0</v>
      </c>
    </row>
    <row r="50" ht="22.5" customHeight="1">
      <c r="A50" s="331" t="str">
        <f>Rooster!A51</f>
        <v/>
      </c>
      <c r="B50" s="396" t="str">
        <f>Rooster!B51</f>
        <v/>
      </c>
      <c r="C50" s="15" t="str">
        <f>Rooster!C51</f>
        <v/>
      </c>
      <c r="D50" s="11" t="str">
        <f>Rooster!D51</f>
        <v/>
      </c>
      <c r="E50" s="485"/>
      <c r="F50" s="327" t="str">
        <f>Rooster!E51</f>
        <v/>
      </c>
      <c r="G50" s="319" t="str">
        <f>IFERROR(VLOOKUP(F50, Docenten!$A$2:$G$30, 7, FALSE), "0")</f>
        <v>0</v>
      </c>
      <c r="H50" s="320">
        <f t="shared" si="1"/>
        <v>0</v>
      </c>
      <c r="I50" s="327" t="str">
        <f>Rooster!H51</f>
        <v/>
      </c>
      <c r="J50" s="321" t="str">
        <f>IFERROR(VLOOKUP(I50, Locaties!$A$2:$G$15, 7, FALSE), "0")</f>
        <v>0</v>
      </c>
      <c r="K50" s="42">
        <f t="shared" si="2"/>
        <v>0</v>
      </c>
      <c r="L50" s="464" t="str">
        <f>Juni!L50</f>
        <v/>
      </c>
      <c r="M50" s="430"/>
      <c r="N50" s="321" t="str">
        <f>IFERROR(VLOOKUP(M50, Tarieven!$A$1:$J$150, 10, FALSE), "0")</f>
        <v>0</v>
      </c>
      <c r="O50" s="467" t="str">
        <f>Juni!O50</f>
        <v/>
      </c>
      <c r="P50" s="430"/>
      <c r="Q50" s="325" t="str">
        <f>IFERROR(VLOOKUP(P50, Tarieven!$A$2:$J$150, 10, FALSE), "0")</f>
        <v>0</v>
      </c>
      <c r="R50" s="138" t="str">
        <f>Juni!R50</f>
        <v/>
      </c>
      <c r="S50" s="459"/>
      <c r="T50" s="325" t="str">
        <f>IFERROR(VLOOKUP(S50, Tarieven!$A$2:$J$150, 10, FALSE), "0")</f>
        <v>0</v>
      </c>
      <c r="U50" s="77" t="str">
        <f>Juni!U50</f>
        <v/>
      </c>
      <c r="V50" s="327"/>
      <c r="W50" s="325" t="str">
        <f>IFERROR(VLOOKUP(V50, Tarieven!$A$2:$J$150, 10, FALSE), "0")</f>
        <v>0</v>
      </c>
      <c r="X50" s="138">
        <f>Juni!X50</f>
        <v>0</v>
      </c>
      <c r="Y50" s="398">
        <v>0.0</v>
      </c>
      <c r="Z50" s="329">
        <f t="shared" si="3"/>
        <v>0</v>
      </c>
      <c r="AA50" s="32">
        <f t="shared" si="4"/>
        <v>0</v>
      </c>
      <c r="AB50" s="32">
        <f t="shared" si="5"/>
        <v>0</v>
      </c>
      <c r="AC50" s="32">
        <f t="shared" si="6"/>
        <v>0</v>
      </c>
    </row>
    <row r="51" ht="22.5" customHeight="1">
      <c r="A51" s="331" t="str">
        <f>Rooster!A52</f>
        <v/>
      </c>
      <c r="B51" s="396" t="str">
        <f>Rooster!B52</f>
        <v/>
      </c>
      <c r="C51" s="15" t="str">
        <f>Rooster!C52</f>
        <v/>
      </c>
      <c r="D51" s="11" t="str">
        <f>Rooster!D52</f>
        <v/>
      </c>
      <c r="E51" s="485"/>
      <c r="F51" s="327" t="str">
        <f>Rooster!E52</f>
        <v/>
      </c>
      <c r="G51" s="319" t="str">
        <f>IFERROR(VLOOKUP(F51, Docenten!$A$2:$G$30, 7, FALSE), "0")</f>
        <v>0</v>
      </c>
      <c r="H51" s="320">
        <f t="shared" si="1"/>
        <v>0</v>
      </c>
      <c r="I51" s="327" t="str">
        <f>Rooster!H52</f>
        <v/>
      </c>
      <c r="J51" s="321" t="str">
        <f>IFERROR(VLOOKUP(I51, Locaties!$A$2:$G$15, 7, FALSE), "0")</f>
        <v>0</v>
      </c>
      <c r="K51" s="42">
        <f t="shared" si="2"/>
        <v>0</v>
      </c>
      <c r="L51" s="484" t="str">
        <f>Juni!L51</f>
        <v/>
      </c>
      <c r="M51" s="474"/>
      <c r="N51" s="321" t="str">
        <f>IFERROR(VLOOKUP(M51, Tarieven!$A$1:$J$150, 10, FALSE), "0")</f>
        <v>0</v>
      </c>
      <c r="O51" s="473" t="str">
        <f>Juni!O51</f>
        <v/>
      </c>
      <c r="P51" s="463"/>
      <c r="Q51" s="325" t="str">
        <f>IFERROR(VLOOKUP(P51, Tarieven!$A$2:$J$150, 10, FALSE), "0")</f>
        <v>0</v>
      </c>
      <c r="R51" s="138" t="str">
        <f>Juni!R51</f>
        <v/>
      </c>
      <c r="S51" s="459"/>
      <c r="T51" s="325" t="str">
        <f>IFERROR(VLOOKUP(S51, Tarieven!$A$2:$J$150, 10, FALSE), "0")</f>
        <v>0</v>
      </c>
      <c r="U51" s="77" t="str">
        <f>Juni!U51</f>
        <v/>
      </c>
      <c r="V51" s="327"/>
      <c r="W51" s="325" t="str">
        <f>IFERROR(VLOOKUP(V51, Tarieven!$A$2:$J$150, 10, FALSE), "0")</f>
        <v>0</v>
      </c>
      <c r="X51" s="138">
        <f>Juni!X51</f>
        <v>0</v>
      </c>
      <c r="Y51" s="398">
        <v>0.0</v>
      </c>
      <c r="Z51" s="329">
        <f t="shared" si="3"/>
        <v>0</v>
      </c>
      <c r="AA51" s="32">
        <f t="shared" si="4"/>
        <v>0</v>
      </c>
      <c r="AB51" s="32">
        <f t="shared" si="5"/>
        <v>0</v>
      </c>
      <c r="AC51" s="32">
        <f t="shared" si="6"/>
        <v>0</v>
      </c>
    </row>
    <row r="52" ht="22.5" customHeight="1">
      <c r="A52" s="331" t="str">
        <f>Rooster!A53</f>
        <v/>
      </c>
      <c r="B52" s="396" t="str">
        <f>Rooster!B53</f>
        <v/>
      </c>
      <c r="C52" s="15" t="str">
        <f>Rooster!C53</f>
        <v/>
      </c>
      <c r="D52" s="11" t="str">
        <f>Rooster!D53</f>
        <v/>
      </c>
      <c r="E52" s="485"/>
      <c r="F52" s="327" t="str">
        <f>Rooster!E53</f>
        <v/>
      </c>
      <c r="G52" s="319" t="str">
        <f>IFERROR(VLOOKUP(F52, Docenten!$A$2:$G$30, 7, FALSE), "0")</f>
        <v>0</v>
      </c>
      <c r="H52" s="320">
        <f t="shared" si="1"/>
        <v>0</v>
      </c>
      <c r="I52" s="327" t="str">
        <f>Rooster!H53</f>
        <v/>
      </c>
      <c r="J52" s="321" t="str">
        <f>IFERROR(VLOOKUP(I52, Locaties!$A$2:$G$15, 7, FALSE), "0")</f>
        <v>0</v>
      </c>
      <c r="K52" s="42">
        <f t="shared" si="2"/>
        <v>0</v>
      </c>
      <c r="L52" s="464" t="str">
        <f>Juni!L52</f>
        <v/>
      </c>
      <c r="M52" s="430"/>
      <c r="N52" s="321" t="str">
        <f>IFERROR(VLOOKUP(M52, Tarieven!$A$1:$J$150, 10, FALSE), "0")</f>
        <v>0</v>
      </c>
      <c r="O52" s="467" t="str">
        <f>Juni!O52</f>
        <v/>
      </c>
      <c r="P52" s="430"/>
      <c r="Q52" s="325" t="str">
        <f>IFERROR(VLOOKUP(P52, Tarieven!$A$2:$J$150, 10, FALSE), "0")</f>
        <v>0</v>
      </c>
      <c r="R52" s="138" t="str">
        <f>Juni!R52</f>
        <v/>
      </c>
      <c r="S52" s="459"/>
      <c r="T52" s="325" t="str">
        <f>IFERROR(VLOOKUP(S52, Tarieven!$A$2:$J$150, 10, FALSE), "0")</f>
        <v>0</v>
      </c>
      <c r="U52" s="77" t="str">
        <f>Juni!U52</f>
        <v/>
      </c>
      <c r="V52" s="327"/>
      <c r="W52" s="325" t="str">
        <f>IFERROR(VLOOKUP(V52, Tarieven!$A$2:$J$150, 10, FALSE), "0")</f>
        <v>0</v>
      </c>
      <c r="X52" s="138">
        <f>Juni!X52</f>
        <v>0</v>
      </c>
      <c r="Y52" s="398">
        <v>0.0</v>
      </c>
      <c r="Z52" s="329">
        <f t="shared" si="3"/>
        <v>0</v>
      </c>
      <c r="AA52" s="32">
        <f t="shared" si="4"/>
        <v>0</v>
      </c>
      <c r="AB52" s="32">
        <f t="shared" si="5"/>
        <v>0</v>
      </c>
      <c r="AC52" s="32">
        <f t="shared" si="6"/>
        <v>0</v>
      </c>
    </row>
    <row r="53" ht="22.5" customHeight="1">
      <c r="A53" s="331" t="str">
        <f>Rooster!A54</f>
        <v/>
      </c>
      <c r="B53" s="396" t="str">
        <f>Rooster!B54</f>
        <v/>
      </c>
      <c r="C53" s="15" t="str">
        <f>Rooster!C54</f>
        <v/>
      </c>
      <c r="D53" s="11" t="str">
        <f>Rooster!D54</f>
        <v/>
      </c>
      <c r="E53" s="485"/>
      <c r="F53" s="327" t="str">
        <f>Rooster!E54</f>
        <v/>
      </c>
      <c r="G53" s="319" t="str">
        <f>IFERROR(VLOOKUP(F53, Docenten!$A$2:$G$30, 7, FALSE), "0")</f>
        <v>0</v>
      </c>
      <c r="H53" s="320">
        <f t="shared" si="1"/>
        <v>0</v>
      </c>
      <c r="I53" s="327" t="str">
        <f>Rooster!H54</f>
        <v/>
      </c>
      <c r="J53" s="321" t="str">
        <f>IFERROR(VLOOKUP(I53, Locaties!$A$2:$G$15, 7, FALSE), "0")</f>
        <v>0</v>
      </c>
      <c r="K53" s="42">
        <f t="shared" si="2"/>
        <v>0</v>
      </c>
      <c r="L53" s="484" t="str">
        <f>Juni!L53</f>
        <v/>
      </c>
      <c r="M53" s="474"/>
      <c r="N53" s="321" t="str">
        <f>IFERROR(VLOOKUP(M53, Tarieven!$A$1:$J$150, 10, FALSE), "0")</f>
        <v>0</v>
      </c>
      <c r="O53" s="473" t="str">
        <f>Juni!O53</f>
        <v/>
      </c>
      <c r="P53" s="463"/>
      <c r="Q53" s="325" t="str">
        <f>IFERROR(VLOOKUP(P53, Tarieven!$A$2:$J$150, 10, FALSE), "0")</f>
        <v>0</v>
      </c>
      <c r="R53" s="138" t="str">
        <f>Juni!R53</f>
        <v/>
      </c>
      <c r="S53" s="459"/>
      <c r="T53" s="325" t="str">
        <f>IFERROR(VLOOKUP(S53, Tarieven!$A$2:$J$150, 10, FALSE), "0")</f>
        <v>0</v>
      </c>
      <c r="U53" s="77" t="str">
        <f>Juni!U53</f>
        <v/>
      </c>
      <c r="V53" s="327" t="str">
        <f>Juni!V53</f>
        <v/>
      </c>
      <c r="W53" s="325" t="str">
        <f>IFERROR(VLOOKUP(V53, Tarieven!$A$2:$J$150, 10, FALSE), "0")</f>
        <v>0</v>
      </c>
      <c r="X53" s="138">
        <f>Juni!X53</f>
        <v>0</v>
      </c>
      <c r="Y53" s="398">
        <v>0.0</v>
      </c>
      <c r="Z53" s="329">
        <f t="shared" si="3"/>
        <v>0</v>
      </c>
      <c r="AA53" s="32">
        <f t="shared" si="4"/>
        <v>0</v>
      </c>
      <c r="AB53" s="32">
        <f t="shared" si="5"/>
        <v>0</v>
      </c>
      <c r="AC53" s="32">
        <f t="shared" si="6"/>
        <v>0</v>
      </c>
    </row>
    <row r="54" ht="22.5" customHeight="1">
      <c r="A54" s="331" t="str">
        <f>Rooster!A55</f>
        <v/>
      </c>
      <c r="B54" s="396" t="str">
        <f>Rooster!B55</f>
        <v/>
      </c>
      <c r="C54" s="15" t="str">
        <f>Rooster!C55</f>
        <v/>
      </c>
      <c r="D54" s="11" t="str">
        <f>Rooster!D55</f>
        <v/>
      </c>
      <c r="E54" s="485"/>
      <c r="F54" s="327" t="str">
        <f>Rooster!E55</f>
        <v/>
      </c>
      <c r="G54" s="319" t="str">
        <f>IFERROR(VLOOKUP(F54, Docenten!$A$2:$G$30, 7, FALSE), "0")</f>
        <v>0</v>
      </c>
      <c r="H54" s="320">
        <f t="shared" si="1"/>
        <v>0</v>
      </c>
      <c r="I54" s="327" t="str">
        <f>Rooster!H55</f>
        <v/>
      </c>
      <c r="J54" s="321" t="str">
        <f>IFERROR(VLOOKUP(I54, Locaties!$A$2:$G$15, 7, FALSE), "0")</f>
        <v>0</v>
      </c>
      <c r="K54" s="42">
        <f t="shared" si="2"/>
        <v>0</v>
      </c>
      <c r="L54" s="464" t="str">
        <f>Juni!L54</f>
        <v/>
      </c>
      <c r="M54" s="430"/>
      <c r="N54" s="321" t="str">
        <f>IFERROR(VLOOKUP(M54, Tarieven!$A$1:$J$150, 10, FALSE), "0")</f>
        <v>0</v>
      </c>
      <c r="O54" s="467" t="str">
        <f>Juni!O54</f>
        <v/>
      </c>
      <c r="P54" s="430"/>
      <c r="Q54" s="325" t="str">
        <f>IFERROR(VLOOKUP(P54, Tarieven!$A$2:$J$150, 10, FALSE), "0")</f>
        <v>0</v>
      </c>
      <c r="R54" s="138" t="str">
        <f>Juni!R54</f>
        <v/>
      </c>
      <c r="S54" s="459"/>
      <c r="T54" s="325" t="str">
        <f>IFERROR(VLOOKUP(S54, Tarieven!$A$2:$J$150, 10, FALSE), "0")</f>
        <v>0</v>
      </c>
      <c r="U54" s="77" t="str">
        <f>Juni!U54</f>
        <v/>
      </c>
      <c r="V54" s="327" t="str">
        <f>Juni!V54</f>
        <v/>
      </c>
      <c r="W54" s="325" t="str">
        <f>IFERROR(VLOOKUP(V54, Tarieven!$A$2:$J$150, 10, FALSE), "0")</f>
        <v>0</v>
      </c>
      <c r="X54" s="138">
        <f>Juni!X54</f>
        <v>0</v>
      </c>
      <c r="Y54" s="398">
        <v>0.0</v>
      </c>
      <c r="Z54" s="329">
        <f t="shared" si="3"/>
        <v>0</v>
      </c>
      <c r="AA54" s="32">
        <f t="shared" si="4"/>
        <v>0</v>
      </c>
      <c r="AB54" s="32">
        <f t="shared" si="5"/>
        <v>0</v>
      </c>
      <c r="AC54" s="32">
        <f t="shared" si="6"/>
        <v>0</v>
      </c>
    </row>
    <row r="55" ht="22.5" customHeight="1">
      <c r="A55" s="331" t="str">
        <f>Rooster!A56</f>
        <v/>
      </c>
      <c r="B55" s="396" t="str">
        <f>Rooster!B56</f>
        <v/>
      </c>
      <c r="C55" s="15" t="str">
        <f>Rooster!C56</f>
        <v/>
      </c>
      <c r="D55" s="11" t="str">
        <f>Rooster!D56</f>
        <v/>
      </c>
      <c r="E55" s="485"/>
      <c r="F55" s="327" t="str">
        <f>Rooster!E56</f>
        <v/>
      </c>
      <c r="G55" s="319" t="str">
        <f>IFERROR(VLOOKUP(F55, Docenten!$A$2:$G$30, 7, FALSE), "0")</f>
        <v>0</v>
      </c>
      <c r="H55" s="320">
        <f t="shared" si="1"/>
        <v>0</v>
      </c>
      <c r="I55" s="327" t="str">
        <f>Rooster!H56</f>
        <v/>
      </c>
      <c r="J55" s="321" t="str">
        <f>IFERROR(VLOOKUP(I55, Locaties!$A$2:$G$15, 7, FALSE), "0")</f>
        <v>0</v>
      </c>
      <c r="K55" s="42">
        <f t="shared" si="2"/>
        <v>0</v>
      </c>
      <c r="L55" s="484" t="str">
        <f>Juni!L55</f>
        <v/>
      </c>
      <c r="M55" s="474"/>
      <c r="N55" s="321" t="str">
        <f>IFERROR(VLOOKUP(M55, Tarieven!$A$1:$J$150, 10, FALSE), "0")</f>
        <v>0</v>
      </c>
      <c r="O55" s="473" t="str">
        <f>Juni!O55</f>
        <v/>
      </c>
      <c r="P55" s="463"/>
      <c r="Q55" s="325" t="str">
        <f>IFERROR(VLOOKUP(P55, Tarieven!$A$2:$J$150, 10, FALSE), "0")</f>
        <v>0</v>
      </c>
      <c r="R55" s="138" t="str">
        <f>Juni!R55</f>
        <v/>
      </c>
      <c r="S55" s="459"/>
      <c r="T55" s="325" t="str">
        <f>IFERROR(VLOOKUP(S55, Tarieven!$A$2:$J$150, 10, FALSE), "0")</f>
        <v>0</v>
      </c>
      <c r="U55" s="77" t="str">
        <f>Juni!U55</f>
        <v/>
      </c>
      <c r="V55" s="327" t="str">
        <f>Juni!V55</f>
        <v/>
      </c>
      <c r="W55" s="325" t="str">
        <f>IFERROR(VLOOKUP(V55, Tarieven!$A$2:$J$150, 10, FALSE), "0")</f>
        <v>0</v>
      </c>
      <c r="X55" s="138">
        <f>Juni!X55</f>
        <v>0</v>
      </c>
      <c r="Y55" s="398">
        <v>0.0</v>
      </c>
      <c r="Z55" s="329">
        <f t="shared" si="3"/>
        <v>0</v>
      </c>
      <c r="AA55" s="32">
        <f t="shared" si="4"/>
        <v>0</v>
      </c>
      <c r="AB55" s="32">
        <f t="shared" si="5"/>
        <v>0</v>
      </c>
      <c r="AC55" s="32">
        <f t="shared" si="6"/>
        <v>0</v>
      </c>
    </row>
    <row r="56" ht="22.5" customHeight="1">
      <c r="A56" s="331" t="str">
        <f>Rooster!A57</f>
        <v/>
      </c>
      <c r="B56" s="396" t="str">
        <f>Rooster!B57</f>
        <v/>
      </c>
      <c r="C56" s="15" t="str">
        <f>Rooster!C57</f>
        <v/>
      </c>
      <c r="D56" s="11" t="str">
        <f>Rooster!D57</f>
        <v/>
      </c>
      <c r="E56" s="485"/>
      <c r="F56" s="327" t="str">
        <f>Rooster!E57</f>
        <v/>
      </c>
      <c r="G56" s="319" t="str">
        <f>IFERROR(VLOOKUP(F56, Docenten!$A$2:$G$30, 7, FALSE), "0")</f>
        <v>0</v>
      </c>
      <c r="H56" s="320">
        <f t="shared" si="1"/>
        <v>0</v>
      </c>
      <c r="I56" s="327" t="str">
        <f>Rooster!H57</f>
        <v/>
      </c>
      <c r="J56" s="321" t="str">
        <f>IFERROR(VLOOKUP(I56, Locaties!$A$2:$G$15, 7, FALSE), "0")</f>
        <v>0</v>
      </c>
      <c r="K56" s="42">
        <f t="shared" si="2"/>
        <v>0</v>
      </c>
      <c r="L56" s="464" t="str">
        <f>Juni!L56</f>
        <v/>
      </c>
      <c r="M56" s="430"/>
      <c r="N56" s="321" t="str">
        <f>IFERROR(VLOOKUP(M56, Tarieven!$A$1:$J$150, 10, FALSE), "0")</f>
        <v>0</v>
      </c>
      <c r="O56" s="467" t="str">
        <f>Juni!O56</f>
        <v/>
      </c>
      <c r="P56" s="430"/>
      <c r="Q56" s="325" t="str">
        <f>IFERROR(VLOOKUP(P56, Tarieven!$A$2:$J$150, 10, FALSE), "0")</f>
        <v>0</v>
      </c>
      <c r="R56" s="138" t="str">
        <f>Juni!R56</f>
        <v/>
      </c>
      <c r="S56" s="459"/>
      <c r="T56" s="325" t="str">
        <f>IFERROR(VLOOKUP(S56, Tarieven!$A$2:$J$150, 10, FALSE), "0")</f>
        <v>0</v>
      </c>
      <c r="U56" s="77" t="str">
        <f>Juni!U56</f>
        <v/>
      </c>
      <c r="V56" s="327" t="str">
        <f>Juni!V56</f>
        <v/>
      </c>
      <c r="W56" s="325" t="str">
        <f>IFERROR(VLOOKUP(V56, Tarieven!$A$2:$J$150, 10, FALSE), "0")</f>
        <v>0</v>
      </c>
      <c r="X56" s="138">
        <f>Juni!X56</f>
        <v>0</v>
      </c>
      <c r="Y56" s="398">
        <v>0.0</v>
      </c>
      <c r="Z56" s="329">
        <f t="shared" si="3"/>
        <v>0</v>
      </c>
      <c r="AA56" s="32">
        <f t="shared" si="4"/>
        <v>0</v>
      </c>
      <c r="AB56" s="32">
        <f t="shared" si="5"/>
        <v>0</v>
      </c>
      <c r="AC56" s="32">
        <f t="shared" si="6"/>
        <v>0</v>
      </c>
    </row>
    <row r="57" ht="22.5" customHeight="1">
      <c r="A57" s="331" t="str">
        <f>Rooster!A58</f>
        <v/>
      </c>
      <c r="B57" s="396" t="str">
        <f>Rooster!B58</f>
        <v/>
      </c>
      <c r="C57" s="15" t="str">
        <f>Rooster!C58</f>
        <v/>
      </c>
      <c r="D57" s="11" t="str">
        <f>Rooster!D58</f>
        <v/>
      </c>
      <c r="E57" s="485"/>
      <c r="F57" s="327" t="str">
        <f>Rooster!E58</f>
        <v/>
      </c>
      <c r="G57" s="319" t="str">
        <f>IFERROR(VLOOKUP(F57, Docenten!$A$2:$G$30, 7, FALSE), "0")</f>
        <v>0</v>
      </c>
      <c r="H57" s="320">
        <f t="shared" si="1"/>
        <v>0</v>
      </c>
      <c r="I57" s="327" t="str">
        <f>Rooster!H58</f>
        <v/>
      </c>
      <c r="J57" s="321" t="str">
        <f>IFERROR(VLOOKUP(I57, Locaties!$A$2:$G$15, 7, FALSE), "0")</f>
        <v>0</v>
      </c>
      <c r="K57" s="42">
        <f t="shared" si="2"/>
        <v>0</v>
      </c>
      <c r="L57" s="484" t="str">
        <f>Juni!L57</f>
        <v/>
      </c>
      <c r="M57" s="474"/>
      <c r="N57" s="321" t="str">
        <f>IFERROR(VLOOKUP(M57, Tarieven!$A$1:$J$150, 10, FALSE), "0")</f>
        <v>0</v>
      </c>
      <c r="O57" s="473" t="str">
        <f>Juni!O57</f>
        <v/>
      </c>
      <c r="P57" s="463"/>
      <c r="Q57" s="325" t="str">
        <f>IFERROR(VLOOKUP(P57, Tarieven!$A$2:$J$150, 10, FALSE), "0")</f>
        <v>0</v>
      </c>
      <c r="R57" s="138" t="str">
        <f>Juni!R57</f>
        <v/>
      </c>
      <c r="S57" s="459"/>
      <c r="T57" s="325" t="str">
        <f>IFERROR(VLOOKUP(S57, Tarieven!$A$2:$J$150, 10, FALSE), "0")</f>
        <v>0</v>
      </c>
      <c r="U57" s="77" t="str">
        <f>Juni!U57</f>
        <v/>
      </c>
      <c r="V57" s="327" t="str">
        <f>Juni!V57</f>
        <v/>
      </c>
      <c r="W57" s="325" t="str">
        <f>IFERROR(VLOOKUP(V57, Tarieven!$A$2:$J$150, 10, FALSE), "0")</f>
        <v>0</v>
      </c>
      <c r="X57" s="138">
        <f>Juni!X57</f>
        <v>0</v>
      </c>
      <c r="Y57" s="398">
        <v>0.0</v>
      </c>
      <c r="Z57" s="329">
        <f t="shared" si="3"/>
        <v>0</v>
      </c>
      <c r="AA57" s="32">
        <f t="shared" si="4"/>
        <v>0</v>
      </c>
      <c r="AB57" s="32">
        <f t="shared" si="5"/>
        <v>0</v>
      </c>
      <c r="AC57" s="32">
        <f t="shared" si="6"/>
        <v>0</v>
      </c>
    </row>
    <row r="58" ht="22.5" customHeight="1">
      <c r="A58" s="331" t="str">
        <f>Rooster!A59</f>
        <v/>
      </c>
      <c r="B58" s="396" t="str">
        <f>Rooster!B59</f>
        <v/>
      </c>
      <c r="C58" s="15" t="str">
        <f>Rooster!C59</f>
        <v/>
      </c>
      <c r="D58" s="11" t="str">
        <f>Rooster!D59</f>
        <v/>
      </c>
      <c r="E58" s="485"/>
      <c r="F58" s="327" t="str">
        <f>Rooster!E59</f>
        <v/>
      </c>
      <c r="G58" s="319" t="str">
        <f>IFERROR(VLOOKUP(F58, Docenten!$A$2:$G$30, 7, FALSE), "0")</f>
        <v>0</v>
      </c>
      <c r="H58" s="320">
        <f t="shared" si="1"/>
        <v>0</v>
      </c>
      <c r="I58" s="327" t="str">
        <f>Rooster!H59</f>
        <v/>
      </c>
      <c r="J58" s="321" t="str">
        <f>IFERROR(VLOOKUP(I58, Locaties!$A$2:$G$15, 7, FALSE), "0")</f>
        <v>0</v>
      </c>
      <c r="K58" s="42">
        <f t="shared" si="2"/>
        <v>0</v>
      </c>
      <c r="L58" s="464" t="str">
        <f>Juni!L58</f>
        <v/>
      </c>
      <c r="M58" s="430"/>
      <c r="N58" s="321" t="str">
        <f>IFERROR(VLOOKUP(M58, Tarieven!$A$1:$J$150, 10, FALSE), "0")</f>
        <v>0</v>
      </c>
      <c r="O58" s="467" t="str">
        <f>Juni!O58</f>
        <v/>
      </c>
      <c r="P58" s="430"/>
      <c r="Q58" s="325" t="str">
        <f>IFERROR(VLOOKUP(P58, Tarieven!$A$2:$J$150, 10, FALSE), "0")</f>
        <v>0</v>
      </c>
      <c r="R58" s="138" t="str">
        <f>Juni!R58</f>
        <v/>
      </c>
      <c r="S58" s="459"/>
      <c r="T58" s="325" t="str">
        <f>IFERROR(VLOOKUP(S58, Tarieven!$A$2:$J$150, 10, FALSE), "0")</f>
        <v>0</v>
      </c>
      <c r="U58" s="77" t="str">
        <f>Juni!U58</f>
        <v/>
      </c>
      <c r="V58" s="327" t="str">
        <f>Juni!V58</f>
        <v/>
      </c>
      <c r="W58" s="325" t="str">
        <f>IFERROR(VLOOKUP(V58, Tarieven!$A$2:$J$150, 10, FALSE), "0")</f>
        <v>0</v>
      </c>
      <c r="X58" s="138">
        <f>Juni!X58</f>
        <v>0</v>
      </c>
      <c r="Y58" s="398">
        <v>0.0</v>
      </c>
      <c r="Z58" s="329">
        <f t="shared" si="3"/>
        <v>0</v>
      </c>
      <c r="AA58" s="32">
        <f t="shared" si="4"/>
        <v>0</v>
      </c>
      <c r="AB58" s="32">
        <f t="shared" si="5"/>
        <v>0</v>
      </c>
      <c r="AC58" s="32">
        <f t="shared" si="6"/>
        <v>0</v>
      </c>
    </row>
    <row r="59" ht="22.5" customHeight="1">
      <c r="A59" s="331" t="str">
        <f>Rooster!A60</f>
        <v/>
      </c>
      <c r="B59" s="396" t="str">
        <f>Rooster!B60</f>
        <v/>
      </c>
      <c r="C59" s="15" t="str">
        <f>Rooster!C60</f>
        <v/>
      </c>
      <c r="D59" s="11" t="str">
        <f>Rooster!D60</f>
        <v/>
      </c>
      <c r="E59" s="485"/>
      <c r="F59" s="327" t="str">
        <f>Rooster!E60</f>
        <v/>
      </c>
      <c r="G59" s="319" t="str">
        <f>IFERROR(VLOOKUP(F59, Docenten!$A$2:$G$30, 7, FALSE), "0")</f>
        <v>0</v>
      </c>
      <c r="H59" s="320">
        <f t="shared" si="1"/>
        <v>0</v>
      </c>
      <c r="I59" s="327" t="str">
        <f>Rooster!H60</f>
        <v/>
      </c>
      <c r="J59" s="321" t="str">
        <f>IFERROR(VLOOKUP(I59, Locaties!$A$2:$G$15, 7, FALSE), "0")</f>
        <v>0</v>
      </c>
      <c r="K59" s="42">
        <f t="shared" si="2"/>
        <v>0</v>
      </c>
      <c r="L59" s="484" t="str">
        <f>Juni!L59</f>
        <v/>
      </c>
      <c r="M59" s="474"/>
      <c r="N59" s="321" t="str">
        <f>IFERROR(VLOOKUP(M59, Tarieven!$A$1:$J$150, 10, FALSE), "0")</f>
        <v>0</v>
      </c>
      <c r="O59" s="473" t="str">
        <f>Juni!O59</f>
        <v/>
      </c>
      <c r="P59" s="463"/>
      <c r="Q59" s="325" t="str">
        <f>IFERROR(VLOOKUP(P59, Tarieven!$A$2:$J$150, 10, FALSE), "0")</f>
        <v>0</v>
      </c>
      <c r="R59" s="138" t="str">
        <f>Juni!R59</f>
        <v/>
      </c>
      <c r="S59" s="459"/>
      <c r="T59" s="325" t="str">
        <f>IFERROR(VLOOKUP(S59, Tarieven!$A$2:$J$150, 10, FALSE), "0")</f>
        <v>0</v>
      </c>
      <c r="U59" s="77" t="str">
        <f>Juni!U59</f>
        <v/>
      </c>
      <c r="V59" s="327" t="str">
        <f>Juni!V59</f>
        <v/>
      </c>
      <c r="W59" s="325" t="str">
        <f>IFERROR(VLOOKUP(V59, Tarieven!$A$2:$J$150, 10, FALSE), "0")</f>
        <v>0</v>
      </c>
      <c r="X59" s="138">
        <f>Juni!X59</f>
        <v>0</v>
      </c>
      <c r="Y59" s="398">
        <v>0.0</v>
      </c>
      <c r="Z59" s="329">
        <f t="shared" si="3"/>
        <v>0</v>
      </c>
      <c r="AA59" s="32">
        <f t="shared" si="4"/>
        <v>0</v>
      </c>
      <c r="AB59" s="32">
        <f t="shared" si="5"/>
        <v>0</v>
      </c>
      <c r="AC59" s="32">
        <f t="shared" si="6"/>
        <v>0</v>
      </c>
    </row>
    <row r="60" ht="22.5" customHeight="1">
      <c r="A60" s="331" t="str">
        <f>Rooster!A61</f>
        <v/>
      </c>
      <c r="B60" s="396" t="str">
        <f>Rooster!B61</f>
        <v/>
      </c>
      <c r="C60" s="15" t="str">
        <f>Rooster!C61</f>
        <v/>
      </c>
      <c r="D60" s="11" t="str">
        <f>Rooster!D61</f>
        <v/>
      </c>
      <c r="E60" s="485"/>
      <c r="F60" s="327" t="str">
        <f>Rooster!E61</f>
        <v/>
      </c>
      <c r="G60" s="319" t="str">
        <f>IFERROR(VLOOKUP(F60, Docenten!$A$2:$G$30, 7, FALSE), "0")</f>
        <v>0</v>
      </c>
      <c r="H60" s="320">
        <f t="shared" si="1"/>
        <v>0</v>
      </c>
      <c r="I60" s="327" t="str">
        <f>Rooster!H61</f>
        <v/>
      </c>
      <c r="J60" s="321" t="str">
        <f>IFERROR(VLOOKUP(I60, Locaties!$A$2:$G$15, 7, FALSE), "0")</f>
        <v>0</v>
      </c>
      <c r="K60" s="42">
        <f t="shared" si="2"/>
        <v>0</v>
      </c>
      <c r="L60" s="464" t="str">
        <f>Juni!L60</f>
        <v/>
      </c>
      <c r="M60" s="430"/>
      <c r="N60" s="321" t="str">
        <f>IFERROR(VLOOKUP(M60, Tarieven!$A$1:$J$150, 10, FALSE), "0")</f>
        <v>0</v>
      </c>
      <c r="O60" s="467" t="str">
        <f>Juni!O60</f>
        <v/>
      </c>
      <c r="P60" s="430"/>
      <c r="Q60" s="325" t="str">
        <f>IFERROR(VLOOKUP(P60, Tarieven!$A$2:$J$150, 10, FALSE), "0")</f>
        <v>0</v>
      </c>
      <c r="R60" s="138" t="str">
        <f>Juni!R60</f>
        <v/>
      </c>
      <c r="S60" s="459"/>
      <c r="T60" s="325" t="str">
        <f>IFERROR(VLOOKUP(S60, Tarieven!$A$2:$J$150, 10, FALSE), "0")</f>
        <v>0</v>
      </c>
      <c r="U60" s="77" t="str">
        <f>Juni!U60</f>
        <v/>
      </c>
      <c r="V60" s="327" t="str">
        <f>Juni!V60</f>
        <v/>
      </c>
      <c r="W60" s="325" t="str">
        <f>IFERROR(VLOOKUP(V60, Tarieven!$A$2:$J$150, 10, FALSE), "0")</f>
        <v>0</v>
      </c>
      <c r="X60" s="138">
        <f>Juni!X60</f>
        <v>0</v>
      </c>
      <c r="Y60" s="398">
        <v>0.0</v>
      </c>
      <c r="Z60" s="329">
        <f t="shared" si="3"/>
        <v>0</v>
      </c>
      <c r="AA60" s="32">
        <f t="shared" si="4"/>
        <v>0</v>
      </c>
      <c r="AB60" s="32">
        <f t="shared" si="5"/>
        <v>0</v>
      </c>
      <c r="AC60" s="32">
        <f t="shared" si="6"/>
        <v>0</v>
      </c>
    </row>
    <row r="61" ht="22.5" customHeight="1">
      <c r="A61" s="331" t="str">
        <f>Rooster!A62</f>
        <v/>
      </c>
      <c r="B61" s="396" t="str">
        <f>Rooster!B62</f>
        <v/>
      </c>
      <c r="C61" s="15" t="str">
        <f>Rooster!C62</f>
        <v/>
      </c>
      <c r="D61" s="11" t="str">
        <f>Rooster!D62</f>
        <v/>
      </c>
      <c r="E61" s="485"/>
      <c r="F61" s="327" t="str">
        <f>Rooster!E62</f>
        <v/>
      </c>
      <c r="G61" s="319" t="str">
        <f>IFERROR(VLOOKUP(F61, Docenten!$A$2:$G$30, 7, FALSE), "0")</f>
        <v>0</v>
      </c>
      <c r="H61" s="320">
        <f t="shared" si="1"/>
        <v>0</v>
      </c>
      <c r="I61" s="327" t="str">
        <f>Rooster!H62</f>
        <v/>
      </c>
      <c r="J61" s="321" t="str">
        <f>IFERROR(VLOOKUP(I61, Locaties!$A$2:$G$15, 7, FALSE), "0")</f>
        <v>0</v>
      </c>
      <c r="K61" s="42">
        <f t="shared" si="2"/>
        <v>0</v>
      </c>
      <c r="L61" s="484" t="str">
        <f>Juni!L61</f>
        <v/>
      </c>
      <c r="M61" s="474"/>
      <c r="N61" s="321" t="str">
        <f>IFERROR(VLOOKUP(M61, Tarieven!$A$1:$J$150, 10, FALSE), "0")</f>
        <v>0</v>
      </c>
      <c r="O61" s="473" t="str">
        <f>Juni!O61</f>
        <v/>
      </c>
      <c r="P61" s="463"/>
      <c r="Q61" s="325" t="str">
        <f>IFERROR(VLOOKUP(P61, Tarieven!$A$2:$J$150, 10, FALSE), "0")</f>
        <v>0</v>
      </c>
      <c r="R61" s="138" t="str">
        <f>Juni!R61</f>
        <v/>
      </c>
      <c r="S61" s="459"/>
      <c r="T61" s="325" t="str">
        <f>IFERROR(VLOOKUP(S61, Tarieven!$A$2:$J$150, 10, FALSE), "0")</f>
        <v>0</v>
      </c>
      <c r="U61" s="77" t="str">
        <f>Juni!U61</f>
        <v/>
      </c>
      <c r="V61" s="327" t="str">
        <f>Juni!V61</f>
        <v/>
      </c>
      <c r="W61" s="325" t="str">
        <f>IFERROR(VLOOKUP(V61, Tarieven!$A$2:$J$150, 10, FALSE), "0")</f>
        <v>0</v>
      </c>
      <c r="X61" s="138">
        <f>Juni!X61</f>
        <v>0</v>
      </c>
      <c r="Y61" s="398">
        <v>0.0</v>
      </c>
      <c r="Z61" s="329">
        <f t="shared" si="3"/>
        <v>0</v>
      </c>
      <c r="AA61" s="32">
        <f t="shared" si="4"/>
        <v>0</v>
      </c>
      <c r="AB61" s="32">
        <f t="shared" si="5"/>
        <v>0</v>
      </c>
      <c r="AC61" s="32">
        <f t="shared" si="6"/>
        <v>0</v>
      </c>
    </row>
    <row r="62" ht="22.5" customHeight="1">
      <c r="A62" s="331" t="str">
        <f>Rooster!A63</f>
        <v/>
      </c>
      <c r="B62" s="396" t="str">
        <f>Rooster!B63</f>
        <v/>
      </c>
      <c r="C62" s="15" t="str">
        <f>Rooster!C63</f>
        <v/>
      </c>
      <c r="D62" s="11" t="str">
        <f>Rooster!D63</f>
        <v/>
      </c>
      <c r="E62" s="485"/>
      <c r="F62" s="327" t="str">
        <f>Rooster!E63</f>
        <v/>
      </c>
      <c r="G62" s="319" t="str">
        <f>IFERROR(VLOOKUP(F62, Docenten!$A$2:$G$30, 7, FALSE), "0")</f>
        <v>0</v>
      </c>
      <c r="H62" s="320">
        <f t="shared" si="1"/>
        <v>0</v>
      </c>
      <c r="I62" s="327" t="str">
        <f>Rooster!H63</f>
        <v/>
      </c>
      <c r="J62" s="321" t="str">
        <f>IFERROR(VLOOKUP(I62, Locaties!$A$2:$G$15, 7, FALSE), "0")</f>
        <v>0</v>
      </c>
      <c r="K62" s="42">
        <f t="shared" si="2"/>
        <v>0</v>
      </c>
      <c r="L62" s="464" t="str">
        <f>Juni!L62</f>
        <v/>
      </c>
      <c r="M62" s="430"/>
      <c r="N62" s="321" t="str">
        <f>IFERROR(VLOOKUP(M62, Tarieven!$A$1:$J$150, 10, FALSE), "0")</f>
        <v>0</v>
      </c>
      <c r="O62" s="467" t="str">
        <f>Juni!O62</f>
        <v/>
      </c>
      <c r="P62" s="430"/>
      <c r="Q62" s="325" t="str">
        <f>IFERROR(VLOOKUP(P62, Tarieven!$A$2:$J$150, 10, FALSE), "0")</f>
        <v>0</v>
      </c>
      <c r="R62" s="138" t="str">
        <f>Juni!R62</f>
        <v/>
      </c>
      <c r="S62" s="459"/>
      <c r="T62" s="325" t="str">
        <f>IFERROR(VLOOKUP(S62, Tarieven!$A$2:$J$150, 10, FALSE), "0")</f>
        <v>0</v>
      </c>
      <c r="U62" s="77" t="str">
        <f>Juni!U62</f>
        <v/>
      </c>
      <c r="V62" s="327" t="str">
        <f>Juni!V62</f>
        <v/>
      </c>
      <c r="W62" s="325" t="str">
        <f>IFERROR(VLOOKUP(V62, Tarieven!$A$2:$J$150, 10, FALSE), "0")</f>
        <v>0</v>
      </c>
      <c r="X62" s="138">
        <f>Juni!X62</f>
        <v>0</v>
      </c>
      <c r="Y62" s="398">
        <v>0.0</v>
      </c>
      <c r="Z62" s="329">
        <f t="shared" si="3"/>
        <v>0</v>
      </c>
      <c r="AA62" s="32">
        <f t="shared" si="4"/>
        <v>0</v>
      </c>
      <c r="AB62" s="32">
        <f t="shared" si="5"/>
        <v>0</v>
      </c>
      <c r="AC62" s="32">
        <f t="shared" si="6"/>
        <v>0</v>
      </c>
    </row>
    <row r="63" ht="22.5" customHeight="1">
      <c r="A63" s="331" t="str">
        <f>Rooster!A64</f>
        <v/>
      </c>
      <c r="B63" s="396" t="str">
        <f>Rooster!B64</f>
        <v/>
      </c>
      <c r="C63" s="15" t="str">
        <f>Rooster!C64</f>
        <v/>
      </c>
      <c r="D63" s="11" t="str">
        <f>Rooster!D64</f>
        <v/>
      </c>
      <c r="E63" s="485"/>
      <c r="F63" s="327" t="str">
        <f>Rooster!E64</f>
        <v/>
      </c>
      <c r="G63" s="319" t="str">
        <f>IFERROR(VLOOKUP(F63, Docenten!$A$2:$G$30, 7, FALSE), "0")</f>
        <v>0</v>
      </c>
      <c r="H63" s="320">
        <f t="shared" si="1"/>
        <v>0</v>
      </c>
      <c r="I63" s="327" t="str">
        <f>Rooster!H64</f>
        <v/>
      </c>
      <c r="J63" s="321" t="str">
        <f>IFERROR(VLOOKUP(I63, Locaties!$A$2:$G$15, 7, FALSE), "0")</f>
        <v>0</v>
      </c>
      <c r="K63" s="42">
        <f t="shared" si="2"/>
        <v>0</v>
      </c>
      <c r="L63" s="484" t="str">
        <f>Juni!L63</f>
        <v/>
      </c>
      <c r="M63" s="474"/>
      <c r="N63" s="321" t="str">
        <f>IFERROR(VLOOKUP(M63, Tarieven!$A$1:$J$150, 10, FALSE), "0")</f>
        <v>0</v>
      </c>
      <c r="O63" s="473" t="str">
        <f>Juni!O63</f>
        <v/>
      </c>
      <c r="P63" s="463"/>
      <c r="Q63" s="325" t="str">
        <f>IFERROR(VLOOKUP(P63, Tarieven!$A$2:$J$150, 10, FALSE), "0")</f>
        <v>0</v>
      </c>
      <c r="R63" s="138" t="str">
        <f>Juni!R63</f>
        <v/>
      </c>
      <c r="S63" s="459"/>
      <c r="T63" s="325" t="str">
        <f>IFERROR(VLOOKUP(S63, Tarieven!$A$2:$J$150, 10, FALSE), "0")</f>
        <v>0</v>
      </c>
      <c r="U63" s="77" t="str">
        <f>Juni!U63</f>
        <v/>
      </c>
      <c r="V63" s="327" t="str">
        <f>Juni!V63</f>
        <v/>
      </c>
      <c r="W63" s="325" t="str">
        <f>IFERROR(VLOOKUP(V63, Tarieven!$A$2:$J$150, 10, FALSE), "0")</f>
        <v>0</v>
      </c>
      <c r="X63" s="138">
        <f>Juni!X63</f>
        <v>0</v>
      </c>
      <c r="Y63" s="398">
        <v>0.0</v>
      </c>
      <c r="Z63" s="329">
        <f t="shared" si="3"/>
        <v>0</v>
      </c>
      <c r="AA63" s="32">
        <f t="shared" si="4"/>
        <v>0</v>
      </c>
      <c r="AB63" s="32">
        <f t="shared" si="5"/>
        <v>0</v>
      </c>
      <c r="AC63" s="32">
        <f t="shared" si="6"/>
        <v>0</v>
      </c>
    </row>
    <row r="64" ht="22.5" customHeight="1">
      <c r="A64" s="331" t="str">
        <f>Rooster!A65</f>
        <v/>
      </c>
      <c r="B64" s="396" t="str">
        <f>Rooster!B65</f>
        <v/>
      </c>
      <c r="C64" s="15" t="str">
        <f>Rooster!C65</f>
        <v/>
      </c>
      <c r="D64" s="11" t="str">
        <f>Rooster!D65</f>
        <v/>
      </c>
      <c r="E64" s="485"/>
      <c r="F64" s="327" t="str">
        <f>Rooster!E65</f>
        <v/>
      </c>
      <c r="G64" s="319" t="str">
        <f>IFERROR(VLOOKUP(F64, Docenten!$A$2:$G$30, 7, FALSE), "0")</f>
        <v>0</v>
      </c>
      <c r="H64" s="320">
        <f t="shared" si="1"/>
        <v>0</v>
      </c>
      <c r="I64" s="327" t="str">
        <f>Rooster!H65</f>
        <v/>
      </c>
      <c r="J64" s="321" t="str">
        <f>IFERROR(VLOOKUP(I64, Locaties!$A$2:$G$15, 7, FALSE), "0")</f>
        <v>0</v>
      </c>
      <c r="K64" s="42">
        <f t="shared" si="2"/>
        <v>0</v>
      </c>
      <c r="L64" s="464" t="str">
        <f>Juni!L64</f>
        <v/>
      </c>
      <c r="M64" s="430"/>
      <c r="N64" s="321" t="str">
        <f>IFERROR(VLOOKUP(M64, Tarieven!$A$1:$J$150, 10, FALSE), "0")</f>
        <v>0</v>
      </c>
      <c r="O64" s="467" t="str">
        <f>Juni!O64</f>
        <v/>
      </c>
      <c r="P64" s="430"/>
      <c r="Q64" s="325" t="str">
        <f>IFERROR(VLOOKUP(P64, Tarieven!$A$2:$J$150, 10, FALSE), "0")</f>
        <v>0</v>
      </c>
      <c r="R64" s="138" t="str">
        <f>Juni!R64</f>
        <v/>
      </c>
      <c r="S64" s="459"/>
      <c r="T64" s="325" t="str">
        <f>IFERROR(VLOOKUP(S64, Tarieven!$A$2:$J$150, 10, FALSE), "0")</f>
        <v>0</v>
      </c>
      <c r="U64" s="77" t="str">
        <f>Juni!U64</f>
        <v/>
      </c>
      <c r="V64" s="327" t="str">
        <f>Juni!V64</f>
        <v/>
      </c>
      <c r="W64" s="325" t="str">
        <f>IFERROR(VLOOKUP(V64, Tarieven!$A$2:$J$150, 10, FALSE), "0")</f>
        <v>0</v>
      </c>
      <c r="X64" s="138">
        <f>Juni!X64</f>
        <v>0</v>
      </c>
      <c r="Y64" s="398">
        <v>0.0</v>
      </c>
      <c r="Z64" s="329">
        <f t="shared" si="3"/>
        <v>0</v>
      </c>
      <c r="AA64" s="32">
        <f t="shared" si="4"/>
        <v>0</v>
      </c>
      <c r="AB64" s="32">
        <f t="shared" si="5"/>
        <v>0</v>
      </c>
      <c r="AC64" s="32">
        <f t="shared" si="6"/>
        <v>0</v>
      </c>
    </row>
    <row r="65" ht="22.5" customHeight="1">
      <c r="A65" s="331" t="str">
        <f>Rooster!A66</f>
        <v/>
      </c>
      <c r="B65" s="396" t="str">
        <f>Rooster!B66</f>
        <v/>
      </c>
      <c r="C65" s="15" t="str">
        <f>Rooster!C66</f>
        <v/>
      </c>
      <c r="D65" s="11" t="str">
        <f>Rooster!D66</f>
        <v/>
      </c>
      <c r="E65" s="485"/>
      <c r="F65" s="327" t="str">
        <f>Rooster!E66</f>
        <v/>
      </c>
      <c r="G65" s="319" t="str">
        <f>IFERROR(VLOOKUP(F65, Docenten!$A$2:$G$30, 7, FALSE), "0")</f>
        <v>0</v>
      </c>
      <c r="H65" s="320">
        <f t="shared" si="1"/>
        <v>0</v>
      </c>
      <c r="I65" s="327" t="str">
        <f>Rooster!H66</f>
        <v/>
      </c>
      <c r="J65" s="321" t="str">
        <f>IFERROR(VLOOKUP(I65, Locaties!$A$2:$G$15, 7, FALSE), "0")</f>
        <v>0</v>
      </c>
      <c r="K65" s="42">
        <f t="shared" si="2"/>
        <v>0</v>
      </c>
      <c r="L65" s="484" t="str">
        <f>Juni!L65</f>
        <v/>
      </c>
      <c r="M65" s="474"/>
      <c r="N65" s="321" t="str">
        <f>IFERROR(VLOOKUP(M65, Tarieven!$A$1:$J$150, 10, FALSE), "0")</f>
        <v>0</v>
      </c>
      <c r="O65" s="473" t="str">
        <f>Juni!O65</f>
        <v/>
      </c>
      <c r="P65" s="463"/>
      <c r="Q65" s="325" t="str">
        <f>IFERROR(VLOOKUP(P65, Tarieven!$A$2:$J$150, 10, FALSE), "0")</f>
        <v>0</v>
      </c>
      <c r="R65" s="138" t="str">
        <f>Juni!R65</f>
        <v/>
      </c>
      <c r="S65" s="459"/>
      <c r="T65" s="325" t="str">
        <f>IFERROR(VLOOKUP(S65, Tarieven!$A$2:$J$150, 10, FALSE), "0")</f>
        <v>0</v>
      </c>
      <c r="U65" s="77" t="str">
        <f>Juni!U65</f>
        <v/>
      </c>
      <c r="V65" s="327" t="str">
        <f>Juni!V65</f>
        <v/>
      </c>
      <c r="W65" s="325" t="str">
        <f>IFERROR(VLOOKUP(V65, Tarieven!$A$2:$J$150, 10, FALSE), "0")</f>
        <v>0</v>
      </c>
      <c r="X65" s="138">
        <f>Juni!X65</f>
        <v>0</v>
      </c>
      <c r="Y65" s="398">
        <v>0.0</v>
      </c>
      <c r="Z65" s="329">
        <f t="shared" si="3"/>
        <v>0</v>
      </c>
      <c r="AA65" s="32">
        <f t="shared" si="4"/>
        <v>0</v>
      </c>
      <c r="AB65" s="32">
        <f t="shared" si="5"/>
        <v>0</v>
      </c>
      <c r="AC65" s="32">
        <f t="shared" si="6"/>
        <v>0</v>
      </c>
    </row>
    <row r="66" ht="22.5" customHeight="1">
      <c r="A66" s="331" t="str">
        <f>Rooster!A67</f>
        <v/>
      </c>
      <c r="B66" s="396" t="str">
        <f>Rooster!B67</f>
        <v/>
      </c>
      <c r="C66" s="15" t="str">
        <f>Rooster!C67</f>
        <v/>
      </c>
      <c r="D66" s="11" t="str">
        <f>Rooster!D67</f>
        <v/>
      </c>
      <c r="E66" s="485"/>
      <c r="F66" s="327" t="str">
        <f>Rooster!E67</f>
        <v/>
      </c>
      <c r="G66" s="319" t="str">
        <f>IFERROR(VLOOKUP(F66, Docenten!$A$2:$G$30, 7, FALSE), "0")</f>
        <v>0</v>
      </c>
      <c r="H66" s="320">
        <f t="shared" si="1"/>
        <v>0</v>
      </c>
      <c r="I66" s="327" t="str">
        <f>Rooster!H67</f>
        <v/>
      </c>
      <c r="J66" s="321" t="str">
        <f>IFERROR(VLOOKUP(I66, Locaties!$A$2:$G$15, 7, FALSE), "0")</f>
        <v>0</v>
      </c>
      <c r="K66" s="42">
        <f t="shared" si="2"/>
        <v>0</v>
      </c>
      <c r="L66" s="464" t="str">
        <f>Juni!L66</f>
        <v/>
      </c>
      <c r="M66" s="430"/>
      <c r="N66" s="321" t="str">
        <f>IFERROR(VLOOKUP(M66, Tarieven!$A$1:$J$150, 10, FALSE), "0")</f>
        <v>0</v>
      </c>
      <c r="O66" s="467" t="str">
        <f>Juni!O66</f>
        <v/>
      </c>
      <c r="P66" s="430"/>
      <c r="Q66" s="325" t="str">
        <f>IFERROR(VLOOKUP(P66, Tarieven!$A$2:$J$150, 10, FALSE), "0")</f>
        <v>0</v>
      </c>
      <c r="R66" s="138" t="str">
        <f>Juni!R66</f>
        <v/>
      </c>
      <c r="S66" s="459"/>
      <c r="T66" s="325" t="str">
        <f>IFERROR(VLOOKUP(S66, Tarieven!$A$2:$J$150, 10, FALSE), "0")</f>
        <v>0</v>
      </c>
      <c r="U66" s="77" t="str">
        <f>Juni!U66</f>
        <v/>
      </c>
      <c r="V66" s="327" t="str">
        <f>Juni!V66</f>
        <v/>
      </c>
      <c r="W66" s="325" t="str">
        <f>IFERROR(VLOOKUP(V66, Tarieven!$A$2:$J$150, 10, FALSE), "0")</f>
        <v>0</v>
      </c>
      <c r="X66" s="138">
        <f>Juni!X66</f>
        <v>0</v>
      </c>
      <c r="Y66" s="398">
        <v>0.0</v>
      </c>
      <c r="Z66" s="329">
        <f t="shared" si="3"/>
        <v>0</v>
      </c>
      <c r="AA66" s="32">
        <f t="shared" si="4"/>
        <v>0</v>
      </c>
      <c r="AB66" s="32">
        <f t="shared" si="5"/>
        <v>0</v>
      </c>
      <c r="AC66" s="32">
        <f t="shared" si="6"/>
        <v>0</v>
      </c>
    </row>
    <row r="67" ht="22.5" customHeight="1">
      <c r="A67" s="331" t="str">
        <f>Rooster!A68</f>
        <v/>
      </c>
      <c r="B67" s="396" t="str">
        <f>Rooster!B68</f>
        <v/>
      </c>
      <c r="C67" s="15" t="str">
        <f>Rooster!C68</f>
        <v/>
      </c>
      <c r="D67" s="11" t="str">
        <f>Rooster!D68</f>
        <v/>
      </c>
      <c r="E67" s="485"/>
      <c r="F67" s="327" t="str">
        <f>Rooster!E68</f>
        <v/>
      </c>
      <c r="G67" s="319" t="str">
        <f>IFERROR(VLOOKUP(F67, Docenten!$A$2:$G$30, 7, FALSE), "0")</f>
        <v>0</v>
      </c>
      <c r="H67" s="320">
        <f t="shared" si="1"/>
        <v>0</v>
      </c>
      <c r="I67" s="327" t="str">
        <f>Rooster!H68</f>
        <v/>
      </c>
      <c r="J67" s="321" t="str">
        <f>IFERROR(VLOOKUP(I67, Locaties!$A$2:$G$15, 7, FALSE), "0")</f>
        <v>0</v>
      </c>
      <c r="K67" s="42">
        <f t="shared" si="2"/>
        <v>0</v>
      </c>
      <c r="L67" s="484" t="str">
        <f>Juni!L67</f>
        <v/>
      </c>
      <c r="M67" s="474"/>
      <c r="N67" s="321" t="str">
        <f>IFERROR(VLOOKUP(M67, Tarieven!$A$1:$J$150, 10, FALSE), "0")</f>
        <v>0</v>
      </c>
      <c r="O67" s="473" t="str">
        <f>Juni!O67</f>
        <v/>
      </c>
      <c r="P67" s="463"/>
      <c r="Q67" s="325" t="str">
        <f>IFERROR(VLOOKUP(P67, Tarieven!$A$2:$J$150, 10, FALSE), "0")</f>
        <v>0</v>
      </c>
      <c r="R67" s="138" t="str">
        <f>Juni!R67</f>
        <v/>
      </c>
      <c r="S67" s="459"/>
      <c r="T67" s="325" t="str">
        <f>IFERROR(VLOOKUP(S67, Tarieven!$A$2:$J$150, 10, FALSE), "0")</f>
        <v>0</v>
      </c>
      <c r="U67" s="77" t="str">
        <f>Juni!U67</f>
        <v/>
      </c>
      <c r="V67" s="327" t="str">
        <f>Juni!V67</f>
        <v/>
      </c>
      <c r="W67" s="325" t="str">
        <f>IFERROR(VLOOKUP(V67, Tarieven!$A$2:$J$150, 10, FALSE), "0")</f>
        <v>0</v>
      </c>
      <c r="X67" s="138">
        <f>Juni!X67</f>
        <v>0</v>
      </c>
      <c r="Y67" s="398">
        <v>0.0</v>
      </c>
      <c r="Z67" s="329">
        <f t="shared" si="3"/>
        <v>0</v>
      </c>
      <c r="AA67" s="32">
        <f t="shared" si="4"/>
        <v>0</v>
      </c>
      <c r="AB67" s="32">
        <f t="shared" si="5"/>
        <v>0</v>
      </c>
      <c r="AC67" s="32">
        <f t="shared" si="6"/>
        <v>0</v>
      </c>
    </row>
    <row r="68" ht="22.5" customHeight="1">
      <c r="A68" s="331" t="str">
        <f>Rooster!A69</f>
        <v/>
      </c>
      <c r="B68" s="396" t="str">
        <f>Rooster!B69</f>
        <v/>
      </c>
      <c r="C68" s="15" t="str">
        <f>Rooster!C69</f>
        <v/>
      </c>
      <c r="D68" s="11" t="str">
        <f>Rooster!D69</f>
        <v/>
      </c>
      <c r="E68" s="485"/>
      <c r="F68" s="327" t="str">
        <f>Rooster!E69</f>
        <v/>
      </c>
      <c r="G68" s="319" t="str">
        <f>IFERROR(VLOOKUP(F68, Docenten!$A$2:$G$30, 7, FALSE), "0")</f>
        <v>0</v>
      </c>
      <c r="H68" s="320">
        <f t="shared" si="1"/>
        <v>0</v>
      </c>
      <c r="I68" s="327" t="str">
        <f>Rooster!H69</f>
        <v/>
      </c>
      <c r="J68" s="321" t="str">
        <f>IFERROR(VLOOKUP(I68, Locaties!$A$2:$G$15, 7, FALSE), "0")</f>
        <v>0</v>
      </c>
      <c r="K68" s="42">
        <f t="shared" si="2"/>
        <v>0</v>
      </c>
      <c r="L68" s="464" t="str">
        <f>Juni!L68</f>
        <v/>
      </c>
      <c r="M68" s="430"/>
      <c r="N68" s="321" t="str">
        <f>IFERROR(VLOOKUP(M68, Tarieven!$A$1:$J$150, 10, FALSE), "0")</f>
        <v>0</v>
      </c>
      <c r="O68" s="467" t="str">
        <f>Juni!O68</f>
        <v/>
      </c>
      <c r="P68" s="430"/>
      <c r="Q68" s="325" t="str">
        <f>IFERROR(VLOOKUP(P68, Tarieven!$A$2:$J$150, 10, FALSE), "0")</f>
        <v>0</v>
      </c>
      <c r="R68" s="138" t="str">
        <f>Juni!R68</f>
        <v/>
      </c>
      <c r="S68" s="459"/>
      <c r="T68" s="325" t="str">
        <f>IFERROR(VLOOKUP(S68, Tarieven!$A$2:$J$150, 10, FALSE), "0")</f>
        <v>0</v>
      </c>
      <c r="U68" s="77" t="str">
        <f>Juni!U68</f>
        <v/>
      </c>
      <c r="V68" s="327" t="str">
        <f>Juni!V68</f>
        <v/>
      </c>
      <c r="W68" s="325" t="str">
        <f>IFERROR(VLOOKUP(V68, Tarieven!$A$2:$J$150, 10, FALSE), "0")</f>
        <v>0</v>
      </c>
      <c r="X68" s="138">
        <f>Juni!X68</f>
        <v>0</v>
      </c>
      <c r="Y68" s="398">
        <v>0.0</v>
      </c>
      <c r="Z68" s="329">
        <f t="shared" si="3"/>
        <v>0</v>
      </c>
      <c r="AA68" s="32">
        <f t="shared" si="4"/>
        <v>0</v>
      </c>
      <c r="AB68" s="32">
        <f t="shared" si="5"/>
        <v>0</v>
      </c>
      <c r="AC68" s="32">
        <f t="shared" si="6"/>
        <v>0</v>
      </c>
    </row>
    <row r="69" ht="22.5" customHeight="1">
      <c r="A69" s="331" t="str">
        <f>Rooster!A70</f>
        <v/>
      </c>
      <c r="B69" s="396" t="str">
        <f>Rooster!B70</f>
        <v/>
      </c>
      <c r="C69" s="15" t="str">
        <f>Rooster!C70</f>
        <v/>
      </c>
      <c r="D69" s="11" t="str">
        <f>Rooster!D70</f>
        <v/>
      </c>
      <c r="E69" s="485"/>
      <c r="F69" s="327" t="str">
        <f>Rooster!E70</f>
        <v/>
      </c>
      <c r="G69" s="319" t="str">
        <f>IFERROR(VLOOKUP(F69, Docenten!$A$2:$G$30, 7, FALSE), "0")</f>
        <v>0</v>
      </c>
      <c r="H69" s="320">
        <f t="shared" si="1"/>
        <v>0</v>
      </c>
      <c r="I69" s="327" t="str">
        <f>Rooster!H70</f>
        <v/>
      </c>
      <c r="J69" s="321" t="str">
        <f>IFERROR(VLOOKUP(I69, Locaties!$A$2:$G$15, 7, FALSE), "0")</f>
        <v>0</v>
      </c>
      <c r="K69" s="42">
        <f t="shared" si="2"/>
        <v>0</v>
      </c>
      <c r="L69" s="484" t="str">
        <f>Juni!L69</f>
        <v/>
      </c>
      <c r="M69" s="474"/>
      <c r="N69" s="321" t="str">
        <f>IFERROR(VLOOKUP(M69, Tarieven!$A$1:$J$150, 10, FALSE), "0")</f>
        <v>0</v>
      </c>
      <c r="O69" s="473" t="str">
        <f>Juni!O69</f>
        <v/>
      </c>
      <c r="P69" s="463"/>
      <c r="Q69" s="325" t="str">
        <f>IFERROR(VLOOKUP(P69, Tarieven!$A$2:$J$150, 10, FALSE), "0")</f>
        <v>0</v>
      </c>
      <c r="R69" s="138" t="str">
        <f>Juni!R69</f>
        <v/>
      </c>
      <c r="S69" s="459"/>
      <c r="T69" s="325" t="str">
        <f>IFERROR(VLOOKUP(S69, Tarieven!$A$2:$J$150, 10, FALSE), "0")</f>
        <v>0</v>
      </c>
      <c r="U69" s="77" t="str">
        <f>Juni!U69</f>
        <v/>
      </c>
      <c r="V69" s="327" t="str">
        <f>Juni!V69</f>
        <v/>
      </c>
      <c r="W69" s="325" t="str">
        <f>IFERROR(VLOOKUP(V69, Tarieven!$A$2:$J$150, 10, FALSE), "0")</f>
        <v>0</v>
      </c>
      <c r="X69" s="138">
        <f>Juni!X69</f>
        <v>0</v>
      </c>
      <c r="Y69" s="398">
        <v>0.0</v>
      </c>
      <c r="Z69" s="329">
        <f t="shared" si="3"/>
        <v>0</v>
      </c>
      <c r="AA69" s="32">
        <f t="shared" si="4"/>
        <v>0</v>
      </c>
      <c r="AB69" s="32">
        <f t="shared" si="5"/>
        <v>0</v>
      </c>
      <c r="AC69" s="32">
        <f t="shared" si="6"/>
        <v>0</v>
      </c>
    </row>
    <row r="70" ht="22.5" customHeight="1">
      <c r="A70" s="331" t="str">
        <f>Rooster!A71</f>
        <v/>
      </c>
      <c r="B70" s="396" t="str">
        <f>Rooster!B71</f>
        <v/>
      </c>
      <c r="C70" s="15" t="str">
        <f>Rooster!C71</f>
        <v/>
      </c>
      <c r="D70" s="11" t="str">
        <f>Rooster!D71</f>
        <v/>
      </c>
      <c r="E70" s="485"/>
      <c r="F70" s="327" t="str">
        <f>Rooster!E71</f>
        <v/>
      </c>
      <c r="G70" s="319" t="str">
        <f>IFERROR(VLOOKUP(F70, Docenten!$A$2:$G$30, 7, FALSE), "0")</f>
        <v>0</v>
      </c>
      <c r="H70" s="320">
        <f t="shared" si="1"/>
        <v>0</v>
      </c>
      <c r="I70" s="327" t="str">
        <f>Rooster!H71</f>
        <v/>
      </c>
      <c r="J70" s="321" t="str">
        <f>IFERROR(VLOOKUP(I70, Locaties!$A$2:$G$15, 7, FALSE), "0")</f>
        <v>0</v>
      </c>
      <c r="K70" s="42">
        <f t="shared" si="2"/>
        <v>0</v>
      </c>
      <c r="L70" s="464" t="str">
        <f>Juni!L70</f>
        <v/>
      </c>
      <c r="M70" s="430"/>
      <c r="N70" s="321" t="str">
        <f>IFERROR(VLOOKUP(M70, Tarieven!$A$1:$J$150, 10, FALSE), "0")</f>
        <v>0</v>
      </c>
      <c r="O70" s="467" t="str">
        <f>Juni!O70</f>
        <v/>
      </c>
      <c r="P70" s="430"/>
      <c r="Q70" s="325" t="str">
        <f>IFERROR(VLOOKUP(P70, Tarieven!$A$2:$J$150, 10, FALSE), "0")</f>
        <v>0</v>
      </c>
      <c r="R70" s="138" t="str">
        <f>Juni!R70</f>
        <v/>
      </c>
      <c r="S70" s="459"/>
      <c r="T70" s="325" t="str">
        <f>IFERROR(VLOOKUP(S70, Tarieven!$A$2:$J$150, 10, FALSE), "0")</f>
        <v>0</v>
      </c>
      <c r="U70" s="77" t="str">
        <f>Juni!U70</f>
        <v/>
      </c>
      <c r="V70" s="327" t="str">
        <f>Juni!V70</f>
        <v/>
      </c>
      <c r="W70" s="325" t="str">
        <f>IFERROR(VLOOKUP(V70, Tarieven!$A$2:$J$150, 10, FALSE), "0")</f>
        <v>0</v>
      </c>
      <c r="X70" s="138">
        <f>Juni!X70</f>
        <v>0</v>
      </c>
      <c r="Y70" s="398">
        <v>0.0</v>
      </c>
      <c r="Z70" s="329">
        <f t="shared" si="3"/>
        <v>0</v>
      </c>
      <c r="AA70" s="32">
        <f t="shared" si="4"/>
        <v>0</v>
      </c>
      <c r="AB70" s="32">
        <f t="shared" si="5"/>
        <v>0</v>
      </c>
      <c r="AC70" s="32">
        <f t="shared" si="6"/>
        <v>0</v>
      </c>
    </row>
    <row r="71" ht="22.5" customHeight="1">
      <c r="A71" s="331" t="str">
        <f>Rooster!A72</f>
        <v/>
      </c>
      <c r="B71" s="396" t="str">
        <f>Rooster!B72</f>
        <v/>
      </c>
      <c r="C71" s="15" t="str">
        <f>Rooster!C72</f>
        <v/>
      </c>
      <c r="D71" s="11" t="str">
        <f>Rooster!D72</f>
        <v/>
      </c>
      <c r="E71" s="485"/>
      <c r="F71" s="327" t="str">
        <f>Rooster!E72</f>
        <v/>
      </c>
      <c r="G71" s="319" t="str">
        <f>IFERROR(VLOOKUP(F71, Docenten!$A$2:$G$30, 7, FALSE), "0")</f>
        <v>0</v>
      </c>
      <c r="H71" s="320">
        <f t="shared" si="1"/>
        <v>0</v>
      </c>
      <c r="I71" s="327" t="str">
        <f>Rooster!H72</f>
        <v/>
      </c>
      <c r="J71" s="321" t="str">
        <f>IFERROR(VLOOKUP(I71, Locaties!$A$2:$G$15, 7, FALSE), "0")</f>
        <v>0</v>
      </c>
      <c r="K71" s="42">
        <f t="shared" si="2"/>
        <v>0</v>
      </c>
      <c r="L71" s="484" t="str">
        <f>Juni!L71</f>
        <v/>
      </c>
      <c r="M71" s="474"/>
      <c r="N71" s="321" t="str">
        <f>IFERROR(VLOOKUP(M71, Tarieven!$A$1:$J$150, 10, FALSE), "0")</f>
        <v>0</v>
      </c>
      <c r="O71" s="473" t="str">
        <f>Juni!O71</f>
        <v/>
      </c>
      <c r="P71" s="463"/>
      <c r="Q71" s="325" t="str">
        <f>IFERROR(VLOOKUP(P71, Tarieven!$A$2:$J$150, 10, FALSE), "0")</f>
        <v>0</v>
      </c>
      <c r="R71" s="138" t="str">
        <f>Juni!R71</f>
        <v/>
      </c>
      <c r="S71" s="459"/>
      <c r="T71" s="325" t="str">
        <f>IFERROR(VLOOKUP(S71, Tarieven!$A$2:$J$150, 10, FALSE), "0")</f>
        <v>0</v>
      </c>
      <c r="U71" s="77" t="str">
        <f>Juni!U71</f>
        <v/>
      </c>
      <c r="V71" s="327" t="str">
        <f>Juni!V71</f>
        <v/>
      </c>
      <c r="W71" s="325" t="str">
        <f>IFERROR(VLOOKUP(V71, Tarieven!$A$2:$J$150, 10, FALSE), "0")</f>
        <v>0</v>
      </c>
      <c r="X71" s="138">
        <f>Juni!X71</f>
        <v>0</v>
      </c>
      <c r="Y71" s="398">
        <v>0.0</v>
      </c>
      <c r="Z71" s="329">
        <f t="shared" si="3"/>
        <v>0</v>
      </c>
      <c r="AA71" s="32">
        <f t="shared" si="4"/>
        <v>0</v>
      </c>
      <c r="AB71" s="32">
        <f t="shared" si="5"/>
        <v>0</v>
      </c>
      <c r="AC71" s="32">
        <f t="shared" si="6"/>
        <v>0</v>
      </c>
    </row>
    <row r="72" ht="22.5" customHeight="1">
      <c r="A72" s="331" t="str">
        <f>Rooster!A73</f>
        <v/>
      </c>
      <c r="B72" s="396" t="str">
        <f>Rooster!B73</f>
        <v/>
      </c>
      <c r="C72" s="15" t="str">
        <f>Rooster!C73</f>
        <v/>
      </c>
      <c r="D72" s="11" t="str">
        <f>Rooster!D73</f>
        <v/>
      </c>
      <c r="E72" s="485"/>
      <c r="F72" s="327" t="str">
        <f>Rooster!E73</f>
        <v/>
      </c>
      <c r="G72" s="319" t="str">
        <f>IFERROR(VLOOKUP(F72, Docenten!$A$2:$G$30, 7, FALSE), "0")</f>
        <v>0</v>
      </c>
      <c r="H72" s="320">
        <f t="shared" si="1"/>
        <v>0</v>
      </c>
      <c r="I72" s="327" t="str">
        <f>Rooster!H73</f>
        <v/>
      </c>
      <c r="J72" s="321" t="str">
        <f>IFERROR(VLOOKUP(I72, Locaties!$A$2:$G$15, 7, FALSE), "0")</f>
        <v>0</v>
      </c>
      <c r="K72" s="42">
        <f t="shared" si="2"/>
        <v>0</v>
      </c>
      <c r="L72" s="464" t="str">
        <f>Juni!L72</f>
        <v/>
      </c>
      <c r="M72" s="430"/>
      <c r="N72" s="321" t="str">
        <f>IFERROR(VLOOKUP(M72, Tarieven!$A$1:$J$150, 10, FALSE), "0")</f>
        <v>0</v>
      </c>
      <c r="O72" s="467" t="str">
        <f>Juni!O72</f>
        <v/>
      </c>
      <c r="P72" s="430"/>
      <c r="Q72" s="325" t="str">
        <f>IFERROR(VLOOKUP(P72, Tarieven!$A$2:$J$150, 10, FALSE), "0")</f>
        <v>0</v>
      </c>
      <c r="R72" s="138" t="str">
        <f>Juni!R72</f>
        <v/>
      </c>
      <c r="S72" s="459"/>
      <c r="T72" s="325" t="str">
        <f>IFERROR(VLOOKUP(S72, Tarieven!$A$2:$J$150, 10, FALSE), "0")</f>
        <v>0</v>
      </c>
      <c r="U72" s="77" t="str">
        <f>Juni!U72</f>
        <v/>
      </c>
      <c r="V72" s="327" t="str">
        <f>Juni!V72</f>
        <v/>
      </c>
      <c r="W72" s="325" t="str">
        <f>IFERROR(VLOOKUP(V72, Tarieven!$A$2:$J$150, 10, FALSE), "0")</f>
        <v>0</v>
      </c>
      <c r="X72" s="138">
        <f>Juni!X72</f>
        <v>0</v>
      </c>
      <c r="Y72" s="398">
        <v>0.0</v>
      </c>
      <c r="Z72" s="329">
        <f t="shared" si="3"/>
        <v>0</v>
      </c>
      <c r="AA72" s="32">
        <f t="shared" si="4"/>
        <v>0</v>
      </c>
      <c r="AB72" s="32">
        <f t="shared" si="5"/>
        <v>0</v>
      </c>
      <c r="AC72" s="32">
        <f t="shared" si="6"/>
        <v>0</v>
      </c>
    </row>
    <row r="73" ht="22.5" customHeight="1">
      <c r="A73" s="331" t="str">
        <f>Rooster!A74</f>
        <v/>
      </c>
      <c r="B73" s="396" t="str">
        <f>Rooster!B74</f>
        <v/>
      </c>
      <c r="C73" s="15" t="str">
        <f>Rooster!C74</f>
        <v/>
      </c>
      <c r="D73" s="11" t="str">
        <f>Rooster!D74</f>
        <v/>
      </c>
      <c r="E73" s="485"/>
      <c r="F73" s="327" t="str">
        <f>Rooster!E74</f>
        <v/>
      </c>
      <c r="G73" s="319" t="str">
        <f>IFERROR(VLOOKUP(F73, Docenten!$A$2:$G$30, 7, FALSE), "0")</f>
        <v>0</v>
      </c>
      <c r="H73" s="320">
        <f t="shared" si="1"/>
        <v>0</v>
      </c>
      <c r="I73" s="327" t="str">
        <f>Rooster!H74</f>
        <v/>
      </c>
      <c r="J73" s="321" t="str">
        <f>IFERROR(VLOOKUP(I73, Locaties!$A$2:$G$15, 7, FALSE), "0")</f>
        <v>0</v>
      </c>
      <c r="K73" s="42">
        <f t="shared" si="2"/>
        <v>0</v>
      </c>
      <c r="L73" s="484" t="str">
        <f>Juni!L73</f>
        <v/>
      </c>
      <c r="M73" s="474"/>
      <c r="N73" s="321" t="str">
        <f>IFERROR(VLOOKUP(M73, Tarieven!$A$1:$J$150, 10, FALSE), "0")</f>
        <v>0</v>
      </c>
      <c r="O73" s="473" t="str">
        <f>Juni!O73</f>
        <v/>
      </c>
      <c r="P73" s="463"/>
      <c r="Q73" s="325" t="str">
        <f>IFERROR(VLOOKUP(P73, Tarieven!$A$2:$J$150, 10, FALSE), "0")</f>
        <v>0</v>
      </c>
      <c r="R73" s="138" t="str">
        <f>Juni!R73</f>
        <v/>
      </c>
      <c r="S73" s="459"/>
      <c r="T73" s="325" t="str">
        <f>IFERROR(VLOOKUP(S73, Tarieven!$A$2:$J$150, 10, FALSE), "0")</f>
        <v>0</v>
      </c>
      <c r="U73" s="77" t="str">
        <f>Juni!U73</f>
        <v/>
      </c>
      <c r="V73" s="327" t="str">
        <f>Juni!V73</f>
        <v/>
      </c>
      <c r="W73" s="325" t="str">
        <f>IFERROR(VLOOKUP(V73, Tarieven!$A$2:$J$150, 10, FALSE), "0")</f>
        <v>0</v>
      </c>
      <c r="X73" s="138">
        <f>Juni!X73</f>
        <v>0</v>
      </c>
      <c r="Y73" s="398">
        <v>0.0</v>
      </c>
      <c r="Z73" s="329">
        <f t="shared" si="3"/>
        <v>0</v>
      </c>
      <c r="AA73" s="32">
        <f t="shared" si="4"/>
        <v>0</v>
      </c>
      <c r="AB73" s="32">
        <f t="shared" si="5"/>
        <v>0</v>
      </c>
      <c r="AC73" s="32">
        <f t="shared" si="6"/>
        <v>0</v>
      </c>
    </row>
    <row r="74" ht="22.5" customHeight="1">
      <c r="A74" s="331" t="str">
        <f>Rooster!A75</f>
        <v/>
      </c>
      <c r="B74" s="396" t="str">
        <f>Rooster!B75</f>
        <v/>
      </c>
      <c r="C74" s="15" t="str">
        <f>Rooster!C75</f>
        <v/>
      </c>
      <c r="D74" s="11" t="str">
        <f>Rooster!D75</f>
        <v/>
      </c>
      <c r="E74" s="485"/>
      <c r="F74" s="327" t="str">
        <f>Rooster!E75</f>
        <v/>
      </c>
      <c r="G74" s="319" t="str">
        <f>IFERROR(VLOOKUP(F74, Docenten!$A$2:$G$30, 7, FALSE), "0")</f>
        <v>0</v>
      </c>
      <c r="H74" s="320">
        <f t="shared" si="1"/>
        <v>0</v>
      </c>
      <c r="I74" s="327" t="str">
        <f>Rooster!H75</f>
        <v/>
      </c>
      <c r="J74" s="321" t="str">
        <f>IFERROR(VLOOKUP(I74, Locaties!$A$2:$G$15, 7, FALSE), "0")</f>
        <v>0</v>
      </c>
      <c r="K74" s="42">
        <f t="shared" si="2"/>
        <v>0</v>
      </c>
      <c r="L74" s="464" t="str">
        <f>Juni!L74</f>
        <v/>
      </c>
      <c r="M74" s="430"/>
      <c r="N74" s="321" t="str">
        <f>IFERROR(VLOOKUP(M74, Tarieven!$A$1:$J$150, 10, FALSE), "0")</f>
        <v>0</v>
      </c>
      <c r="O74" s="467" t="str">
        <f>Juni!O74</f>
        <v/>
      </c>
      <c r="P74" s="430"/>
      <c r="Q74" s="325" t="str">
        <f>IFERROR(VLOOKUP(P74, Tarieven!$A$2:$J$150, 10, FALSE), "0")</f>
        <v>0</v>
      </c>
      <c r="R74" s="138" t="str">
        <f>Juni!R74</f>
        <v/>
      </c>
      <c r="S74" s="459"/>
      <c r="T74" s="325" t="str">
        <f>IFERROR(VLOOKUP(S74, Tarieven!$A$2:$J$150, 10, FALSE), "0")</f>
        <v>0</v>
      </c>
      <c r="U74" s="77" t="str">
        <f>Juni!U74</f>
        <v/>
      </c>
      <c r="V74" s="327" t="str">
        <f>Juni!V74</f>
        <v/>
      </c>
      <c r="W74" s="325" t="str">
        <f>IFERROR(VLOOKUP(V74, Tarieven!$A$2:$J$150, 10, FALSE), "0")</f>
        <v>0</v>
      </c>
      <c r="X74" s="138">
        <f>Juni!X74</f>
        <v>0</v>
      </c>
      <c r="Y74" s="398">
        <v>0.0</v>
      </c>
      <c r="Z74" s="329">
        <f t="shared" si="3"/>
        <v>0</v>
      </c>
      <c r="AA74" s="32">
        <f t="shared" si="4"/>
        <v>0</v>
      </c>
      <c r="AB74" s="32">
        <f t="shared" si="5"/>
        <v>0</v>
      </c>
      <c r="AC74" s="32">
        <f t="shared" si="6"/>
        <v>0</v>
      </c>
    </row>
    <row r="75" ht="22.5" customHeight="1">
      <c r="A75" s="331" t="str">
        <f>Rooster!A76</f>
        <v/>
      </c>
      <c r="B75" s="396" t="str">
        <f>Rooster!B76</f>
        <v/>
      </c>
      <c r="C75" s="15" t="str">
        <f>Rooster!C76</f>
        <v/>
      </c>
      <c r="D75" s="11" t="str">
        <f>Rooster!D76</f>
        <v/>
      </c>
      <c r="E75" s="485"/>
      <c r="F75" s="327" t="str">
        <f>Rooster!E76</f>
        <v/>
      </c>
      <c r="G75" s="319" t="str">
        <f>IFERROR(VLOOKUP(F75, Docenten!$A$2:$G$30, 7, FALSE), "0")</f>
        <v>0</v>
      </c>
      <c r="H75" s="320">
        <f t="shared" si="1"/>
        <v>0</v>
      </c>
      <c r="I75" s="327" t="str">
        <f>Rooster!H76</f>
        <v/>
      </c>
      <c r="J75" s="321" t="str">
        <f>IFERROR(VLOOKUP(I75, Locaties!$A$2:$G$15, 7, FALSE), "0")</f>
        <v>0</v>
      </c>
      <c r="K75" s="42">
        <f t="shared" si="2"/>
        <v>0</v>
      </c>
      <c r="L75" s="484" t="str">
        <f>Juni!L75</f>
        <v/>
      </c>
      <c r="M75" s="474"/>
      <c r="N75" s="321" t="str">
        <f>IFERROR(VLOOKUP(M75, Tarieven!$A$1:$J$150, 10, FALSE), "0")</f>
        <v>0</v>
      </c>
      <c r="O75" s="473" t="str">
        <f>Juni!O75</f>
        <v/>
      </c>
      <c r="P75" s="463"/>
      <c r="Q75" s="325" t="str">
        <f>IFERROR(VLOOKUP(P75, Tarieven!$A$2:$J$150, 10, FALSE), "0")</f>
        <v>0</v>
      </c>
      <c r="R75" s="138" t="str">
        <f>Juni!R75</f>
        <v/>
      </c>
      <c r="S75" s="459"/>
      <c r="T75" s="325" t="str">
        <f>IFERROR(VLOOKUP(S75, Tarieven!$A$2:$J$150, 10, FALSE), "0")</f>
        <v>0</v>
      </c>
      <c r="U75" s="77" t="str">
        <f>Juni!U75</f>
        <v/>
      </c>
      <c r="V75" s="327" t="str">
        <f>Juni!V75</f>
        <v/>
      </c>
      <c r="W75" s="325" t="str">
        <f>IFERROR(VLOOKUP(V75, Tarieven!$A$2:$J$150, 10, FALSE), "0")</f>
        <v>0</v>
      </c>
      <c r="X75" s="138">
        <f>Juni!X75</f>
        <v>0</v>
      </c>
      <c r="Y75" s="398">
        <v>0.0</v>
      </c>
      <c r="Z75" s="329">
        <f t="shared" si="3"/>
        <v>0</v>
      </c>
      <c r="AA75" s="32">
        <f t="shared" si="4"/>
        <v>0</v>
      </c>
      <c r="AB75" s="32">
        <f t="shared" si="5"/>
        <v>0</v>
      </c>
      <c r="AC75" s="32">
        <f t="shared" si="6"/>
        <v>0</v>
      </c>
    </row>
    <row r="76" ht="22.5" customHeight="1">
      <c r="A76" s="331" t="str">
        <f>Rooster!A77</f>
        <v/>
      </c>
      <c r="B76" s="396" t="str">
        <f>Rooster!B77</f>
        <v/>
      </c>
      <c r="C76" s="15" t="str">
        <f>Rooster!C77</f>
        <v/>
      </c>
      <c r="D76" s="11" t="str">
        <f>Rooster!D77</f>
        <v/>
      </c>
      <c r="E76" s="485"/>
      <c r="F76" s="327" t="str">
        <f>Rooster!E77</f>
        <v/>
      </c>
      <c r="G76" s="319" t="str">
        <f>IFERROR(VLOOKUP(F76, Docenten!$A$2:$G$30, 7, FALSE), "0")</f>
        <v>0</v>
      </c>
      <c r="H76" s="320">
        <f t="shared" si="1"/>
        <v>0</v>
      </c>
      <c r="I76" s="327" t="str">
        <f>Rooster!H77</f>
        <v/>
      </c>
      <c r="J76" s="321" t="str">
        <f>IFERROR(VLOOKUP(I76, Locaties!$A$2:$G$15, 7, FALSE), "0")</f>
        <v>0</v>
      </c>
      <c r="K76" s="42">
        <f t="shared" si="2"/>
        <v>0</v>
      </c>
      <c r="L76" s="464" t="str">
        <f>Juni!L76</f>
        <v/>
      </c>
      <c r="M76" s="430"/>
      <c r="N76" s="321" t="str">
        <f>IFERROR(VLOOKUP(M76, Tarieven!$A$1:$J$150, 10, FALSE), "0")</f>
        <v>0</v>
      </c>
      <c r="O76" s="467" t="str">
        <f>Juni!O76</f>
        <v/>
      </c>
      <c r="P76" s="430"/>
      <c r="Q76" s="325" t="str">
        <f>IFERROR(VLOOKUP(P76, Tarieven!$A$2:$J$150, 10, FALSE), "0")</f>
        <v>0</v>
      </c>
      <c r="R76" s="138" t="str">
        <f>Juni!R76</f>
        <v/>
      </c>
      <c r="S76" s="459"/>
      <c r="T76" s="325" t="str">
        <f>IFERROR(VLOOKUP(S76, Tarieven!$A$2:$J$150, 10, FALSE), "0")</f>
        <v>0</v>
      </c>
      <c r="U76" s="77" t="str">
        <f>Juni!U76</f>
        <v/>
      </c>
      <c r="V76" s="327" t="str">
        <f>Juni!V76</f>
        <v/>
      </c>
      <c r="W76" s="325" t="str">
        <f>IFERROR(VLOOKUP(V76, Tarieven!$A$2:$J$150, 10, FALSE), "0")</f>
        <v>0</v>
      </c>
      <c r="X76" s="138">
        <f>Juni!X76</f>
        <v>0</v>
      </c>
      <c r="Y76" s="398">
        <v>0.0</v>
      </c>
      <c r="Z76" s="329">
        <f t="shared" si="3"/>
        <v>0</v>
      </c>
      <c r="AA76" s="32">
        <f t="shared" si="4"/>
        <v>0</v>
      </c>
      <c r="AB76" s="32">
        <f t="shared" si="5"/>
        <v>0</v>
      </c>
      <c r="AC76" s="32">
        <f t="shared" si="6"/>
        <v>0</v>
      </c>
    </row>
    <row r="77" ht="22.5" customHeight="1">
      <c r="A77" s="331" t="str">
        <f>Rooster!A78</f>
        <v/>
      </c>
      <c r="B77" s="396" t="str">
        <f>Rooster!B78</f>
        <v/>
      </c>
      <c r="C77" s="15" t="str">
        <f>Rooster!C78</f>
        <v/>
      </c>
      <c r="D77" s="11" t="str">
        <f>Rooster!D78</f>
        <v/>
      </c>
      <c r="E77" s="485"/>
      <c r="F77" s="327" t="str">
        <f>Rooster!E78</f>
        <v/>
      </c>
      <c r="G77" s="319" t="str">
        <f>IFERROR(VLOOKUP(F77, Docenten!$A$2:$G$30, 7, FALSE), "0")</f>
        <v>0</v>
      </c>
      <c r="H77" s="320">
        <f t="shared" si="1"/>
        <v>0</v>
      </c>
      <c r="I77" s="327" t="str">
        <f>Rooster!H78</f>
        <v/>
      </c>
      <c r="J77" s="321" t="str">
        <f>IFERROR(VLOOKUP(I77, Locaties!$A$2:$G$15, 7, FALSE), "0")</f>
        <v>0</v>
      </c>
      <c r="K77" s="42">
        <f t="shared" si="2"/>
        <v>0</v>
      </c>
      <c r="L77" s="484" t="str">
        <f>Juni!L77</f>
        <v/>
      </c>
      <c r="M77" s="474"/>
      <c r="N77" s="321" t="str">
        <f>IFERROR(VLOOKUP(M77, Tarieven!$A$1:$J$150, 10, FALSE), "0")</f>
        <v>0</v>
      </c>
      <c r="O77" s="473" t="str">
        <f>Juni!O77</f>
        <v/>
      </c>
      <c r="P77" s="463"/>
      <c r="Q77" s="325" t="str">
        <f>IFERROR(VLOOKUP(P77, Tarieven!$A$2:$J$150, 10, FALSE), "0")</f>
        <v>0</v>
      </c>
      <c r="R77" s="138" t="str">
        <f>Juni!R77</f>
        <v/>
      </c>
      <c r="S77" s="459"/>
      <c r="T77" s="325" t="str">
        <f>IFERROR(VLOOKUP(S77, Tarieven!$A$2:$J$150, 10, FALSE), "0")</f>
        <v>0</v>
      </c>
      <c r="U77" s="77" t="str">
        <f>Juni!U77</f>
        <v/>
      </c>
      <c r="V77" s="327" t="str">
        <f>Juni!V77</f>
        <v/>
      </c>
      <c r="W77" s="325" t="str">
        <f>IFERROR(VLOOKUP(V77, Tarieven!$A$2:$J$150, 10, FALSE), "0")</f>
        <v>0</v>
      </c>
      <c r="X77" s="138">
        <f>Juni!X77</f>
        <v>0</v>
      </c>
      <c r="Y77" s="398">
        <v>0.0</v>
      </c>
      <c r="Z77" s="329">
        <f t="shared" si="3"/>
        <v>0</v>
      </c>
      <c r="AA77" s="32">
        <f t="shared" si="4"/>
        <v>0</v>
      </c>
      <c r="AB77" s="32">
        <f t="shared" si="5"/>
        <v>0</v>
      </c>
      <c r="AC77" s="32">
        <f t="shared" si="6"/>
        <v>0</v>
      </c>
    </row>
    <row r="78" ht="22.5" customHeight="1">
      <c r="A78" s="331" t="str">
        <f>Rooster!A79</f>
        <v/>
      </c>
      <c r="B78" s="396" t="str">
        <f>Rooster!B79</f>
        <v/>
      </c>
      <c r="C78" s="15" t="str">
        <f>Rooster!C79</f>
        <v/>
      </c>
      <c r="D78" s="11" t="str">
        <f>Rooster!D79</f>
        <v/>
      </c>
      <c r="E78" s="485"/>
      <c r="F78" s="327" t="str">
        <f>Rooster!E79</f>
        <v/>
      </c>
      <c r="G78" s="319" t="str">
        <f>IFERROR(VLOOKUP(F78, Docenten!$A$2:$G$30, 7, FALSE), "0")</f>
        <v>0</v>
      </c>
      <c r="H78" s="320">
        <f t="shared" si="1"/>
        <v>0</v>
      </c>
      <c r="I78" s="327" t="str">
        <f>Rooster!H79</f>
        <v/>
      </c>
      <c r="J78" s="321" t="str">
        <f>IFERROR(VLOOKUP(I78, Locaties!$A$2:$G$15, 7, FALSE), "0")</f>
        <v>0</v>
      </c>
      <c r="K78" s="42">
        <f t="shared" si="2"/>
        <v>0</v>
      </c>
      <c r="L78" s="464" t="str">
        <f>Juni!L78</f>
        <v/>
      </c>
      <c r="M78" s="430"/>
      <c r="N78" s="321" t="str">
        <f>IFERROR(VLOOKUP(M78, Tarieven!$A$1:$J$150, 10, FALSE), "0")</f>
        <v>0</v>
      </c>
      <c r="O78" s="467" t="str">
        <f>Juni!O78</f>
        <v/>
      </c>
      <c r="P78" s="430"/>
      <c r="Q78" s="325" t="str">
        <f>IFERROR(VLOOKUP(P78, Tarieven!$A$2:$J$150, 10, FALSE), "0")</f>
        <v>0</v>
      </c>
      <c r="R78" s="138" t="str">
        <f>Juni!R78</f>
        <v/>
      </c>
      <c r="S78" s="459"/>
      <c r="T78" s="325" t="str">
        <f>IFERROR(VLOOKUP(S78, Tarieven!$A$2:$J$150, 10, FALSE), "0")</f>
        <v>0</v>
      </c>
      <c r="U78" s="77" t="str">
        <f>Juni!U78</f>
        <v/>
      </c>
      <c r="V78" s="327" t="str">
        <f>Juni!V78</f>
        <v/>
      </c>
      <c r="W78" s="325" t="str">
        <f>IFERROR(VLOOKUP(V78, Tarieven!$A$2:$J$150, 10, FALSE), "0")</f>
        <v>0</v>
      </c>
      <c r="X78" s="138">
        <f>Juni!X78</f>
        <v>0</v>
      </c>
      <c r="Y78" s="398">
        <v>0.0</v>
      </c>
      <c r="Z78" s="329">
        <f t="shared" si="3"/>
        <v>0</v>
      </c>
      <c r="AA78" s="32">
        <f t="shared" si="4"/>
        <v>0</v>
      </c>
      <c r="AB78" s="32">
        <f t="shared" si="5"/>
        <v>0</v>
      </c>
      <c r="AC78" s="32">
        <f t="shared" si="6"/>
        <v>0</v>
      </c>
    </row>
    <row r="79" ht="22.5" customHeight="1">
      <c r="A79" s="331" t="str">
        <f>Rooster!A80</f>
        <v/>
      </c>
      <c r="B79" s="396" t="str">
        <f>Rooster!B80</f>
        <v/>
      </c>
      <c r="C79" s="15" t="str">
        <f>Rooster!C80</f>
        <v/>
      </c>
      <c r="D79" s="11" t="str">
        <f>Rooster!D80</f>
        <v/>
      </c>
      <c r="E79" s="485"/>
      <c r="F79" s="327" t="str">
        <f>Rooster!E80</f>
        <v/>
      </c>
      <c r="G79" s="319" t="str">
        <f>IFERROR(VLOOKUP(F79, Docenten!$A$2:$G$30, 7, FALSE), "0")</f>
        <v>0</v>
      </c>
      <c r="H79" s="320">
        <f t="shared" si="1"/>
        <v>0</v>
      </c>
      <c r="I79" s="327" t="str">
        <f>Rooster!H80</f>
        <v/>
      </c>
      <c r="J79" s="321" t="str">
        <f>IFERROR(VLOOKUP(I79, Locaties!$A$2:$G$15, 7, FALSE), "0")</f>
        <v>0</v>
      </c>
      <c r="K79" s="42">
        <f t="shared" si="2"/>
        <v>0</v>
      </c>
      <c r="L79" s="484" t="str">
        <f>Juni!L79</f>
        <v/>
      </c>
      <c r="M79" s="474"/>
      <c r="N79" s="321" t="str">
        <f>IFERROR(VLOOKUP(M79, Tarieven!$A$1:$J$150, 10, FALSE), "0")</f>
        <v>0</v>
      </c>
      <c r="O79" s="473" t="str">
        <f>Juni!O79</f>
        <v/>
      </c>
      <c r="P79" s="463"/>
      <c r="Q79" s="325" t="str">
        <f>IFERROR(VLOOKUP(P79, Tarieven!$A$2:$J$150, 10, FALSE), "0")</f>
        <v>0</v>
      </c>
      <c r="R79" s="138" t="str">
        <f>Juni!R79</f>
        <v/>
      </c>
      <c r="S79" s="459"/>
      <c r="T79" s="325" t="str">
        <f>IFERROR(VLOOKUP(S79, Tarieven!$A$2:$J$150, 10, FALSE), "0")</f>
        <v>0</v>
      </c>
      <c r="U79" s="77" t="str">
        <f>Juni!U79</f>
        <v/>
      </c>
      <c r="V79" s="327" t="str">
        <f>Juni!V79</f>
        <v/>
      </c>
      <c r="W79" s="325" t="str">
        <f>IFERROR(VLOOKUP(V79, Tarieven!$A$2:$J$150, 10, FALSE), "0")</f>
        <v>0</v>
      </c>
      <c r="X79" s="138">
        <f>Juni!X79</f>
        <v>0</v>
      </c>
      <c r="Y79" s="398">
        <v>0.0</v>
      </c>
      <c r="Z79" s="329">
        <f t="shared" si="3"/>
        <v>0</v>
      </c>
      <c r="AA79" s="32">
        <f t="shared" si="4"/>
        <v>0</v>
      </c>
      <c r="AB79" s="32">
        <f t="shared" si="5"/>
        <v>0</v>
      </c>
      <c r="AC79" s="32">
        <f t="shared" si="6"/>
        <v>0</v>
      </c>
    </row>
    <row r="80" ht="22.5" customHeight="1">
      <c r="A80" s="331" t="str">
        <f>Rooster!A81</f>
        <v/>
      </c>
      <c r="B80" s="396" t="str">
        <f>Rooster!B81</f>
        <v/>
      </c>
      <c r="C80" s="15" t="str">
        <f>Rooster!C81</f>
        <v/>
      </c>
      <c r="D80" s="11" t="str">
        <f>Rooster!D81</f>
        <v/>
      </c>
      <c r="E80" s="485"/>
      <c r="F80" s="327" t="str">
        <f>Rooster!E81</f>
        <v/>
      </c>
      <c r="G80" s="319" t="str">
        <f>IFERROR(VLOOKUP(F80, Docenten!$A$2:$G$30, 7, FALSE), "0")</f>
        <v>0</v>
      </c>
      <c r="H80" s="320">
        <f t="shared" si="1"/>
        <v>0</v>
      </c>
      <c r="I80" s="327" t="str">
        <f>Rooster!H81</f>
        <v/>
      </c>
      <c r="J80" s="321" t="str">
        <f>IFERROR(VLOOKUP(I80, Locaties!$A$2:$G$15, 7, FALSE), "0")</f>
        <v>0</v>
      </c>
      <c r="K80" s="42">
        <f t="shared" si="2"/>
        <v>0</v>
      </c>
      <c r="L80" s="464" t="str">
        <f>Juni!L80</f>
        <v/>
      </c>
      <c r="M80" s="430"/>
      <c r="N80" s="321" t="str">
        <f>IFERROR(VLOOKUP(M80, Tarieven!$A$1:$J$150, 10, FALSE), "0")</f>
        <v>0</v>
      </c>
      <c r="O80" s="467" t="str">
        <f>Juni!O80</f>
        <v/>
      </c>
      <c r="P80" s="430"/>
      <c r="Q80" s="325" t="str">
        <f>IFERROR(VLOOKUP(P80, Tarieven!$A$2:$J$150, 10, FALSE), "0")</f>
        <v>0</v>
      </c>
      <c r="R80" s="138" t="str">
        <f>Juni!R80</f>
        <v/>
      </c>
      <c r="S80" s="459"/>
      <c r="T80" s="325" t="str">
        <f>IFERROR(VLOOKUP(S80, Tarieven!$A$2:$J$150, 10, FALSE), "0")</f>
        <v>0</v>
      </c>
      <c r="U80" s="77" t="str">
        <f>Juni!U80</f>
        <v/>
      </c>
      <c r="V80" s="327" t="str">
        <f>Juni!V80</f>
        <v/>
      </c>
      <c r="W80" s="325" t="str">
        <f>IFERROR(VLOOKUP(V80, Tarieven!$A$2:$J$150, 10, FALSE), "0")</f>
        <v>0</v>
      </c>
      <c r="X80" s="138">
        <f>Juni!X80</f>
        <v>0</v>
      </c>
      <c r="Y80" s="398">
        <v>0.0</v>
      </c>
      <c r="Z80" s="329">
        <f t="shared" si="3"/>
        <v>0</v>
      </c>
      <c r="AA80" s="32">
        <f t="shared" si="4"/>
        <v>0</v>
      </c>
      <c r="AB80" s="32">
        <f t="shared" si="5"/>
        <v>0</v>
      </c>
      <c r="AC80" s="32">
        <f t="shared" si="6"/>
        <v>0</v>
      </c>
    </row>
    <row r="81" ht="22.5" customHeight="1">
      <c r="A81" s="331" t="str">
        <f>Rooster!A82</f>
        <v/>
      </c>
      <c r="B81" s="396" t="str">
        <f>Rooster!B82</f>
        <v/>
      </c>
      <c r="C81" s="15" t="str">
        <f>Rooster!C82</f>
        <v/>
      </c>
      <c r="D81" s="11" t="str">
        <f>Rooster!D82</f>
        <v/>
      </c>
      <c r="E81" s="485"/>
      <c r="F81" s="327" t="str">
        <f>Rooster!E82</f>
        <v/>
      </c>
      <c r="G81" s="319" t="str">
        <f>IFERROR(VLOOKUP(F81, Docenten!$A$2:$G$30, 7, FALSE), "0")</f>
        <v>0</v>
      </c>
      <c r="H81" s="320">
        <f t="shared" si="1"/>
        <v>0</v>
      </c>
      <c r="I81" s="327" t="str">
        <f>Rooster!H82</f>
        <v/>
      </c>
      <c r="J81" s="321" t="str">
        <f>IFERROR(VLOOKUP(I81, Locaties!$A$2:$G$15, 7, FALSE), "0")</f>
        <v>0</v>
      </c>
      <c r="K81" s="42">
        <f t="shared" si="2"/>
        <v>0</v>
      </c>
      <c r="L81" s="484" t="str">
        <f>Juni!L81</f>
        <v/>
      </c>
      <c r="M81" s="474"/>
      <c r="N81" s="321" t="str">
        <f>IFERROR(VLOOKUP(M81, Tarieven!$A$1:$J$150, 10, FALSE), "0")</f>
        <v>0</v>
      </c>
      <c r="O81" s="473" t="str">
        <f>Juni!O81</f>
        <v/>
      </c>
      <c r="P81" s="463"/>
      <c r="Q81" s="325" t="str">
        <f>IFERROR(VLOOKUP(P81, Tarieven!$A$2:$J$150, 10, FALSE), "0")</f>
        <v>0</v>
      </c>
      <c r="R81" s="138" t="str">
        <f>Juni!R81</f>
        <v/>
      </c>
      <c r="S81" s="459"/>
      <c r="T81" s="325" t="str">
        <f>IFERROR(VLOOKUP(S81, Tarieven!$A$2:$J$150, 10, FALSE), "0")</f>
        <v>0</v>
      </c>
      <c r="U81" s="77" t="str">
        <f>Juni!U81</f>
        <v/>
      </c>
      <c r="V81" s="327" t="str">
        <f>Juni!V81</f>
        <v/>
      </c>
      <c r="W81" s="325" t="str">
        <f>IFERROR(VLOOKUP(V81, Tarieven!$A$2:$J$150, 10, FALSE), "0")</f>
        <v>0</v>
      </c>
      <c r="X81" s="138">
        <f>Juni!X81</f>
        <v>0</v>
      </c>
      <c r="Y81" s="398">
        <v>0.0</v>
      </c>
      <c r="Z81" s="329">
        <f t="shared" si="3"/>
        <v>0</v>
      </c>
      <c r="AA81" s="32">
        <f t="shared" si="4"/>
        <v>0</v>
      </c>
      <c r="AB81" s="32">
        <f t="shared" si="5"/>
        <v>0</v>
      </c>
      <c r="AC81" s="32">
        <f t="shared" si="6"/>
        <v>0</v>
      </c>
    </row>
    <row r="82" ht="22.5" customHeight="1">
      <c r="A82" s="331" t="str">
        <f>Rooster!A83</f>
        <v/>
      </c>
      <c r="B82" s="396" t="str">
        <f>Rooster!B83</f>
        <v/>
      </c>
      <c r="C82" s="15" t="str">
        <f>Rooster!C83</f>
        <v/>
      </c>
      <c r="D82" s="11" t="str">
        <f>Rooster!D83</f>
        <v/>
      </c>
      <c r="E82" s="485"/>
      <c r="F82" s="327" t="str">
        <f>Rooster!E83</f>
        <v/>
      </c>
      <c r="G82" s="319" t="str">
        <f>IFERROR(VLOOKUP(F82, Docenten!$A$2:$G$30, 7, FALSE), "0")</f>
        <v>0</v>
      </c>
      <c r="H82" s="320">
        <f t="shared" si="1"/>
        <v>0</v>
      </c>
      <c r="I82" s="327" t="str">
        <f>Rooster!H83</f>
        <v/>
      </c>
      <c r="J82" s="321" t="str">
        <f>IFERROR(VLOOKUP(I82, Locaties!$A$2:$G$15, 7, FALSE), "0")</f>
        <v>0</v>
      </c>
      <c r="K82" s="42">
        <f t="shared" si="2"/>
        <v>0</v>
      </c>
      <c r="L82" s="464" t="str">
        <f>Juni!L82</f>
        <v/>
      </c>
      <c r="M82" s="430"/>
      <c r="N82" s="321" t="str">
        <f>IFERROR(VLOOKUP(M82, Tarieven!$A$1:$J$150, 10, FALSE), "0")</f>
        <v>0</v>
      </c>
      <c r="O82" s="467" t="str">
        <f>Juni!O82</f>
        <v/>
      </c>
      <c r="P82" s="430"/>
      <c r="Q82" s="325" t="str">
        <f>IFERROR(VLOOKUP(P82, Tarieven!$A$2:$J$150, 10, FALSE), "0")</f>
        <v>0</v>
      </c>
      <c r="R82" s="138" t="str">
        <f>Juni!R82</f>
        <v/>
      </c>
      <c r="S82" s="459"/>
      <c r="T82" s="325" t="str">
        <f>IFERROR(VLOOKUP(S82, Tarieven!$A$2:$J$150, 10, FALSE), "0")</f>
        <v>0</v>
      </c>
      <c r="U82" s="77" t="str">
        <f>Juni!U82</f>
        <v/>
      </c>
      <c r="V82" s="327" t="str">
        <f>Juni!V82</f>
        <v/>
      </c>
      <c r="W82" s="325" t="str">
        <f>IFERROR(VLOOKUP(V82, Tarieven!$A$2:$J$150, 10, FALSE), "0")</f>
        <v>0</v>
      </c>
      <c r="X82" s="138">
        <f>Juni!X82</f>
        <v>0</v>
      </c>
      <c r="Y82" s="398">
        <v>0.0</v>
      </c>
      <c r="Z82" s="329">
        <f t="shared" si="3"/>
        <v>0</v>
      </c>
      <c r="AA82" s="32">
        <f t="shared" si="4"/>
        <v>0</v>
      </c>
      <c r="AB82" s="32">
        <f t="shared" si="5"/>
        <v>0</v>
      </c>
      <c r="AC82" s="32">
        <f t="shared" si="6"/>
        <v>0</v>
      </c>
    </row>
    <row r="83" ht="22.5" customHeight="1">
      <c r="A83" s="331" t="str">
        <f>Rooster!A84</f>
        <v/>
      </c>
      <c r="B83" s="396" t="str">
        <f>Rooster!B84</f>
        <v/>
      </c>
      <c r="C83" s="15" t="str">
        <f>Rooster!C84</f>
        <v/>
      </c>
      <c r="D83" s="11" t="str">
        <f>Rooster!D84</f>
        <v/>
      </c>
      <c r="E83" s="485"/>
      <c r="F83" s="327" t="str">
        <f>Rooster!E84</f>
        <v/>
      </c>
      <c r="G83" s="319" t="str">
        <f>IFERROR(VLOOKUP(F83, Docenten!$A$2:$G$30, 7, FALSE), "0")</f>
        <v>0</v>
      </c>
      <c r="H83" s="320">
        <f t="shared" si="1"/>
        <v>0</v>
      </c>
      <c r="I83" s="327" t="str">
        <f>Rooster!H84</f>
        <v/>
      </c>
      <c r="J83" s="321" t="str">
        <f>IFERROR(VLOOKUP(I83, Locaties!$A$2:$G$15, 7, FALSE), "0")</f>
        <v>0</v>
      </c>
      <c r="K83" s="42">
        <f t="shared" si="2"/>
        <v>0</v>
      </c>
      <c r="L83" s="484" t="str">
        <f>Juni!L83</f>
        <v/>
      </c>
      <c r="M83" s="474"/>
      <c r="N83" s="321" t="str">
        <f>IFERROR(VLOOKUP(M83, Tarieven!$A$1:$J$150, 10, FALSE), "0")</f>
        <v>0</v>
      </c>
      <c r="O83" s="462" t="str">
        <f>Juni!O83</f>
        <v/>
      </c>
      <c r="P83" s="463"/>
      <c r="Q83" s="325" t="str">
        <f>IFERROR(VLOOKUP(P83, Tarieven!$A$2:$J$150, 10, FALSE), "0")</f>
        <v>0</v>
      </c>
      <c r="R83" s="138" t="str">
        <f>Juni!R83</f>
        <v/>
      </c>
      <c r="S83" s="459"/>
      <c r="T83" s="325" t="str">
        <f>IFERROR(VLOOKUP(S83, Tarieven!$A$2:$J$150, 10, FALSE), "0")</f>
        <v>0</v>
      </c>
      <c r="U83" s="77" t="str">
        <f>Juni!U83</f>
        <v/>
      </c>
      <c r="V83" s="327" t="str">
        <f>Juni!V83</f>
        <v/>
      </c>
      <c r="W83" s="325" t="str">
        <f>IFERROR(VLOOKUP(V83, Tarieven!$A$2:$J$150, 10, FALSE), "0")</f>
        <v>0</v>
      </c>
      <c r="X83" s="138">
        <f>Juni!X83</f>
        <v>0</v>
      </c>
      <c r="Y83" s="398">
        <v>0.0</v>
      </c>
      <c r="Z83" s="329">
        <f t="shared" si="3"/>
        <v>0</v>
      </c>
      <c r="AA83" s="32">
        <f t="shared" si="4"/>
        <v>0</v>
      </c>
      <c r="AB83" s="32">
        <f t="shared" si="5"/>
        <v>0</v>
      </c>
      <c r="AC83" s="32">
        <f t="shared" si="6"/>
        <v>0</v>
      </c>
    </row>
    <row r="84" ht="22.5" customHeight="1">
      <c r="A84" s="331" t="str">
        <f>Rooster!A85</f>
        <v/>
      </c>
      <c r="B84" s="396" t="str">
        <f>Rooster!B85</f>
        <v/>
      </c>
      <c r="C84" s="15" t="str">
        <f>Rooster!C85</f>
        <v/>
      </c>
      <c r="D84" s="11" t="str">
        <f>Rooster!D85</f>
        <v/>
      </c>
      <c r="E84" s="485"/>
      <c r="F84" s="327" t="str">
        <f>Rooster!E85</f>
        <v/>
      </c>
      <c r="G84" s="319" t="str">
        <f>IFERROR(VLOOKUP(F84, Docenten!$A$2:$G$30, 7, FALSE), "0")</f>
        <v>0</v>
      </c>
      <c r="H84" s="320">
        <f t="shared" si="1"/>
        <v>0</v>
      </c>
      <c r="I84" s="327" t="str">
        <f>Rooster!H85</f>
        <v/>
      </c>
      <c r="J84" s="321" t="str">
        <f>IFERROR(VLOOKUP(I84, Locaties!$A$2:$G$15, 7, FALSE), "0")</f>
        <v>0</v>
      </c>
      <c r="K84" s="42">
        <f t="shared" si="2"/>
        <v>0</v>
      </c>
      <c r="L84" s="464" t="str">
        <f>Juni!L84</f>
        <v/>
      </c>
      <c r="M84" s="430"/>
      <c r="N84" s="321" t="str">
        <f>IFERROR(VLOOKUP(M84, Tarieven!$A$1:$J$150, 10, FALSE), "0")</f>
        <v>0</v>
      </c>
      <c r="O84" s="429" t="str">
        <f>Juni!O84</f>
        <v/>
      </c>
      <c r="P84" s="430"/>
      <c r="Q84" s="325" t="str">
        <f>IFERROR(VLOOKUP(P84, Tarieven!$A$2:$J$150, 10, FALSE), "0")</f>
        <v>0</v>
      </c>
      <c r="R84" s="138" t="str">
        <f>Juni!R84</f>
        <v/>
      </c>
      <c r="S84" s="459"/>
      <c r="T84" s="325" t="str">
        <f>IFERROR(VLOOKUP(S84, Tarieven!$A$2:$J$150, 10, FALSE), "0")</f>
        <v>0</v>
      </c>
      <c r="U84" s="77" t="str">
        <f>Juni!U84</f>
        <v/>
      </c>
      <c r="V84" s="327" t="str">
        <f>Juni!V84</f>
        <v/>
      </c>
      <c r="W84" s="325" t="str">
        <f>IFERROR(VLOOKUP(V84, Tarieven!$A$2:$J$150, 10, FALSE), "0")</f>
        <v>0</v>
      </c>
      <c r="X84" s="138">
        <f>Juni!X84</f>
        <v>0</v>
      </c>
      <c r="Y84" s="398">
        <v>0.0</v>
      </c>
      <c r="Z84" s="329">
        <f t="shared" si="3"/>
        <v>0</v>
      </c>
      <c r="AA84" s="32">
        <f t="shared" si="4"/>
        <v>0</v>
      </c>
      <c r="AB84" s="32">
        <f t="shared" si="5"/>
        <v>0</v>
      </c>
      <c r="AC84" s="32">
        <f t="shared" si="6"/>
        <v>0</v>
      </c>
    </row>
    <row r="85" ht="22.5" customHeight="1">
      <c r="A85" s="331" t="str">
        <f>Rooster!A86</f>
        <v/>
      </c>
      <c r="B85" s="396" t="str">
        <f>Rooster!B86</f>
        <v/>
      </c>
      <c r="C85" s="15" t="str">
        <f>Rooster!C86</f>
        <v/>
      </c>
      <c r="D85" s="11" t="str">
        <f>Rooster!D86</f>
        <v/>
      </c>
      <c r="E85" s="485"/>
      <c r="F85" s="327" t="str">
        <f>Rooster!E86</f>
        <v/>
      </c>
      <c r="G85" s="319" t="str">
        <f>IFERROR(VLOOKUP(F85, Docenten!$A$2:$G$30, 7, FALSE), "0")</f>
        <v>0</v>
      </c>
      <c r="H85" s="320">
        <f t="shared" si="1"/>
        <v>0</v>
      </c>
      <c r="I85" s="327" t="str">
        <f>Rooster!H86</f>
        <v/>
      </c>
      <c r="J85" s="321" t="str">
        <f>IFERROR(VLOOKUP(I85, Locaties!$A$2:$G$15, 7, FALSE), "0")</f>
        <v>0</v>
      </c>
      <c r="K85" s="42">
        <f t="shared" si="2"/>
        <v>0</v>
      </c>
      <c r="L85" s="484" t="str">
        <f>Juni!L85</f>
        <v/>
      </c>
      <c r="M85" s="474"/>
      <c r="N85" s="321" t="str">
        <f>IFERROR(VLOOKUP(M85, Tarieven!$A$1:$J$150, 10, FALSE), "0")</f>
        <v>0</v>
      </c>
      <c r="O85" s="462" t="str">
        <f>Juni!O85</f>
        <v/>
      </c>
      <c r="P85" s="463"/>
      <c r="Q85" s="325" t="str">
        <f>IFERROR(VLOOKUP(P85, Tarieven!$A$2:$J$150, 10, FALSE), "0")</f>
        <v>0</v>
      </c>
      <c r="R85" s="138" t="str">
        <f>Juni!R85</f>
        <v/>
      </c>
      <c r="S85" s="459"/>
      <c r="T85" s="325" t="str">
        <f>IFERROR(VLOOKUP(S85, Tarieven!$A$2:$J$150, 10, FALSE), "0")</f>
        <v>0</v>
      </c>
      <c r="U85" s="77" t="str">
        <f>Juni!U85</f>
        <v/>
      </c>
      <c r="V85" s="327" t="str">
        <f>Juni!V85</f>
        <v/>
      </c>
      <c r="W85" s="325" t="str">
        <f>IFERROR(VLOOKUP(V85, Tarieven!$A$2:$J$150, 10, FALSE), "0")</f>
        <v>0</v>
      </c>
      <c r="X85" s="138">
        <f>Juni!X85</f>
        <v>0</v>
      </c>
      <c r="Y85" s="398">
        <v>0.0</v>
      </c>
      <c r="Z85" s="329">
        <f t="shared" si="3"/>
        <v>0</v>
      </c>
      <c r="AA85" s="32">
        <f t="shared" si="4"/>
        <v>0</v>
      </c>
      <c r="AB85" s="32">
        <f t="shared" si="5"/>
        <v>0</v>
      </c>
      <c r="AC85" s="32">
        <f t="shared" si="6"/>
        <v>0</v>
      </c>
    </row>
    <row r="86" ht="22.5" customHeight="1">
      <c r="A86" s="331" t="str">
        <f>Rooster!A87</f>
        <v/>
      </c>
      <c r="B86" s="396" t="str">
        <f>Rooster!B87</f>
        <v/>
      </c>
      <c r="C86" s="15" t="str">
        <f>Rooster!C87</f>
        <v/>
      </c>
      <c r="D86" s="11" t="str">
        <f>Rooster!D87</f>
        <v/>
      </c>
      <c r="E86" s="485"/>
      <c r="F86" s="327" t="str">
        <f>Rooster!E87</f>
        <v/>
      </c>
      <c r="G86" s="319" t="str">
        <f>IFERROR(VLOOKUP(F86, Docenten!$A$2:$G$30, 7, FALSE), "0")</f>
        <v>0</v>
      </c>
      <c r="H86" s="320">
        <f t="shared" si="1"/>
        <v>0</v>
      </c>
      <c r="I86" s="327" t="str">
        <f>Rooster!H87</f>
        <v/>
      </c>
      <c r="J86" s="321" t="str">
        <f>IFERROR(VLOOKUP(I86, Locaties!$A$2:$G$15, 7, FALSE), "0")</f>
        <v>0</v>
      </c>
      <c r="K86" s="42">
        <f t="shared" si="2"/>
        <v>0</v>
      </c>
      <c r="L86" s="464" t="str">
        <f>Juni!L86</f>
        <v/>
      </c>
      <c r="M86" s="430"/>
      <c r="N86" s="321" t="str">
        <f>IFERROR(VLOOKUP(M86, Tarieven!$A$1:$J$150, 10, FALSE), "0")</f>
        <v>0</v>
      </c>
      <c r="O86" s="429" t="str">
        <f>Juni!O86</f>
        <v/>
      </c>
      <c r="P86" s="430"/>
      <c r="Q86" s="325" t="str">
        <f>IFERROR(VLOOKUP(P86, Tarieven!$A$2:$J$150, 10, FALSE), "0")</f>
        <v>0</v>
      </c>
      <c r="R86" s="138" t="str">
        <f>Juni!R86</f>
        <v/>
      </c>
      <c r="S86" s="459"/>
      <c r="T86" s="325" t="str">
        <f>IFERROR(VLOOKUP(S86, Tarieven!$A$2:$J$150, 10, FALSE), "0")</f>
        <v>0</v>
      </c>
      <c r="U86" s="77" t="str">
        <f>Juni!U86</f>
        <v/>
      </c>
      <c r="V86" s="327" t="str">
        <f>Juni!V86</f>
        <v/>
      </c>
      <c r="W86" s="325" t="str">
        <f>IFERROR(VLOOKUP(V86, Tarieven!$A$2:$J$150, 10, FALSE), "0")</f>
        <v>0</v>
      </c>
      <c r="X86" s="138">
        <f>Juni!X86</f>
        <v>0</v>
      </c>
      <c r="Y86" s="398">
        <v>0.0</v>
      </c>
      <c r="Z86" s="329">
        <f t="shared" si="3"/>
        <v>0</v>
      </c>
      <c r="AA86" s="32">
        <f t="shared" si="4"/>
        <v>0</v>
      </c>
      <c r="AB86" s="32">
        <f t="shared" si="5"/>
        <v>0</v>
      </c>
      <c r="AC86" s="32">
        <f t="shared" si="6"/>
        <v>0</v>
      </c>
    </row>
    <row r="87" ht="22.5" customHeight="1">
      <c r="A87" s="331" t="str">
        <f>Rooster!A88</f>
        <v/>
      </c>
      <c r="B87" s="396" t="str">
        <f>Rooster!B88</f>
        <v/>
      </c>
      <c r="C87" s="15" t="str">
        <f>Rooster!C88</f>
        <v/>
      </c>
      <c r="D87" s="11" t="str">
        <f>Rooster!D88</f>
        <v/>
      </c>
      <c r="E87" s="485"/>
      <c r="F87" s="327" t="str">
        <f>Rooster!E88</f>
        <v/>
      </c>
      <c r="G87" s="319" t="str">
        <f>IFERROR(VLOOKUP(F87, Docenten!$A$2:$G$30, 7, FALSE), "0")</f>
        <v>0</v>
      </c>
      <c r="H87" s="320">
        <f t="shared" si="1"/>
        <v>0</v>
      </c>
      <c r="I87" s="327" t="str">
        <f>Rooster!H88</f>
        <v/>
      </c>
      <c r="J87" s="321" t="str">
        <f>IFERROR(VLOOKUP(I87, Locaties!$A$2:$G$15, 7, FALSE), "0")</f>
        <v>0</v>
      </c>
      <c r="K87" s="42">
        <f t="shared" si="2"/>
        <v>0</v>
      </c>
      <c r="L87" s="484" t="str">
        <f>Juni!L87</f>
        <v/>
      </c>
      <c r="M87" s="474"/>
      <c r="N87" s="321" t="str">
        <f>IFERROR(VLOOKUP(M87, Tarieven!$A$1:$J$150, 10, FALSE), "0")</f>
        <v>0</v>
      </c>
      <c r="O87" s="462" t="str">
        <f>Juni!O87</f>
        <v/>
      </c>
      <c r="P87" s="463"/>
      <c r="Q87" s="325" t="str">
        <f>IFERROR(VLOOKUP(P87, Tarieven!$A$2:$J$150, 10, FALSE), "0")</f>
        <v>0</v>
      </c>
      <c r="R87" s="138" t="str">
        <f>Juni!R87</f>
        <v/>
      </c>
      <c r="S87" s="459"/>
      <c r="T87" s="325" t="str">
        <f>IFERROR(VLOOKUP(S87, Tarieven!$A$2:$J$150, 10, FALSE), "0")</f>
        <v>0</v>
      </c>
      <c r="U87" s="77" t="str">
        <f>Juni!U87</f>
        <v/>
      </c>
      <c r="V87" s="327" t="str">
        <f>Juni!V87</f>
        <v/>
      </c>
      <c r="W87" s="325" t="str">
        <f>IFERROR(VLOOKUP(V87, Tarieven!$A$2:$J$150, 10, FALSE), "0")</f>
        <v>0</v>
      </c>
      <c r="X87" s="138">
        <f>Juni!X87</f>
        <v>0</v>
      </c>
      <c r="Y87" s="398">
        <v>0.0</v>
      </c>
      <c r="Z87" s="329">
        <f t="shared" si="3"/>
        <v>0</v>
      </c>
      <c r="AA87" s="32">
        <f t="shared" si="4"/>
        <v>0</v>
      </c>
      <c r="AB87" s="32">
        <f t="shared" si="5"/>
        <v>0</v>
      </c>
      <c r="AC87" s="32">
        <f t="shared" si="6"/>
        <v>0</v>
      </c>
    </row>
    <row r="88" ht="22.5" customHeight="1">
      <c r="A88" s="331" t="str">
        <f>Rooster!A89</f>
        <v/>
      </c>
      <c r="B88" s="396" t="str">
        <f>Rooster!B89</f>
        <v/>
      </c>
      <c r="C88" s="15" t="str">
        <f>Rooster!C89</f>
        <v/>
      </c>
      <c r="D88" s="11" t="str">
        <f>Rooster!D89</f>
        <v/>
      </c>
      <c r="E88" s="485"/>
      <c r="F88" s="327" t="str">
        <f>Rooster!E89</f>
        <v/>
      </c>
      <c r="G88" s="319" t="str">
        <f>IFERROR(VLOOKUP(F88, Docenten!$A$2:$G$30, 7, FALSE), "0")</f>
        <v>0</v>
      </c>
      <c r="H88" s="320">
        <f t="shared" si="1"/>
        <v>0</v>
      </c>
      <c r="I88" s="327" t="str">
        <f>Rooster!H89</f>
        <v/>
      </c>
      <c r="J88" s="321" t="str">
        <f>IFERROR(VLOOKUP(I88, Locaties!$A$2:$G$15, 7, FALSE), "0")</f>
        <v>0</v>
      </c>
      <c r="K88" s="42">
        <f t="shared" si="2"/>
        <v>0</v>
      </c>
      <c r="L88" s="464" t="str">
        <f>Juni!L88</f>
        <v/>
      </c>
      <c r="M88" s="430"/>
      <c r="N88" s="321" t="str">
        <f>IFERROR(VLOOKUP(M88, Tarieven!$A$1:$J$150, 10, FALSE), "0")</f>
        <v>0</v>
      </c>
      <c r="O88" s="429" t="str">
        <f>Juni!O88</f>
        <v/>
      </c>
      <c r="P88" s="430"/>
      <c r="Q88" s="325" t="str">
        <f>IFERROR(VLOOKUP(P88, Tarieven!$A$2:$J$150, 10, FALSE), "0")</f>
        <v>0</v>
      </c>
      <c r="R88" s="138" t="str">
        <f>Juni!R88</f>
        <v/>
      </c>
      <c r="S88" s="459"/>
      <c r="T88" s="325" t="str">
        <f>IFERROR(VLOOKUP(S88, Tarieven!$A$2:$J$150, 10, FALSE), "0")</f>
        <v>0</v>
      </c>
      <c r="U88" s="77" t="str">
        <f>Juni!U88</f>
        <v/>
      </c>
      <c r="V88" s="327" t="str">
        <f>Juni!V88</f>
        <v/>
      </c>
      <c r="W88" s="325" t="str">
        <f>IFERROR(VLOOKUP(V88, Tarieven!$A$2:$J$150, 10, FALSE), "0")</f>
        <v>0</v>
      </c>
      <c r="X88" s="138">
        <f>Juni!X88</f>
        <v>0</v>
      </c>
      <c r="Y88" s="398">
        <v>0.0</v>
      </c>
      <c r="Z88" s="329">
        <f t="shared" si="3"/>
        <v>0</v>
      </c>
      <c r="AA88" s="32">
        <f t="shared" si="4"/>
        <v>0</v>
      </c>
      <c r="AB88" s="32">
        <f t="shared" si="5"/>
        <v>0</v>
      </c>
      <c r="AC88" s="32">
        <f t="shared" si="6"/>
        <v>0</v>
      </c>
    </row>
    <row r="89" ht="22.5" customHeight="1">
      <c r="A89" s="331" t="str">
        <f>Rooster!A90</f>
        <v/>
      </c>
      <c r="B89" s="396" t="str">
        <f>Rooster!B90</f>
        <v/>
      </c>
      <c r="C89" s="15" t="str">
        <f>Rooster!C90</f>
        <v/>
      </c>
      <c r="D89" s="11" t="str">
        <f>Rooster!D90</f>
        <v/>
      </c>
      <c r="E89" s="485"/>
      <c r="F89" s="327" t="str">
        <f>Rooster!E90</f>
        <v/>
      </c>
      <c r="G89" s="319" t="str">
        <f>IFERROR(VLOOKUP(F89, Docenten!$A$2:$G$30, 7, FALSE), "0")</f>
        <v>0</v>
      </c>
      <c r="H89" s="320">
        <f t="shared" si="1"/>
        <v>0</v>
      </c>
      <c r="I89" s="327" t="str">
        <f>Rooster!H90</f>
        <v/>
      </c>
      <c r="J89" s="321" t="str">
        <f>IFERROR(VLOOKUP(I89, Locaties!$A$2:$G$15, 7, FALSE), "0")</f>
        <v>0</v>
      </c>
      <c r="K89" s="42">
        <f t="shared" si="2"/>
        <v>0</v>
      </c>
      <c r="L89" s="484" t="str">
        <f>Juni!L89</f>
        <v/>
      </c>
      <c r="M89" s="474"/>
      <c r="N89" s="321" t="str">
        <f>IFERROR(VLOOKUP(M89, Tarieven!$A$1:$J$150, 10, FALSE), "0")</f>
        <v>0</v>
      </c>
      <c r="O89" s="462" t="str">
        <f>Juni!O89</f>
        <v/>
      </c>
      <c r="P89" s="463"/>
      <c r="Q89" s="325" t="str">
        <f>IFERROR(VLOOKUP(P89, Tarieven!$A$2:$J$150, 10, FALSE), "0")</f>
        <v>0</v>
      </c>
      <c r="R89" s="138" t="str">
        <f>Juni!R89</f>
        <v/>
      </c>
      <c r="S89" s="459"/>
      <c r="T89" s="325" t="str">
        <f>IFERROR(VLOOKUP(S89, Tarieven!$A$2:$J$150, 10, FALSE), "0")</f>
        <v>0</v>
      </c>
      <c r="U89" s="77" t="str">
        <f>Juni!U89</f>
        <v/>
      </c>
      <c r="V89" s="327" t="str">
        <f>Juni!V89</f>
        <v/>
      </c>
      <c r="W89" s="325" t="str">
        <f>IFERROR(VLOOKUP(V89, Tarieven!$A$2:$J$150, 10, FALSE), "0")</f>
        <v>0</v>
      </c>
      <c r="X89" s="138">
        <f>Juni!X89</f>
        <v>0</v>
      </c>
      <c r="Y89" s="398">
        <v>0.0</v>
      </c>
      <c r="Z89" s="329">
        <f t="shared" si="3"/>
        <v>0</v>
      </c>
      <c r="AA89" s="32">
        <f t="shared" si="4"/>
        <v>0</v>
      </c>
      <c r="AB89" s="32">
        <f t="shared" si="5"/>
        <v>0</v>
      </c>
      <c r="AC89" s="32">
        <f t="shared" si="6"/>
        <v>0</v>
      </c>
    </row>
    <row r="90" ht="22.5" customHeight="1">
      <c r="A90" s="331" t="str">
        <f>Rooster!A91</f>
        <v/>
      </c>
      <c r="B90" s="396" t="str">
        <f>Rooster!B91</f>
        <v/>
      </c>
      <c r="C90" s="15" t="str">
        <f>Rooster!C91</f>
        <v/>
      </c>
      <c r="D90" s="11" t="str">
        <f>Rooster!D91</f>
        <v/>
      </c>
      <c r="E90" s="485"/>
      <c r="F90" s="327" t="str">
        <f>Rooster!E91</f>
        <v/>
      </c>
      <c r="G90" s="319" t="str">
        <f>IFERROR(VLOOKUP(F90, Docenten!$A$2:$G$30, 7, FALSE), "0")</f>
        <v>0</v>
      </c>
      <c r="H90" s="320">
        <f t="shared" si="1"/>
        <v>0</v>
      </c>
      <c r="I90" s="327" t="str">
        <f>Rooster!H91</f>
        <v/>
      </c>
      <c r="J90" s="321" t="str">
        <f>IFERROR(VLOOKUP(I90, Locaties!$A$2:$G$15, 7, FALSE), "0")</f>
        <v>0</v>
      </c>
      <c r="K90" s="42">
        <f t="shared" si="2"/>
        <v>0</v>
      </c>
      <c r="L90" s="464" t="str">
        <f>Juni!L90</f>
        <v/>
      </c>
      <c r="M90" s="430"/>
      <c r="N90" s="321" t="str">
        <f>IFERROR(VLOOKUP(M90, Tarieven!$A$1:$J$150, 10, FALSE), "0")</f>
        <v>0</v>
      </c>
      <c r="O90" s="429" t="str">
        <f>Juni!O90</f>
        <v/>
      </c>
      <c r="P90" s="430"/>
      <c r="Q90" s="325" t="str">
        <f>IFERROR(VLOOKUP(P90, Tarieven!$A$2:$J$150, 10, FALSE), "0")</f>
        <v>0</v>
      </c>
      <c r="R90" s="138" t="str">
        <f>Juni!R90</f>
        <v/>
      </c>
      <c r="S90" s="459"/>
      <c r="T90" s="325" t="str">
        <f>IFERROR(VLOOKUP(S90, Tarieven!$A$2:$J$150, 10, FALSE), "0")</f>
        <v>0</v>
      </c>
      <c r="U90" s="77" t="str">
        <f>Juni!U90</f>
        <v/>
      </c>
      <c r="V90" s="327" t="str">
        <f>Juni!V90</f>
        <v/>
      </c>
      <c r="W90" s="325" t="str">
        <f>IFERROR(VLOOKUP(V90, Tarieven!$A$2:$J$150, 10, FALSE), "0")</f>
        <v>0</v>
      </c>
      <c r="X90" s="138">
        <f>Juni!X90</f>
        <v>0</v>
      </c>
      <c r="Y90" s="398">
        <v>0.0</v>
      </c>
      <c r="Z90" s="329">
        <f t="shared" si="3"/>
        <v>0</v>
      </c>
      <c r="AA90" s="32">
        <f t="shared" si="4"/>
        <v>0</v>
      </c>
      <c r="AB90" s="32">
        <f t="shared" si="5"/>
        <v>0</v>
      </c>
      <c r="AC90" s="32">
        <f t="shared" si="6"/>
        <v>0</v>
      </c>
    </row>
    <row r="91" ht="22.5" customHeight="1">
      <c r="A91" s="331" t="str">
        <f>Rooster!A92</f>
        <v/>
      </c>
      <c r="B91" s="396" t="str">
        <f>Rooster!B92</f>
        <v/>
      </c>
      <c r="C91" s="15" t="str">
        <f>Rooster!C92</f>
        <v/>
      </c>
      <c r="D91" s="11" t="str">
        <f>Rooster!D92</f>
        <v/>
      </c>
      <c r="E91" s="485"/>
      <c r="F91" s="327" t="str">
        <f>Rooster!E92</f>
        <v/>
      </c>
      <c r="G91" s="319" t="str">
        <f>IFERROR(VLOOKUP(F91, Docenten!$A$2:$G$30, 7, FALSE), "0")</f>
        <v>0</v>
      </c>
      <c r="H91" s="320">
        <f t="shared" si="1"/>
        <v>0</v>
      </c>
      <c r="I91" s="327" t="str">
        <f>Rooster!H92</f>
        <v/>
      </c>
      <c r="J91" s="321" t="str">
        <f>IFERROR(VLOOKUP(I91, Locaties!$A$2:$G$15, 7, FALSE), "0")</f>
        <v>0</v>
      </c>
      <c r="K91" s="42">
        <f t="shared" si="2"/>
        <v>0</v>
      </c>
      <c r="L91" s="484" t="str">
        <f>Juni!L91</f>
        <v/>
      </c>
      <c r="M91" s="474"/>
      <c r="N91" s="321" t="str">
        <f>IFERROR(VLOOKUP(M91, Tarieven!$A$1:$J$150, 10, FALSE), "0")</f>
        <v>0</v>
      </c>
      <c r="O91" s="462" t="str">
        <f>Juni!O91</f>
        <v/>
      </c>
      <c r="P91" s="463"/>
      <c r="Q91" s="325" t="str">
        <f>IFERROR(VLOOKUP(P91, Tarieven!$A$2:$J$150, 10, FALSE), "0")</f>
        <v>0</v>
      </c>
      <c r="R91" s="138" t="str">
        <f>Juni!R91</f>
        <v/>
      </c>
      <c r="S91" s="459"/>
      <c r="T91" s="325" t="str">
        <f>IFERROR(VLOOKUP(S91, Tarieven!$A$2:$J$150, 10, FALSE), "0")</f>
        <v>0</v>
      </c>
      <c r="U91" s="77" t="str">
        <f>Juni!U91</f>
        <v/>
      </c>
      <c r="V91" s="327" t="str">
        <f>Juni!V91</f>
        <v/>
      </c>
      <c r="W91" s="325" t="str">
        <f>IFERROR(VLOOKUP(V91, Tarieven!$A$2:$J$150, 10, FALSE), "0")</f>
        <v>0</v>
      </c>
      <c r="X91" s="138">
        <f>Juni!X91</f>
        <v>0</v>
      </c>
      <c r="Y91" s="398">
        <v>0.0</v>
      </c>
      <c r="Z91" s="329">
        <f t="shared" si="3"/>
        <v>0</v>
      </c>
      <c r="AA91" s="32">
        <f t="shared" si="4"/>
        <v>0</v>
      </c>
      <c r="AB91" s="32">
        <f t="shared" si="5"/>
        <v>0</v>
      </c>
      <c r="AC91" s="32">
        <f t="shared" si="6"/>
        <v>0</v>
      </c>
    </row>
    <row r="92" ht="22.5" customHeight="1">
      <c r="A92" s="331" t="str">
        <f>Rooster!A93</f>
        <v/>
      </c>
      <c r="B92" s="396" t="str">
        <f>Rooster!B93</f>
        <v/>
      </c>
      <c r="C92" s="15" t="str">
        <f>Rooster!C93</f>
        <v/>
      </c>
      <c r="D92" s="11" t="str">
        <f>Rooster!D93</f>
        <v/>
      </c>
      <c r="E92" s="485"/>
      <c r="F92" s="327" t="str">
        <f>Rooster!E93</f>
        <v/>
      </c>
      <c r="G92" s="319" t="str">
        <f>IFERROR(VLOOKUP(F92, Docenten!$A$2:$G$30, 7, FALSE), "0")</f>
        <v>0</v>
      </c>
      <c r="H92" s="320">
        <f t="shared" si="1"/>
        <v>0</v>
      </c>
      <c r="I92" s="327" t="str">
        <f>Rooster!H93</f>
        <v/>
      </c>
      <c r="J92" s="321" t="str">
        <f>IFERROR(VLOOKUP(I92, Locaties!$A$2:$G$15, 7, FALSE), "0")</f>
        <v>0</v>
      </c>
      <c r="K92" s="42">
        <f t="shared" si="2"/>
        <v>0</v>
      </c>
      <c r="L92" s="464" t="str">
        <f>Juni!L92</f>
        <v/>
      </c>
      <c r="M92" s="430"/>
      <c r="N92" s="321" t="str">
        <f>IFERROR(VLOOKUP(M92, Tarieven!$A$1:$J$150, 10, FALSE), "0")</f>
        <v>0</v>
      </c>
      <c r="O92" s="429" t="str">
        <f>Juni!O92</f>
        <v/>
      </c>
      <c r="P92" s="430"/>
      <c r="Q92" s="325" t="str">
        <f>IFERROR(VLOOKUP(P92, Tarieven!$A$2:$J$150, 10, FALSE), "0")</f>
        <v>0</v>
      </c>
      <c r="R92" s="138" t="str">
        <f>Juni!R92</f>
        <v/>
      </c>
      <c r="S92" s="459"/>
      <c r="T92" s="325" t="str">
        <f>IFERROR(VLOOKUP(S92, Tarieven!$A$2:$J$150, 10, FALSE), "0")</f>
        <v>0</v>
      </c>
      <c r="U92" s="77" t="str">
        <f>Juni!U92</f>
        <v/>
      </c>
      <c r="V92" s="327" t="str">
        <f>Juni!V92</f>
        <v/>
      </c>
      <c r="W92" s="325" t="str">
        <f>IFERROR(VLOOKUP(V92, Tarieven!$A$2:$J$150, 10, FALSE), "0")</f>
        <v>0</v>
      </c>
      <c r="X92" s="138">
        <f>Juni!X92</f>
        <v>0</v>
      </c>
      <c r="Y92" s="398">
        <v>0.0</v>
      </c>
      <c r="Z92" s="329">
        <f t="shared" si="3"/>
        <v>0</v>
      </c>
      <c r="AA92" s="32">
        <f t="shared" si="4"/>
        <v>0</v>
      </c>
      <c r="AB92" s="32">
        <f t="shared" si="5"/>
        <v>0</v>
      </c>
      <c r="AC92" s="32">
        <f t="shared" si="6"/>
        <v>0</v>
      </c>
    </row>
    <row r="93" ht="22.5" customHeight="1">
      <c r="A93" s="331" t="str">
        <f>Rooster!A94</f>
        <v/>
      </c>
      <c r="B93" s="396" t="str">
        <f>Rooster!B94</f>
        <v/>
      </c>
      <c r="C93" s="15" t="str">
        <f>Rooster!C94</f>
        <v/>
      </c>
      <c r="D93" s="11" t="str">
        <f>Rooster!D94</f>
        <v/>
      </c>
      <c r="E93" s="485"/>
      <c r="F93" s="327" t="str">
        <f>Rooster!E94</f>
        <v/>
      </c>
      <c r="G93" s="319" t="str">
        <f>IFERROR(VLOOKUP(F93, Docenten!$A$2:$G$30, 7, FALSE), "0")</f>
        <v>0</v>
      </c>
      <c r="H93" s="320">
        <f t="shared" si="1"/>
        <v>0</v>
      </c>
      <c r="I93" s="327" t="str">
        <f>Rooster!H94</f>
        <v/>
      </c>
      <c r="J93" s="321" t="str">
        <f>IFERROR(VLOOKUP(I93, Locaties!$A$2:$G$15, 7, FALSE), "0")</f>
        <v>0</v>
      </c>
      <c r="K93" s="42">
        <f t="shared" si="2"/>
        <v>0</v>
      </c>
      <c r="L93" s="484" t="str">
        <f>Juni!L93</f>
        <v/>
      </c>
      <c r="M93" s="474"/>
      <c r="N93" s="321" t="str">
        <f>IFERROR(VLOOKUP(M93, Tarieven!$A$1:$J$150, 10, FALSE), "0")</f>
        <v>0</v>
      </c>
      <c r="O93" s="462" t="str">
        <f>Juni!O93</f>
        <v/>
      </c>
      <c r="P93" s="463"/>
      <c r="Q93" s="325" t="str">
        <f>IFERROR(VLOOKUP(P93, Tarieven!$A$2:$J$150, 10, FALSE), "0")</f>
        <v>0</v>
      </c>
      <c r="R93" s="138" t="str">
        <f>Juni!R93</f>
        <v/>
      </c>
      <c r="S93" s="459"/>
      <c r="T93" s="325" t="str">
        <f>IFERROR(VLOOKUP(S93, Tarieven!$A$2:$J$150, 10, FALSE), "0")</f>
        <v>0</v>
      </c>
      <c r="U93" s="77" t="str">
        <f>Juni!U93</f>
        <v/>
      </c>
      <c r="V93" s="327" t="str">
        <f>Juni!V93</f>
        <v/>
      </c>
      <c r="W93" s="325" t="str">
        <f>IFERROR(VLOOKUP(V93, Tarieven!$A$2:$J$150, 10, FALSE), "0")</f>
        <v>0</v>
      </c>
      <c r="X93" s="138">
        <f>Juni!X93</f>
        <v>0</v>
      </c>
      <c r="Y93" s="398">
        <v>0.0</v>
      </c>
      <c r="Z93" s="329">
        <f t="shared" si="3"/>
        <v>0</v>
      </c>
      <c r="AA93" s="32">
        <f t="shared" si="4"/>
        <v>0</v>
      </c>
      <c r="AB93" s="32">
        <f t="shared" si="5"/>
        <v>0</v>
      </c>
      <c r="AC93" s="32">
        <f t="shared" si="6"/>
        <v>0</v>
      </c>
    </row>
    <row r="94" ht="22.5" customHeight="1">
      <c r="A94" s="331" t="str">
        <f>Rooster!A95</f>
        <v/>
      </c>
      <c r="B94" s="396" t="str">
        <f>Rooster!B95</f>
        <v/>
      </c>
      <c r="C94" s="15" t="str">
        <f>Rooster!C95</f>
        <v/>
      </c>
      <c r="D94" s="11" t="str">
        <f>Rooster!D95</f>
        <v/>
      </c>
      <c r="E94" s="485"/>
      <c r="F94" s="327" t="str">
        <f>Rooster!E95</f>
        <v/>
      </c>
      <c r="G94" s="319" t="str">
        <f>IFERROR(VLOOKUP(F94, Docenten!$A$2:$G$30, 7, FALSE), "0")</f>
        <v>0</v>
      </c>
      <c r="H94" s="320">
        <f t="shared" si="1"/>
        <v>0</v>
      </c>
      <c r="I94" s="327" t="str">
        <f>Rooster!H95</f>
        <v/>
      </c>
      <c r="J94" s="321" t="str">
        <f>IFERROR(VLOOKUP(I94, Locaties!$A$2:$G$15, 7, FALSE), "0")</f>
        <v>0</v>
      </c>
      <c r="K94" s="42">
        <f t="shared" si="2"/>
        <v>0</v>
      </c>
      <c r="L94" s="464" t="str">
        <f>Juni!L94</f>
        <v/>
      </c>
      <c r="M94" s="430"/>
      <c r="N94" s="321" t="str">
        <f>IFERROR(VLOOKUP(M94, Tarieven!$A$1:$J$150, 10, FALSE), "0")</f>
        <v>0</v>
      </c>
      <c r="O94" s="429" t="str">
        <f>Juni!O94</f>
        <v/>
      </c>
      <c r="P94" s="430"/>
      <c r="Q94" s="325" t="str">
        <f>IFERROR(VLOOKUP(P94, Tarieven!$A$2:$J$150, 10, FALSE), "0")</f>
        <v>0</v>
      </c>
      <c r="R94" s="138" t="str">
        <f>Juni!R94</f>
        <v/>
      </c>
      <c r="S94" s="459"/>
      <c r="T94" s="325" t="str">
        <f>IFERROR(VLOOKUP(S94, Tarieven!$A$2:$J$150, 10, FALSE), "0")</f>
        <v>0</v>
      </c>
      <c r="U94" s="77" t="str">
        <f>Juni!U94</f>
        <v/>
      </c>
      <c r="V94" s="327" t="str">
        <f>Juni!V94</f>
        <v/>
      </c>
      <c r="W94" s="325" t="str">
        <f>IFERROR(VLOOKUP(V94, Tarieven!$A$2:$J$150, 10, FALSE), "0")</f>
        <v>0</v>
      </c>
      <c r="X94" s="138">
        <f>Juni!X94</f>
        <v>0</v>
      </c>
      <c r="Y94" s="398">
        <v>0.0</v>
      </c>
      <c r="Z94" s="329">
        <f t="shared" si="3"/>
        <v>0</v>
      </c>
      <c r="AA94" s="32">
        <f t="shared" si="4"/>
        <v>0</v>
      </c>
      <c r="AB94" s="32">
        <f t="shared" si="5"/>
        <v>0</v>
      </c>
      <c r="AC94" s="32">
        <f t="shared" si="6"/>
        <v>0</v>
      </c>
    </row>
    <row r="95" ht="22.5" customHeight="1">
      <c r="A95" s="331" t="str">
        <f>Rooster!A96</f>
        <v/>
      </c>
      <c r="B95" s="396" t="str">
        <f>Rooster!B96</f>
        <v/>
      </c>
      <c r="C95" s="15" t="str">
        <f>Rooster!C96</f>
        <v/>
      </c>
      <c r="D95" s="11" t="str">
        <f>Rooster!D96</f>
        <v/>
      </c>
      <c r="E95" s="485"/>
      <c r="F95" s="327" t="str">
        <f>Rooster!E96</f>
        <v/>
      </c>
      <c r="G95" s="319" t="str">
        <f>IFERROR(VLOOKUP(F95, Docenten!$A$2:$G$30, 7, FALSE), "0")</f>
        <v>0</v>
      </c>
      <c r="H95" s="320">
        <f t="shared" si="1"/>
        <v>0</v>
      </c>
      <c r="I95" s="327" t="str">
        <f>Rooster!H96</f>
        <v/>
      </c>
      <c r="J95" s="321" t="str">
        <f>IFERROR(VLOOKUP(I95, Locaties!$A$2:$G$15, 7, FALSE), "0")</f>
        <v>0</v>
      </c>
      <c r="K95" s="42">
        <f t="shared" si="2"/>
        <v>0</v>
      </c>
      <c r="L95" s="484" t="str">
        <f>Juni!L95</f>
        <v/>
      </c>
      <c r="M95" s="474"/>
      <c r="N95" s="321" t="str">
        <f>IFERROR(VLOOKUP(M95, Tarieven!$A$1:$J$150, 10, FALSE), "0")</f>
        <v>0</v>
      </c>
      <c r="O95" s="462" t="str">
        <f>Juni!O95</f>
        <v/>
      </c>
      <c r="P95" s="463"/>
      <c r="Q95" s="325" t="str">
        <f>IFERROR(VLOOKUP(P95, Tarieven!$A$2:$J$150, 10, FALSE), "0")</f>
        <v>0</v>
      </c>
      <c r="R95" s="138" t="str">
        <f>Juni!R95</f>
        <v/>
      </c>
      <c r="S95" s="459"/>
      <c r="T95" s="325" t="str">
        <f>IFERROR(VLOOKUP(S95, Tarieven!$A$2:$J$150, 10, FALSE), "0")</f>
        <v>0</v>
      </c>
      <c r="U95" s="77" t="str">
        <f>Juni!U95</f>
        <v/>
      </c>
      <c r="V95" s="327" t="str">
        <f>Juni!V95</f>
        <v/>
      </c>
      <c r="W95" s="325" t="str">
        <f>IFERROR(VLOOKUP(V95, Tarieven!$A$2:$J$150, 10, FALSE), "0")</f>
        <v>0</v>
      </c>
      <c r="X95" s="138">
        <f>Juni!X95</f>
        <v>0</v>
      </c>
      <c r="Y95" s="398">
        <v>0.0</v>
      </c>
      <c r="Z95" s="329">
        <f t="shared" si="3"/>
        <v>0</v>
      </c>
      <c r="AA95" s="32">
        <f t="shared" si="4"/>
        <v>0</v>
      </c>
      <c r="AB95" s="32">
        <f t="shared" si="5"/>
        <v>0</v>
      </c>
      <c r="AC95" s="32">
        <f t="shared" si="6"/>
        <v>0</v>
      </c>
    </row>
    <row r="96" ht="22.5" customHeight="1">
      <c r="A96" s="331" t="str">
        <f>Rooster!A97</f>
        <v/>
      </c>
      <c r="B96" s="396" t="str">
        <f>Rooster!B97</f>
        <v/>
      </c>
      <c r="C96" s="15" t="str">
        <f>Rooster!C97</f>
        <v/>
      </c>
      <c r="D96" s="11" t="str">
        <f>Rooster!D97</f>
        <v/>
      </c>
      <c r="E96" s="485"/>
      <c r="F96" s="327" t="str">
        <f>Rooster!E97</f>
        <v/>
      </c>
      <c r="G96" s="319" t="str">
        <f>IFERROR(VLOOKUP(F96, Docenten!$A$2:$G$30, 7, FALSE), "0")</f>
        <v>0</v>
      </c>
      <c r="H96" s="320">
        <f t="shared" si="1"/>
        <v>0</v>
      </c>
      <c r="I96" s="327" t="str">
        <f>Rooster!H97</f>
        <v/>
      </c>
      <c r="J96" s="321" t="str">
        <f>IFERROR(VLOOKUP(I96, Locaties!$A$2:$G$15, 7, FALSE), "0")</f>
        <v>0</v>
      </c>
      <c r="K96" s="42">
        <f t="shared" si="2"/>
        <v>0</v>
      </c>
      <c r="L96" s="464" t="str">
        <f>Juni!L96</f>
        <v/>
      </c>
      <c r="M96" s="430"/>
      <c r="N96" s="321" t="str">
        <f>IFERROR(VLOOKUP(M96, Tarieven!$A$1:$J$150, 10, FALSE), "0")</f>
        <v>0</v>
      </c>
      <c r="O96" s="429" t="str">
        <f>Juni!O96</f>
        <v/>
      </c>
      <c r="P96" s="430"/>
      <c r="Q96" s="325" t="str">
        <f>IFERROR(VLOOKUP(P96, Tarieven!$A$2:$J$150, 10, FALSE), "0")</f>
        <v>0</v>
      </c>
      <c r="R96" s="138" t="str">
        <f>Juni!R96</f>
        <v/>
      </c>
      <c r="S96" s="459"/>
      <c r="T96" s="325" t="str">
        <f>IFERROR(VLOOKUP(S96, Tarieven!$A$2:$J$150, 10, FALSE), "0")</f>
        <v>0</v>
      </c>
      <c r="U96" s="77" t="str">
        <f>Juni!U96</f>
        <v/>
      </c>
      <c r="V96" s="327" t="str">
        <f>Juni!V96</f>
        <v/>
      </c>
      <c r="W96" s="325" t="str">
        <f>IFERROR(VLOOKUP(V96, Tarieven!$A$2:$J$150, 10, FALSE), "0")</f>
        <v>0</v>
      </c>
      <c r="X96" s="138">
        <f>Juni!X96</f>
        <v>0</v>
      </c>
      <c r="Y96" s="398">
        <v>0.0</v>
      </c>
      <c r="Z96" s="329">
        <f t="shared" si="3"/>
        <v>0</v>
      </c>
      <c r="AA96" s="32">
        <f t="shared" si="4"/>
        <v>0</v>
      </c>
      <c r="AB96" s="32">
        <f t="shared" si="5"/>
        <v>0</v>
      </c>
      <c r="AC96" s="32">
        <f t="shared" si="6"/>
        <v>0</v>
      </c>
    </row>
    <row r="97" ht="22.5" customHeight="1">
      <c r="A97" s="331" t="str">
        <f>Rooster!A98</f>
        <v/>
      </c>
      <c r="B97" s="396" t="str">
        <f>Rooster!B98</f>
        <v/>
      </c>
      <c r="C97" s="15" t="str">
        <f>Rooster!C98</f>
        <v/>
      </c>
      <c r="D97" s="11" t="str">
        <f>Rooster!D98</f>
        <v/>
      </c>
      <c r="E97" s="485"/>
      <c r="F97" s="327" t="str">
        <f>Rooster!E98</f>
        <v/>
      </c>
      <c r="G97" s="319" t="str">
        <f>IFERROR(VLOOKUP(F97, Docenten!$A$2:$G$30, 7, FALSE), "0")</f>
        <v>0</v>
      </c>
      <c r="H97" s="320">
        <f t="shared" si="1"/>
        <v>0</v>
      </c>
      <c r="I97" s="327" t="str">
        <f>Rooster!H98</f>
        <v/>
      </c>
      <c r="J97" s="321" t="str">
        <f>IFERROR(VLOOKUP(I97, Locaties!$A$2:$G$15, 7, FALSE), "0")</f>
        <v>0</v>
      </c>
      <c r="K97" s="42">
        <f t="shared" si="2"/>
        <v>0</v>
      </c>
      <c r="L97" s="484" t="str">
        <f>Juni!L97</f>
        <v/>
      </c>
      <c r="M97" s="474"/>
      <c r="N97" s="321" t="str">
        <f>IFERROR(VLOOKUP(M97, Tarieven!$A$1:$J$150, 10, FALSE), "0")</f>
        <v>0</v>
      </c>
      <c r="O97" s="462" t="str">
        <f>Juni!O97</f>
        <v/>
      </c>
      <c r="P97" s="463"/>
      <c r="Q97" s="325" t="str">
        <f>IFERROR(VLOOKUP(P97, Tarieven!$A$2:$J$150, 10, FALSE), "0")</f>
        <v>0</v>
      </c>
      <c r="R97" s="138" t="str">
        <f>Juni!R97</f>
        <v/>
      </c>
      <c r="S97" s="459"/>
      <c r="T97" s="325" t="str">
        <f>IFERROR(VLOOKUP(S97, Tarieven!$A$2:$J$150, 10, FALSE), "0")</f>
        <v>0</v>
      </c>
      <c r="U97" s="77" t="str">
        <f>Juni!U97</f>
        <v/>
      </c>
      <c r="V97" s="327" t="str">
        <f>Juni!V97</f>
        <v/>
      </c>
      <c r="W97" s="325" t="str">
        <f>IFERROR(VLOOKUP(V97, Tarieven!$A$2:$J$150, 10, FALSE), "0")</f>
        <v>0</v>
      </c>
      <c r="X97" s="138">
        <f>Juni!X97</f>
        <v>0</v>
      </c>
      <c r="Y97" s="398">
        <v>0.0</v>
      </c>
      <c r="Z97" s="329">
        <f t="shared" si="3"/>
        <v>0</v>
      </c>
      <c r="AA97" s="32">
        <f t="shared" si="4"/>
        <v>0</v>
      </c>
      <c r="AB97" s="32">
        <f t="shared" si="5"/>
        <v>0</v>
      </c>
      <c r="AC97" s="32">
        <f t="shared" si="6"/>
        <v>0</v>
      </c>
    </row>
    <row r="98" ht="22.5" customHeight="1">
      <c r="A98" s="331" t="str">
        <f>Rooster!A99</f>
        <v/>
      </c>
      <c r="B98" s="396" t="str">
        <f>Rooster!B99</f>
        <v/>
      </c>
      <c r="C98" s="15" t="str">
        <f>Rooster!C99</f>
        <v/>
      </c>
      <c r="D98" s="11" t="str">
        <f>Rooster!D99</f>
        <v/>
      </c>
      <c r="E98" s="485"/>
      <c r="F98" s="327" t="str">
        <f>Rooster!E99</f>
        <v/>
      </c>
      <c r="G98" s="319" t="str">
        <f>IFERROR(VLOOKUP(F98, Docenten!$A$2:$G$30, 7, FALSE), "0")</f>
        <v>0</v>
      </c>
      <c r="H98" s="320">
        <f t="shared" si="1"/>
        <v>0</v>
      </c>
      <c r="I98" s="327" t="str">
        <f>Rooster!H99</f>
        <v/>
      </c>
      <c r="J98" s="321" t="str">
        <f>IFERROR(VLOOKUP(I98, Locaties!$A$2:$G$15, 7, FALSE), "0")</f>
        <v>0</v>
      </c>
      <c r="K98" s="42">
        <f t="shared" si="2"/>
        <v>0</v>
      </c>
      <c r="L98" s="464" t="str">
        <f>Juni!L98</f>
        <v/>
      </c>
      <c r="M98" s="430"/>
      <c r="N98" s="321" t="str">
        <f>IFERROR(VLOOKUP(M98, Tarieven!$A$1:$J$150, 10, FALSE), "0")</f>
        <v>0</v>
      </c>
      <c r="O98" s="429" t="str">
        <f>Juni!O98</f>
        <v/>
      </c>
      <c r="P98" s="430"/>
      <c r="Q98" s="325" t="str">
        <f>IFERROR(VLOOKUP(P98, Tarieven!$A$2:$J$150, 10, FALSE), "0")</f>
        <v>0</v>
      </c>
      <c r="R98" s="138" t="str">
        <f>Juni!R98</f>
        <v/>
      </c>
      <c r="S98" s="459"/>
      <c r="T98" s="325" t="str">
        <f>IFERROR(VLOOKUP(S98, Tarieven!$A$2:$J$150, 10, FALSE), "0")</f>
        <v>0</v>
      </c>
      <c r="U98" s="77" t="str">
        <f>Juni!U98</f>
        <v/>
      </c>
      <c r="V98" s="327" t="str">
        <f>Juni!V98</f>
        <v/>
      </c>
      <c r="W98" s="325" t="str">
        <f>IFERROR(VLOOKUP(V98, Tarieven!$A$2:$J$150, 10, FALSE), "0")</f>
        <v>0</v>
      </c>
      <c r="X98" s="138">
        <f>Juni!X98</f>
        <v>0</v>
      </c>
      <c r="Y98" s="398">
        <v>0.0</v>
      </c>
      <c r="Z98" s="329">
        <f t="shared" si="3"/>
        <v>0</v>
      </c>
      <c r="AA98" s="32">
        <f t="shared" si="4"/>
        <v>0</v>
      </c>
      <c r="AB98" s="32">
        <f t="shared" si="5"/>
        <v>0</v>
      </c>
      <c r="AC98" s="32">
        <f t="shared" si="6"/>
        <v>0</v>
      </c>
    </row>
    <row r="99" ht="22.5" customHeight="1">
      <c r="A99" s="331" t="str">
        <f>Rooster!A100</f>
        <v/>
      </c>
      <c r="B99" s="396" t="str">
        <f>Rooster!B100</f>
        <v/>
      </c>
      <c r="C99" s="15" t="str">
        <f>Rooster!C100</f>
        <v/>
      </c>
      <c r="D99" s="11" t="str">
        <f>Rooster!D100</f>
        <v/>
      </c>
      <c r="E99" s="485"/>
      <c r="F99" s="327" t="str">
        <f>Rooster!E100</f>
        <v/>
      </c>
      <c r="G99" s="319" t="str">
        <f>IFERROR(VLOOKUP(F99, Docenten!$A$2:$G$30, 7, FALSE), "0")</f>
        <v>0</v>
      </c>
      <c r="H99" s="320">
        <f t="shared" si="1"/>
        <v>0</v>
      </c>
      <c r="I99" s="327" t="str">
        <f>Rooster!H100</f>
        <v/>
      </c>
      <c r="J99" s="321" t="str">
        <f>IFERROR(VLOOKUP(I99, Locaties!$A$2:$G$15, 7, FALSE), "0")</f>
        <v>0</v>
      </c>
      <c r="K99" s="42">
        <f t="shared" si="2"/>
        <v>0</v>
      </c>
      <c r="L99" s="484" t="str">
        <f>Juni!L99</f>
        <v/>
      </c>
      <c r="M99" s="474"/>
      <c r="N99" s="321" t="str">
        <f>IFERROR(VLOOKUP(M99, Tarieven!$A$1:$J$150, 10, FALSE), "0")</f>
        <v>0</v>
      </c>
      <c r="O99" s="462" t="str">
        <f>Juni!O99</f>
        <v/>
      </c>
      <c r="P99" s="463"/>
      <c r="Q99" s="325" t="str">
        <f>IFERROR(VLOOKUP(P99, Tarieven!$A$2:$J$150, 10, FALSE), "0")</f>
        <v>0</v>
      </c>
      <c r="R99" s="138" t="str">
        <f>Juni!R99</f>
        <v/>
      </c>
      <c r="S99" s="459"/>
      <c r="T99" s="325" t="str">
        <f>IFERROR(VLOOKUP(S99, Tarieven!$A$2:$J$150, 10, FALSE), "0")</f>
        <v>0</v>
      </c>
      <c r="U99" s="77" t="str">
        <f>Juni!U99</f>
        <v/>
      </c>
      <c r="V99" s="327" t="str">
        <f>Juni!V99</f>
        <v/>
      </c>
      <c r="W99" s="325" t="str">
        <f>IFERROR(VLOOKUP(V99, Tarieven!$A$2:$J$150, 10, FALSE), "0")</f>
        <v>0</v>
      </c>
      <c r="X99" s="138">
        <f>Juni!X99</f>
        <v>0</v>
      </c>
      <c r="Y99" s="398">
        <v>0.0</v>
      </c>
      <c r="Z99" s="329">
        <f t="shared" si="3"/>
        <v>0</v>
      </c>
      <c r="AA99" s="32">
        <f t="shared" si="4"/>
        <v>0</v>
      </c>
      <c r="AB99" s="32">
        <f t="shared" si="5"/>
        <v>0</v>
      </c>
      <c r="AC99" s="32">
        <f t="shared" si="6"/>
        <v>0</v>
      </c>
    </row>
    <row r="100" ht="22.5" customHeight="1">
      <c r="A100" s="331" t="str">
        <f>Rooster!A101</f>
        <v/>
      </c>
      <c r="B100" s="396" t="str">
        <f>Rooster!B101</f>
        <v/>
      </c>
      <c r="C100" s="15" t="str">
        <f>Rooster!C101</f>
        <v/>
      </c>
      <c r="D100" s="11" t="str">
        <f>Rooster!D101</f>
        <v/>
      </c>
      <c r="E100" s="485"/>
      <c r="F100" s="327" t="str">
        <f>Rooster!E101</f>
        <v/>
      </c>
      <c r="G100" s="319" t="str">
        <f>IFERROR(VLOOKUP(F100, Docenten!$A$2:$G$30, 7, FALSE), "0")</f>
        <v>0</v>
      </c>
      <c r="H100" s="320">
        <f t="shared" si="1"/>
        <v>0</v>
      </c>
      <c r="I100" s="327" t="str">
        <f>Rooster!H101</f>
        <v/>
      </c>
      <c r="J100" s="321" t="str">
        <f>IFERROR(VLOOKUP(I100, Locaties!$A$2:$G$15, 7, FALSE), "0")</f>
        <v>0</v>
      </c>
      <c r="K100" s="42">
        <f t="shared" si="2"/>
        <v>0</v>
      </c>
      <c r="L100" s="464" t="str">
        <f>Juni!L100</f>
        <v/>
      </c>
      <c r="M100" s="430"/>
      <c r="N100" s="321" t="str">
        <f>IFERROR(VLOOKUP(M100, Tarieven!$A$1:$J$150, 10, FALSE), "0")</f>
        <v>0</v>
      </c>
      <c r="O100" s="429" t="str">
        <f>Juni!O100</f>
        <v/>
      </c>
      <c r="P100" s="430"/>
      <c r="Q100" s="325" t="str">
        <f>IFERROR(VLOOKUP(P100, Tarieven!$A$2:$J$150, 10, FALSE), "0")</f>
        <v>0</v>
      </c>
      <c r="R100" s="138" t="str">
        <f>Juni!R100</f>
        <v/>
      </c>
      <c r="S100" s="459"/>
      <c r="T100" s="325" t="str">
        <f>IFERROR(VLOOKUP(S100, Tarieven!$A$2:$J$150, 10, FALSE), "0")</f>
        <v>0</v>
      </c>
      <c r="U100" s="77" t="str">
        <f>Juni!U100</f>
        <v/>
      </c>
      <c r="V100" s="327" t="str">
        <f>Juni!V100</f>
        <v/>
      </c>
      <c r="W100" s="325" t="str">
        <f>IFERROR(VLOOKUP(V100, Tarieven!$A$2:$J$150, 10, FALSE), "0")</f>
        <v>0</v>
      </c>
      <c r="X100" s="138">
        <f>Juni!X100</f>
        <v>0</v>
      </c>
      <c r="Y100" s="398">
        <v>0.0</v>
      </c>
      <c r="Z100" s="329">
        <f t="shared" si="3"/>
        <v>0</v>
      </c>
      <c r="AA100" s="32">
        <f t="shared" si="4"/>
        <v>0</v>
      </c>
      <c r="AB100" s="32">
        <f t="shared" si="5"/>
        <v>0</v>
      </c>
      <c r="AC100" s="32">
        <f t="shared" si="6"/>
        <v>0</v>
      </c>
    </row>
    <row r="101" ht="22.5" customHeight="1">
      <c r="A101" s="331" t="str">
        <f>Rooster!A102</f>
        <v/>
      </c>
      <c r="B101" s="396" t="str">
        <f>Rooster!B102</f>
        <v/>
      </c>
      <c r="C101" s="15" t="str">
        <f>Rooster!C102</f>
        <v/>
      </c>
      <c r="D101" s="11" t="str">
        <f>Rooster!D102</f>
        <v/>
      </c>
      <c r="E101" s="485"/>
      <c r="F101" s="327" t="str">
        <f>Rooster!E102</f>
        <v/>
      </c>
      <c r="G101" s="319" t="str">
        <f>IFERROR(VLOOKUP(F101, Docenten!$A$2:$G$30, 7, FALSE), "0")</f>
        <v>0</v>
      </c>
      <c r="H101" s="320">
        <f t="shared" si="1"/>
        <v>0</v>
      </c>
      <c r="I101" s="327" t="str">
        <f>Rooster!H102</f>
        <v/>
      </c>
      <c r="J101" s="321" t="str">
        <f>IFERROR(VLOOKUP(I101, Locaties!$A$2:$G$15, 7, FALSE), "0")</f>
        <v>0</v>
      </c>
      <c r="K101" s="42">
        <f t="shared" si="2"/>
        <v>0</v>
      </c>
      <c r="L101" s="450">
        <f>Juni!L101</f>
        <v>133</v>
      </c>
      <c r="M101" s="451"/>
      <c r="N101" s="321" t="str">
        <f>IFERROR(VLOOKUP(M101, Tarieven!$A$1:$J$150, 10, FALSE), "0")</f>
        <v>0</v>
      </c>
      <c r="O101" s="450">
        <f>Juni!O101</f>
        <v>70</v>
      </c>
      <c r="P101" s="451"/>
      <c r="Q101" s="325" t="str">
        <f>IFERROR(VLOOKUP(P101, Tarieven!$A$2:$J$150, 10, FALSE), "0")</f>
        <v>0</v>
      </c>
      <c r="R101" s="413">
        <f>Juni!R101</f>
        <v>24</v>
      </c>
      <c r="S101" s="85"/>
      <c r="T101" s="325" t="str">
        <f>IFERROR(VLOOKUP(S101, Tarieven!$A$2:$J$150, 10, FALSE), "0")</f>
        <v>0</v>
      </c>
      <c r="U101" s="413">
        <f>SUM(U2:U100)</f>
        <v>14</v>
      </c>
      <c r="V101" s="85"/>
      <c r="W101" s="325" t="str">
        <f>IFERROR(VLOOKUP(V101, Tarieven!$A$2:$J$150, 10, FALSE), "0")</f>
        <v>0</v>
      </c>
      <c r="X101" s="413">
        <f>SUM(X2:X100)</f>
        <v>220</v>
      </c>
      <c r="Y101" s="398">
        <v>0.0</v>
      </c>
      <c r="Z101" s="329">
        <f>SUM(Z2:Z100)</f>
        <v>461</v>
      </c>
      <c r="AA101" s="32">
        <f t="shared" si="4"/>
        <v>0</v>
      </c>
      <c r="AB101" s="32">
        <f t="shared" si="5"/>
        <v>0</v>
      </c>
      <c r="AC101" s="32">
        <f t="shared" si="6"/>
        <v>0</v>
      </c>
    </row>
  </sheetData>
  <conditionalFormatting sqref="AG7">
    <cfRule type="cellIs" dxfId="7" priority="1" operator="lessThan">
      <formula>0</formula>
    </cfRule>
  </conditionalFormatting>
  <conditionalFormatting sqref="AC2:AC101">
    <cfRule type="cellIs" dxfId="7" priority="2" operator="lessThan">
      <formula>0</formula>
    </cfRule>
  </conditionalFormatting>
  <dataValidations>
    <dataValidation type="list" allowBlank="1" sqref="A2:A101">
      <formula1>"Maandag,Dinsdag,Woensdag,Donderdag,Vrijdag,Zaterdag,Zondag"</formula1>
    </dataValidation>
    <dataValidation type="custom" allowBlank="1" showDropDown="1" sqref="B2:B101">
      <formula1>OR(TIMEVALUE(TEXT(B2, "hh:mm:ss"))=B2, AND(ISNUMBER(B2), LEFT(CELL("format", B2))="D"))</formula1>
    </dataValidation>
    <dataValidation type="custom" allowBlank="1" showDropDown="1" sqref="L2:L101 N2:N101 AA2:AB101">
      <formula1>AND(ISNUMBER(L2),(NOT(OR(NOT(ISERROR(DATEVALUE(L2))), AND(ISNUMBER(L2), LEFT(CELL("format", L2))="D")))))</formula1>
    </dataValidation>
    <dataValidation type="list" allowBlank="1" sqref="F2:F101 I2:I101 M2:M101 P2:P101 S2:S101 V2:V101">
      <formula1>#REF!</formula1>
    </dataValidation>
    <dataValidation allowBlank="1" showDropDown="1" sqref="D2:D101"/>
    <dataValidation type="custom" allowBlank="1" showDropDown="1" sqref="C2:C101 G2:H101 J2:K101 O2:O101 Q2:R101 T2:U101 W2:Z101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33"/>
    <col customWidth="1" min="2" max="2" width="13.67"/>
    <col customWidth="1" min="3" max="3" width="22.0"/>
    <col customWidth="1" min="4" max="4" width="18.33"/>
    <col customWidth="1" min="5" max="5" width="15.11"/>
    <col customWidth="1" min="6" max="6" width="19.89"/>
    <col customWidth="1" min="7" max="7" width="19.22"/>
    <col customWidth="1" min="8" max="9" width="16.89"/>
    <col customWidth="1" min="10" max="10" width="18.89"/>
    <col customWidth="1" hidden="1" min="11" max="11" width="14.11"/>
    <col customWidth="1" min="12" max="12" width="16.44"/>
    <col customWidth="1" min="14" max="14" width="13.67"/>
    <col customWidth="1" min="18" max="18" width="14.11"/>
  </cols>
  <sheetData>
    <row r="1" ht="22.5" customHeight="1">
      <c r="A1" s="1" t="s">
        <v>94</v>
      </c>
      <c r="B1" s="1" t="s">
        <v>95</v>
      </c>
      <c r="C1" s="1" t="s">
        <v>98</v>
      </c>
      <c r="D1" s="1" t="s">
        <v>99</v>
      </c>
      <c r="E1" s="488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489" t="s">
        <v>334</v>
      </c>
      <c r="L1" s="490" t="s">
        <v>335</v>
      </c>
      <c r="O1" s="130" t="s">
        <v>175</v>
      </c>
      <c r="P1" s="130" t="s">
        <v>61</v>
      </c>
      <c r="S1" s="130" t="s">
        <v>175</v>
      </c>
      <c r="T1" s="130" t="s">
        <v>61</v>
      </c>
    </row>
    <row r="2" ht="22.5" customHeight="1">
      <c r="A2" s="17" t="str">
        <f>Rooster!A3</f>
        <v/>
      </c>
      <c r="B2" s="396" t="str">
        <f>Rooster!B3</f>
        <v/>
      </c>
      <c r="C2" s="11" t="str">
        <f>Rooster!D3</f>
        <v/>
      </c>
      <c r="D2" s="11" t="str">
        <f>Rooster!E3</f>
        <v/>
      </c>
      <c r="E2" s="329">
        <f>SUM(Augustus!E2+September!E2+Oktober!E2+November!E2+December!E2+Januari!E2+Februari!E2+Maart!E2+April!E2+Mei!E2+Juni!E2+Juli!E2)</f>
        <v>0</v>
      </c>
      <c r="F2" s="329">
        <f>AVERAGE(Augustus!Z2+September!Z2+Oktober!Z2+November!Z2+December!Z2+Januari!Z2+Februari!Z2+Maart!Z2+April!Z2+Mei!Z2+Juni!Z2+Juli!Z2)/12</f>
        <v>0</v>
      </c>
      <c r="G2" s="32">
        <f>SUM(Augustus!AA2+September!AA2+Oktober!AA2+November!AA2+December!AA2+Januari!AA2+Februari!AA2+Maart!AA2+April!AA2+Mei!AA2+Juni!AA2+Juli!AA2)</f>
        <v>0</v>
      </c>
      <c r="H2" s="32">
        <f>SUM(Jaarbetalingen!AF2+Augustus!AB2+September!AB2+Oktober!AB2+November!AB2+December!AB2+Januari!AB2+Februari!AB2+Maart!AB2+April!AB2+Mei!AB2+Juni!AB2+Juli!AB2)</f>
        <v>0</v>
      </c>
      <c r="I2" s="32">
        <f t="shared" ref="I2:I101" si="1">SUM(H2-G2)</f>
        <v>0</v>
      </c>
      <c r="J2" s="404" t="str">
        <f t="shared" ref="J2:J101" si="2">IFERROR(IF(I2="","",IF(I2=0,"",IF(I2&lt;0,"🔴 Directe actie",IF(I2&lt;1000,"🟠 Marketing nodig",IF(IF(D2="Eigenaar",I2&lt;2500,I2&lt;1500),"🟡 Lichte verbetering","🟢 Goed bezig"))))),"")</f>
        <v/>
      </c>
      <c r="K2" s="491">
        <f>IFERROR(AVERAGE(Oktober!Z2,November!Z2,December!Z2)-AVERAGE(Augustus!Z2,September!Z2),"")</f>
        <v>0</v>
      </c>
      <c r="L2" s="492" t="str">
        <f>IFERROR(IF(Augustus!Z2=0,"",IF((AVERAGE(Oktober!Z2,November!Z2,December!Z2)/Augustus!Z2)&lt;0.8,"Let op",IF((AVERAGE(Oktober!Z2,November!Z2,December!Z2)/Augustus!Z2)&lt;0.9,"Lichte daling","Stabiel"))),"")</f>
        <v/>
      </c>
      <c r="M2" s="130">
        <v>1.0</v>
      </c>
      <c r="N2" s="130" t="s">
        <v>336</v>
      </c>
      <c r="O2" s="333">
        <f>H32+H31</f>
        <v>11421.05</v>
      </c>
      <c r="P2" s="333">
        <f>O2/2</f>
        <v>5710.525</v>
      </c>
      <c r="Q2" s="130">
        <v>1.0</v>
      </c>
      <c r="R2" s="130" t="s">
        <v>55</v>
      </c>
      <c r="S2" s="333">
        <f>H12+H18+H19+H20+H13</f>
        <v>23202.96667</v>
      </c>
      <c r="T2" s="333">
        <f>S2/5</f>
        <v>4640.593333</v>
      </c>
    </row>
    <row r="3" ht="22.5" customHeight="1">
      <c r="A3" s="331" t="str">
        <f>Rooster!A4</f>
        <v/>
      </c>
      <c r="B3" s="396" t="str">
        <f>Rooster!B4</f>
        <v/>
      </c>
      <c r="C3" s="11" t="str">
        <f>Rooster!D4</f>
        <v/>
      </c>
      <c r="D3" s="11" t="str">
        <f>Rooster!E4</f>
        <v/>
      </c>
      <c r="E3" s="329">
        <f>SUM(Augustus!E3+September!E3+Oktober!E3+November!E3+December!E3+Januari!E3+Februari!E3+Maart!E3+April!E3+Mei!E3+Juni!E3+Juli!E3)</f>
        <v>0</v>
      </c>
      <c r="F3" s="329">
        <f>AVERAGE(Augustus!Z3+September!Z3+Oktober!Z3+November!Z3+December!Z3+Januari!Z3+Februari!Z3+Maart!Z3+April!Z3+Mei!Z3+Juni!Z3+Juli!Z3)/12</f>
        <v>0</v>
      </c>
      <c r="G3" s="32">
        <f>SUM(Augustus!AA3+September!AA3+Oktober!AA3+November!AA3+December!AA3+Januari!AA3+Februari!AA3+Maart!AA3+April!AA3+Mei!AA3+Juni!AA3+Juli!AA3)</f>
        <v>0</v>
      </c>
      <c r="H3" s="32">
        <f>SUM(Jaarbetalingen!AF3+Augustus!AB3+September!AB3+Oktober!AB3+November!AB3+December!AB3+Januari!AB3+Februari!AB3+Maart!AB3+April!AB3+Mei!AB3+Juni!AB3+Juli!AB3)</f>
        <v>0</v>
      </c>
      <c r="I3" s="32">
        <f t="shared" si="1"/>
        <v>0</v>
      </c>
      <c r="J3" s="404" t="str">
        <f t="shared" si="2"/>
        <v/>
      </c>
      <c r="K3" s="491">
        <f>IFERROR(AVERAGE(Oktober!Z3,November!Z3,December!Z3)-AVERAGE(Augustus!Z3,September!Z3),"")</f>
        <v>0</v>
      </c>
      <c r="L3" s="492" t="str">
        <f>IFERROR(IF(Augustus!Z3=0,"",IF((AVERAGE(Oktober!Z3,November!Z3,December!Z3)/Augustus!Z3)&lt;0.8,"Let op",IF((AVERAGE(Oktober!Z3,November!Z3,December!Z3)/Augustus!Z3)&lt;0.9,"Lichte daling","Stabiel"))),"")</f>
        <v/>
      </c>
      <c r="M3" s="130">
        <v>2.0</v>
      </c>
      <c r="N3" s="130" t="s">
        <v>239</v>
      </c>
      <c r="O3" s="333">
        <f>H35</f>
        <v>4712</v>
      </c>
      <c r="P3" s="333">
        <f>O3</f>
        <v>4712</v>
      </c>
      <c r="Q3" s="130">
        <v>2.0</v>
      </c>
      <c r="R3" s="130" t="s">
        <v>45</v>
      </c>
      <c r="S3" s="333">
        <f>H7+H8+H9+H10+H11+H29+H28+H27</f>
        <v>30129.89533</v>
      </c>
      <c r="T3" s="333">
        <f>S3/8</f>
        <v>3766.236917</v>
      </c>
    </row>
    <row r="4" ht="22.5" customHeight="1">
      <c r="A4" s="331" t="str">
        <f>Rooster!A5</f>
        <v>Maandag</v>
      </c>
      <c r="B4" s="396">
        <f>Rooster!B5</f>
        <v>0.625</v>
      </c>
      <c r="C4" s="11" t="str">
        <f>Rooster!D5</f>
        <v>Kleuterdans</v>
      </c>
      <c r="D4" s="11" t="str">
        <f>Rooster!E5</f>
        <v>Lotte</v>
      </c>
      <c r="E4" s="329">
        <f>SUM(Augustus!E4+September!E4+Oktober!E4+November!E4+December!E4+Januari!E4+Februari!E4+Maart!E4+April!E4+Mei!E4+Juni!E4+Juli!E4)</f>
        <v>0</v>
      </c>
      <c r="F4" s="329">
        <f>AVERAGE(Augustus!Z4+September!Z4+Oktober!Z4+November!Z4+December!Z4+Januari!Z4+Februari!Z4+Maart!Z4+April!Z4+Mei!Z4+Juni!Z4+Juli!Z4)/12</f>
        <v>0</v>
      </c>
      <c r="G4" s="32">
        <f>SUM(Augustus!AA4+September!AA4+Oktober!AA4+November!AA4+December!AA4+Januari!AA4+Februari!AA4+Maart!AA4+April!AA4+Mei!AA4+Juni!AA4+Juli!AA4)</f>
        <v>0</v>
      </c>
      <c r="H4" s="32">
        <f>SUM(Jaarbetalingen!AF4+Augustus!AB4+September!AB4+Oktober!AB4+November!AB4+December!AB4+Januari!AB4+Februari!AB4+Maart!AB4+April!AB4+Mei!AB4+Juni!AB4+Juli!AB4)</f>
        <v>0</v>
      </c>
      <c r="I4" s="32">
        <f t="shared" si="1"/>
        <v>0</v>
      </c>
      <c r="J4" s="404" t="str">
        <f t="shared" si="2"/>
        <v/>
      </c>
      <c r="K4" s="491">
        <f>IFERROR(AVERAGE(Oktober!Z4,November!Z4,December!Z4)-AVERAGE(Augustus!Z4,September!Z4),"")</f>
        <v>0</v>
      </c>
      <c r="L4" s="492" t="str">
        <f>IFERROR(IF(Augustus!Z4=0,"",IF((AVERAGE(Oktober!Z4,November!Z4,December!Z4)/Augustus!Z4)&lt;0.8,"Let op",IF((AVERAGE(Oktober!Z4,November!Z4,December!Z4)/Augustus!Z4)&lt;0.9,"Lichte daling","Stabiel"))),"")</f>
        <v/>
      </c>
      <c r="M4" s="130">
        <v>3.0</v>
      </c>
      <c r="N4" s="130" t="s">
        <v>337</v>
      </c>
      <c r="O4" s="333">
        <f>H6+H7+H33</f>
        <v>13101.21667</v>
      </c>
      <c r="P4" s="333">
        <f>O4/3</f>
        <v>4367.072222</v>
      </c>
      <c r="Q4" s="130">
        <v>3.0</v>
      </c>
      <c r="R4" s="130" t="s">
        <v>318</v>
      </c>
      <c r="S4" s="333">
        <f>H14+H15+H16+H17+H21+H22+H24+H25+H26+H30+H31+H32+H33</f>
        <v>53942.63333</v>
      </c>
      <c r="T4" s="333">
        <f>S4/13</f>
        <v>4149.433333</v>
      </c>
    </row>
    <row r="5" ht="22.5" customHeight="1">
      <c r="A5" s="331" t="str">
        <f>Rooster!A6</f>
        <v>Maandag</v>
      </c>
      <c r="B5" s="396">
        <f>Rooster!B6</f>
        <v>0.625</v>
      </c>
      <c r="C5" s="11" t="str">
        <f>Rooster!D6</f>
        <v>Streetdance 6+</v>
      </c>
      <c r="D5" s="11" t="str">
        <f>Rooster!E6</f>
        <v>Lotte</v>
      </c>
      <c r="E5" s="329">
        <f>SUM(Augustus!E5+September!E5+Oktober!E5+November!E5+December!E5+Januari!E5+Februari!E5+Maart!E5+April!E5+Mei!E5+Juni!E5+Juli!E5)</f>
        <v>5</v>
      </c>
      <c r="F5" s="329">
        <f>AVERAGE(Augustus!Z5+September!Z5+Oktober!Z5+November!Z5+December!Z5+Januari!Z5+Februari!Z5+Maart!Z5+April!Z5+Mei!Z5+Juni!Z5+Juli!Z5)/12</f>
        <v>0.3333333333</v>
      </c>
      <c r="G5" s="32">
        <f>SUM(Augustus!AA5+September!AA5+Oktober!AA5+November!AA5+December!AA5+Januari!AA5+Februari!AA5+Maart!AA5+April!AA5+Mei!AA5+Juni!AA5+Juli!AA5)</f>
        <v>207</v>
      </c>
      <c r="H5" s="32">
        <f>SUM(Jaarbetalingen!AF5+Augustus!AB5+September!AB5+Oktober!AB5+November!AB5+December!AB5+Januari!AB5+Februari!AB5+Maart!AB5+April!AB5+Mei!AB5+Juni!AB5+Juli!AB5)</f>
        <v>114.2</v>
      </c>
      <c r="I5" s="32">
        <f t="shared" si="1"/>
        <v>-92.8</v>
      </c>
      <c r="J5" s="404" t="str">
        <f t="shared" si="2"/>
        <v>🔴 Directe actie</v>
      </c>
      <c r="K5" s="491">
        <f>IFERROR(AVERAGE(Oktober!Z5,November!Z5,December!Z5)-AVERAGE(Augustus!Z5,September!Z5),"")</f>
        <v>-0.3333333333</v>
      </c>
      <c r="L5" s="492" t="str">
        <f>IFERROR(IF(Augustus!Z5=0,"",IF((AVERAGE(Oktober!Z5,November!Z5,December!Z5)/Augustus!Z5)&lt;0.8,"Let op",IF((AVERAGE(Oktober!Z5,November!Z5,December!Z5)/Augustus!Z5)&lt;0.9,"Lichte daling","Stabiel"))),"")</f>
        <v/>
      </c>
      <c r="M5" s="130">
        <v>4.0</v>
      </c>
      <c r="N5" s="130" t="s">
        <v>338</v>
      </c>
      <c r="O5" s="333">
        <f>H22</f>
        <v>4407.25</v>
      </c>
      <c r="P5" s="333">
        <f>O5</f>
        <v>4407.25</v>
      </c>
      <c r="Q5" s="130">
        <v>4.0</v>
      </c>
      <c r="R5" s="130" t="s">
        <v>49</v>
      </c>
      <c r="S5" s="333">
        <f>H34+H35+H36+H37</f>
        <v>14848.05</v>
      </c>
      <c r="T5" s="333">
        <f>S5/4</f>
        <v>3712.0125</v>
      </c>
    </row>
    <row r="6" ht="22.5" customHeight="1">
      <c r="A6" s="331" t="str">
        <f>Rooster!A7</f>
        <v>Maandag</v>
      </c>
      <c r="B6" s="396">
        <f>Rooster!B7</f>
        <v>0.6666666667</v>
      </c>
      <c r="C6" s="11" t="str">
        <f>Rooster!D7</f>
        <v>Urban-Pop-Show 10+</v>
      </c>
      <c r="D6" s="11" t="str">
        <f>Rooster!E7</f>
        <v>Lotte</v>
      </c>
      <c r="E6" s="329">
        <f>SUM(Augustus!E6+September!E6+Oktober!E5+November!E6+December!E6+Januari!E6+Februari!E6+Maart!E6+April!E6+Mei!E6+Juni!E6+Juli!E6)</f>
        <v>32</v>
      </c>
      <c r="F6" s="329">
        <f>AVERAGE(Augustus!Z6+September!Z6+Oktober!Z6+November!Z6+December!Z6+Januari!Z6+Februari!Z6+Maart!Z6+April!Z6+Mei!Z6+Juni!Z6+Juli!Z6)/12</f>
        <v>11.58333333</v>
      </c>
      <c r="G6" s="32">
        <f>SUM(Augustus!AA6+September!AA6+Oktober!AA6+November!AA6+December!AA6+Januari!AA6+Februari!AA6+Maart!AA6+April!AA6+Mei!AA6+Juni!AA6+Juli!AA6)</f>
        <v>999</v>
      </c>
      <c r="H6" s="32">
        <f>SUM(Jaarbetalingen!AF6+Augustus!AB6+September!AB6+Oktober!AB6+November!AB6+December!AB6+Januari!AB6+Februari!AB6+Maart!AB6+April!AB6+Mei!AB6+Juni!AB6+Juli!AB6)</f>
        <v>3652.25</v>
      </c>
      <c r="I6" s="32">
        <f t="shared" si="1"/>
        <v>2653.25</v>
      </c>
      <c r="J6" s="404" t="str">
        <f t="shared" si="2"/>
        <v>🟢 Goed bezig</v>
      </c>
      <c r="K6" s="491">
        <f>IFERROR(AVERAGE(Oktober!Z6,November!Z6,December!Z6)-AVERAGE(Augustus!Z6,September!Z6),"")</f>
        <v>-0.6666666667</v>
      </c>
      <c r="L6" s="492" t="str">
        <f>IFERROR(IF(Augustus!Z6=0,"",IF((AVERAGE(Oktober!Z6,November!Z6,December!Z6)/Augustus!Z6)&lt;0.8,"Let op",IF((AVERAGE(Oktober!Z6,November!Z6,December!Z6)/Augustus!Z6)&lt;0.9,"Lichte daling","Stabiel"))),"")</f>
        <v>Stabiel</v>
      </c>
      <c r="M6" s="130">
        <v>5.0</v>
      </c>
      <c r="N6" s="130" t="s">
        <v>339</v>
      </c>
      <c r="O6" s="333">
        <f>H8+H15+H16+H21+H28+H30</f>
        <v>22303.90833</v>
      </c>
      <c r="P6" s="333">
        <f>O6/6</f>
        <v>3717.318056</v>
      </c>
      <c r="Q6" s="130">
        <v>5.0</v>
      </c>
      <c r="R6" s="130" t="s">
        <v>56</v>
      </c>
      <c r="S6" s="333">
        <f>H6</f>
        <v>3652.25</v>
      </c>
      <c r="T6" s="333">
        <f>S6</f>
        <v>3652.25</v>
      </c>
    </row>
    <row r="7" ht="22.5" customHeight="1">
      <c r="A7" s="331" t="str">
        <f>Rooster!A8</f>
        <v>Maandag</v>
      </c>
      <c r="B7" s="396">
        <f>Rooster!B8</f>
        <v>0.7083333333</v>
      </c>
      <c r="C7" s="11" t="str">
        <f>Rooster!D8</f>
        <v>Urban-Pop-Show 12+</v>
      </c>
      <c r="D7" s="11" t="str">
        <f>Rooster!E8</f>
        <v>Nova</v>
      </c>
      <c r="E7" s="329">
        <f>SUM(Augustus!E7+September!E7+Oktober!E6+November!E7+December!E7+Januari!E7+Februari!E7+Maart!E7+April!E7+Mei!E7+Juni!E7+Juli!E7)</f>
        <v>35</v>
      </c>
      <c r="F7" s="329">
        <f>AVERAGE(Augustus!Z7+September!Z7+Oktober!Z7+November!Z7+December!Z7+Januari!Z7+Februari!Z7+Maart!Z7+April!Z7+Mei!Z7+Juni!Z7+Juli!Z7)/12</f>
        <v>15.41666667</v>
      </c>
      <c r="G7" s="32">
        <f>SUM(Augustus!AA7+September!AA7+Oktober!AA7+November!AA7+December!AA7+Januari!AA7+Februari!AA7+Maart!AA7+April!AA7+Mei!AA7+Juni!AA7+Juli!AA7)</f>
        <v>1449</v>
      </c>
      <c r="H7" s="32">
        <f>SUM(Jaarbetalingen!AF7+Augustus!AB7+September!AB7+Oktober!AB7+November!AB7+December!AB7+Januari!AB7+Februari!AB7+Maart!AB7+April!AB7+Mei!AB7+Juni!AB7+Juli!AB7)</f>
        <v>6246.8</v>
      </c>
      <c r="I7" s="32">
        <f t="shared" si="1"/>
        <v>4797.8</v>
      </c>
      <c r="J7" s="404" t="str">
        <f t="shared" si="2"/>
        <v>🟢 Goed bezig</v>
      </c>
      <c r="K7" s="491">
        <f>IFERROR(AVERAGE(Oktober!Z7,November!Z7,December!Z7)-AVERAGE(Augustus!Z7,September!Z7),"")</f>
        <v>0.6666666667</v>
      </c>
      <c r="L7" s="492" t="str">
        <f>IFERROR(IF(Augustus!Z7=0,"",IF((AVERAGE(Oktober!Z7,November!Z7,December!Z7)/Augustus!Z7)&lt;0.8,"Let op",IF((AVERAGE(Oktober!Z7,November!Z7,December!Z7)/Augustus!Z7)&lt;0.9,"Lichte daling","Stabiel"))),"")</f>
        <v>Stabiel</v>
      </c>
      <c r="M7" s="130">
        <v>6.0</v>
      </c>
      <c r="N7" s="130" t="s">
        <v>340</v>
      </c>
      <c r="O7" s="333">
        <f>H5+H12+H13+H18+H19</f>
        <v>19360.71667</v>
      </c>
      <c r="P7" s="333">
        <f>O7/5</f>
        <v>3872.143333</v>
      </c>
    </row>
    <row r="8" ht="22.5" customHeight="1">
      <c r="A8" s="331" t="str">
        <f>Rooster!A9</f>
        <v>Maandag</v>
      </c>
      <c r="B8" s="396">
        <f>Rooster!B9</f>
        <v>0.75</v>
      </c>
      <c r="C8" s="11" t="str">
        <f>Rooster!D9</f>
        <v>Selectie Show</v>
      </c>
      <c r="D8" s="11" t="str">
        <f>Rooster!E9</f>
        <v>Nova</v>
      </c>
      <c r="E8" s="329">
        <f>SUM(Augustus!E8+September!E8+Oktober!E7+November!E8+December!E8+Januari!E8+Februari!E8+Maart!E8+April!E8+Mei!E8+Juni!E8+Juli!E8)</f>
        <v>35</v>
      </c>
      <c r="F8" s="329">
        <f>AVERAGE(Augustus!Z8+September!Z8+Oktober!Z8+November!Z8+December!Z8+Januari!Z8+Februari!Z8+Maart!Z8+April!Z8+Mei!Z8+Juni!Z8+Juli!Z8)/12</f>
        <v>11.75</v>
      </c>
      <c r="G8" s="32">
        <f>SUM(Augustus!AA8+September!AA8+Oktober!AA8+November!AA8+December!AA8+Januari!AA8+Februari!AA8+Maart!AA8+April!AA8+Mei!AA8+Juni!AA8+Juli!AA8)</f>
        <v>1449</v>
      </c>
      <c r="H8" s="32">
        <f>SUM(Jaarbetalingen!AF8+Augustus!AB8+September!AB8+Oktober!AB8+November!AB8+December!AB8+Januari!AB8+Februari!AB8+Maart!AB8+April!AB8+Mei!AB8+Juni!AB8+Juli!AB8)</f>
        <v>2982.041667</v>
      </c>
      <c r="I8" s="32">
        <f t="shared" si="1"/>
        <v>1533.041667</v>
      </c>
      <c r="J8" s="404" t="str">
        <f t="shared" si="2"/>
        <v>🟢 Goed bezig</v>
      </c>
      <c r="K8" s="491">
        <f>IFERROR(AVERAGE(Oktober!Z8,November!Z8,December!Z8)-AVERAGE(Augustus!Z8,September!Z8),"")</f>
        <v>0.6666666667</v>
      </c>
      <c r="L8" s="492" t="str">
        <f>IFERROR(IF(Augustus!Z8=0,"",IF((AVERAGE(Oktober!Z8,November!Z8,December!Z8)/Augustus!Z8)&lt;0.8,"Let op",IF((AVERAGE(Oktober!Z8,November!Z8,December!Z8)/Augustus!Z8)&lt;0.9,"Lichte daling","Stabiel"))),"")</f>
        <v>Stabiel</v>
      </c>
      <c r="M8" s="130">
        <v>7.0</v>
      </c>
      <c r="N8" s="130" t="s">
        <v>341</v>
      </c>
      <c r="O8" s="333">
        <f>H9+H10+H27</f>
        <v>12037.95867</v>
      </c>
      <c r="P8" s="333">
        <f>O8/3</f>
        <v>4012.652889</v>
      </c>
    </row>
    <row r="9" ht="22.5" customHeight="1">
      <c r="A9" s="331" t="str">
        <f>Rooster!A10</f>
        <v>Maandag</v>
      </c>
      <c r="B9" s="396">
        <f>Rooster!B10</f>
        <v>0.7916666667</v>
      </c>
      <c r="C9" s="11" t="str">
        <f>Rooster!D10</f>
        <v>Commercial 16+</v>
      </c>
      <c r="D9" s="11" t="str">
        <f>Rooster!E10</f>
        <v>Nova</v>
      </c>
      <c r="E9" s="329">
        <f>SUM(Augustus!E9+September!E9+Oktober!E8+November!E9+December!E9+Januari!E9+Februari!E9+Maart!E9+April!E9+Mei!E9+Juni!E9+Juli!E9)</f>
        <v>35</v>
      </c>
      <c r="F9" s="329">
        <f>AVERAGE(Augustus!Z9+September!Z9+Oktober!Z9+November!Z9+December!Z9+Januari!Z9+Februari!Z9+Maart!Z9+April!Z9+Mei!Z9+Juni!Z9+Juli!Z9)/12</f>
        <v>13.33333333</v>
      </c>
      <c r="G9" s="32">
        <f>SUM(Augustus!AA9+September!AA9+Oktober!AA9+November!AA9+December!AA9+Januari!AA9+Februari!AA9+Maart!AA9+April!AA9+Mei!AA9+Juni!AA9+Juli!AA9)</f>
        <v>1449</v>
      </c>
      <c r="H9" s="32">
        <f>SUM(Jaarbetalingen!AF9+Augustus!AB9+September!AB9+Oktober!AB9+November!AB9+December!AB9+Januari!AB9+Februari!AB9+Maart!AB9+April!AB9+Mei!AB9+Juni!AB9+Juli!AB9)</f>
        <v>3506.283333</v>
      </c>
      <c r="I9" s="32">
        <f t="shared" si="1"/>
        <v>2057.283333</v>
      </c>
      <c r="J9" s="404" t="str">
        <f t="shared" si="2"/>
        <v>🟢 Goed bezig</v>
      </c>
      <c r="K9" s="491">
        <f>IFERROR(AVERAGE(Oktober!Z9,November!Z9,December!Z9)-AVERAGE(Augustus!Z9,September!Z9),"")</f>
        <v>0.6666666667</v>
      </c>
      <c r="L9" s="493" t="str">
        <f>IFERROR(IF(Augustus!Z9=0,"",IF((AVERAGE(Oktober!Z9,November!Z9,December!Z9)/Augustus!Z9)&lt;0.8,"Let op",IF((AVERAGE(Oktober!Z9,November!Z9,December!Z9)/Augustus!Z9)&lt;0.9,"Lichte daling","Stabiel"))),"")</f>
        <v>Stabiel</v>
      </c>
      <c r="M9" s="130">
        <v>8.0</v>
      </c>
      <c r="N9" s="130" t="s">
        <v>342</v>
      </c>
      <c r="O9" s="333">
        <f>H11+H14+H20+H26+H29</f>
        <v>17305.21167</v>
      </c>
      <c r="P9" s="333">
        <f>O9/5</f>
        <v>3461.042333</v>
      </c>
    </row>
    <row r="10" ht="22.5" customHeight="1">
      <c r="A10" s="331" t="str">
        <f>Rooster!A11</f>
        <v>Maandag</v>
      </c>
      <c r="B10" s="396">
        <f>Rooster!B11</f>
        <v>0.8333333333</v>
      </c>
      <c r="C10" s="11" t="str">
        <f>Rooster!D11</f>
        <v>Commercial 20+</v>
      </c>
      <c r="D10" s="11" t="str">
        <f>Rooster!E11</f>
        <v>Nova</v>
      </c>
      <c r="E10" s="329">
        <f>SUM(Augustus!E10+September!E10+Oktober!E9+November!E10+December!E10+Januari!E10+Februari!E10+Maart!E10+April!E10+Mei!E10+Juni!E10+Juli!E10)</f>
        <v>35</v>
      </c>
      <c r="F10" s="329">
        <f>AVERAGE(Augustus!Z10+September!Z10+Oktober!Z10+November!Z10+December!Z10+Januari!Z10+Februari!Z10+Maart!Z10+April!Z10+Mei!Z10+Juni!Z10+Juli!Z10)/12</f>
        <v>15.25</v>
      </c>
      <c r="G10" s="32">
        <f>SUM(Augustus!AA10+September!AA10+Oktober!AA10+November!AA10+December!AA10+Januari!AA10+Februari!AA10+Maart!AA10+April!AA10+Mei!AA10+Juni!AA10+Juli!AA10)</f>
        <v>1449</v>
      </c>
      <c r="H10" s="32">
        <f>SUM(Jaarbetalingen!AF10+Augustus!AB10+September!AB10+Oktober!AB10+November!AB10+December!AB10+Januari!AB10+Februari!AB10+Maart!AB10+April!AB10+Mei!AB10+Juni!AB10+Juli!AB10)</f>
        <v>3034.067</v>
      </c>
      <c r="I10" s="32">
        <f t="shared" si="1"/>
        <v>1585.067</v>
      </c>
      <c r="J10" s="404" t="str">
        <f t="shared" si="2"/>
        <v>🟢 Goed bezig</v>
      </c>
      <c r="K10" s="491">
        <f>IFERROR(AVERAGE(Oktober!Z10,November!Z10,December!Z10)-AVERAGE(Augustus!Z10,September!Z10),"")</f>
        <v>-0.6666666667</v>
      </c>
      <c r="L10" s="493" t="str">
        <f>IFERROR(IF(Augustus!Z10=0,"",IF((AVERAGE(Oktober!Z10,November!Z10,December!Z10)/Augustus!Z10)&lt;0.8,"Let op",IF((AVERAGE(Oktober!Z10,November!Z10,December!Z10)/Augustus!Z10)&lt;0.9,"Lichte daling","Stabiel"))),"")</f>
        <v>Stabiel</v>
      </c>
      <c r="M10" s="130">
        <v>9.0</v>
      </c>
      <c r="N10" s="130" t="s">
        <v>343</v>
      </c>
      <c r="O10" s="333">
        <f>H17</f>
        <v>4295.216667</v>
      </c>
      <c r="P10" s="333">
        <f>O10</f>
        <v>4295.216667</v>
      </c>
    </row>
    <row r="11" ht="22.5" customHeight="1">
      <c r="A11" s="331" t="str">
        <f>Rooster!A12</f>
        <v>Maandag</v>
      </c>
      <c r="B11" s="396">
        <f>Rooster!B12</f>
        <v>0.875</v>
      </c>
      <c r="C11" s="11" t="str">
        <f>Rooster!D12</f>
        <v>Jazz 20+</v>
      </c>
      <c r="D11" s="11" t="str">
        <f>Rooster!E12</f>
        <v>Nova</v>
      </c>
      <c r="E11" s="329">
        <f>SUM(Augustus!E11+September!E11+Oktober!E10+November!E11+December!E11+Januari!E11+Februari!E11+Maart!E11+April!E11+Mei!E11+Juni!E11+Juli!E11)</f>
        <v>35</v>
      </c>
      <c r="F11" s="329">
        <f>AVERAGE(Augustus!Z11+September!Z11+Oktober!Z11+November!Z11+December!Z11+Januari!Z11+Februari!Z11+Maart!Z11+April!Z11+Mei!Z11+Juni!Z11+Juli!Z11)/12</f>
        <v>8.5</v>
      </c>
      <c r="G11" s="32">
        <f>SUM(Augustus!AA11+September!AA11+Oktober!AA11+November!AA11+December!AA11+Januari!AA11+Februari!AA11+Maart!AA11+April!AA11+Mei!AA11+Juni!AA11+Juli!AA11)</f>
        <v>1434.9</v>
      </c>
      <c r="H11" s="32">
        <f>SUM(Jaarbetalingen!AF11+Augustus!AB11+September!AB11+Oktober!AB11+November!AB11+December!AB11+Januari!AB11+Februari!AB11+Maart!AB11+April!AB11+Mei!AB11+Juni!AB11+Juli!AB11)</f>
        <v>2561.745</v>
      </c>
      <c r="I11" s="32">
        <f t="shared" si="1"/>
        <v>1126.845</v>
      </c>
      <c r="J11" s="404" t="str">
        <f t="shared" si="2"/>
        <v>🟡 Lichte verbetering</v>
      </c>
      <c r="K11" s="491">
        <f>IFERROR(AVERAGE(Oktober!Z11,November!Z11,December!Z11)-AVERAGE(Augustus!Z11,September!Z11),"")</f>
        <v>0</v>
      </c>
      <c r="L11" s="493" t="str">
        <f>IFERROR(IF(Augustus!Z11=0,"",IF((AVERAGE(Oktober!Z11,November!Z11,December!Z11)/Augustus!Z11)&lt;0.8,"Let op",IF((AVERAGE(Oktober!Z11,November!Z11,December!Z11)/Augustus!Z11)&lt;0.9,"Lichte daling","Stabiel"))),"")</f>
        <v>Stabiel</v>
      </c>
      <c r="M11" s="130">
        <v>10.0</v>
      </c>
      <c r="N11" s="130" t="s">
        <v>344</v>
      </c>
      <c r="O11" s="333">
        <f>H24+H25+H37+H38</f>
        <v>10067.36667</v>
      </c>
      <c r="P11" s="333">
        <f>O11/4</f>
        <v>2516.841667</v>
      </c>
    </row>
    <row r="12" ht="22.5" customHeight="1">
      <c r="A12" s="331" t="str">
        <f>Rooster!A13</f>
        <v>Maandag</v>
      </c>
      <c r="B12" s="396">
        <f>Rooster!B13</f>
        <v>0.6666666667</v>
      </c>
      <c r="C12" s="11" t="str">
        <f>Rooster!D13</f>
        <v>Streetdance 6+</v>
      </c>
      <c r="D12" s="11" t="str">
        <f>Rooster!E13</f>
        <v>Julia</v>
      </c>
      <c r="E12" s="329">
        <f>SUM(Augustus!E12+September!E12+Oktober!E11+November!E12+December!E12+Januari!E12+Februari!E12+Maart!E12+April!E12+Mei!E12+Juni!E12+Juli!E12)</f>
        <v>35</v>
      </c>
      <c r="F12" s="329">
        <f>AVERAGE(Augustus!Z12+September!Z12+Oktober!Z12+November!Z12+December!Z12+Januari!Z12+Februari!Z12+Maart!Z12+April!Z12+Mei!Z12+Juni!Z12+Juli!Z12)/12</f>
        <v>9.75</v>
      </c>
      <c r="G12" s="32">
        <f>SUM(Augustus!AA12+September!AA12+Oktober!AA12+November!AA12+December!AA12+Januari!AA12+Februari!AA12+Maart!AA12+April!AA12+Mei!AA12+Juni!AA12+Juli!AA12)</f>
        <v>1022</v>
      </c>
      <c r="H12" s="32">
        <f>SUM(Jaarbetalingen!AF12+Augustus!AB12+September!AB12+Oktober!AB12+November!AB12+December!AB12+Januari!AB12+Februari!AB12+Maart!AB12+April!AB12+Mei!AB12+Juni!AB12+Juli!AB12)</f>
        <v>3097.8</v>
      </c>
      <c r="I12" s="32">
        <f t="shared" si="1"/>
        <v>2075.8</v>
      </c>
      <c r="J12" s="404" t="str">
        <f t="shared" si="2"/>
        <v>🟢 Goed bezig</v>
      </c>
      <c r="K12" s="491">
        <f>IFERROR(AVERAGE(Oktober!Z12,November!Z12,December!Z12)-AVERAGE(Augustus!Z12,September!Z12),"")</f>
        <v>2.333333333</v>
      </c>
      <c r="L12" s="493" t="str">
        <f>IFERROR(IF(Augustus!Z12=0,"",IF((AVERAGE(Oktober!Z12,November!Z12,December!Z12)/Augustus!Z12)&lt;0.8,"Let op",IF((AVERAGE(Oktober!Z12,November!Z12,December!Z12)/Augustus!Z12)&lt;0.9,"Lichte daling","Stabiel"))),"")</f>
        <v>Stabiel</v>
      </c>
      <c r="M12" s="130">
        <v>11.0</v>
      </c>
      <c r="N12" s="130" t="s">
        <v>238</v>
      </c>
      <c r="O12" s="333">
        <f>H34</f>
        <v>3968</v>
      </c>
      <c r="P12" s="333">
        <f>O12</f>
        <v>3968</v>
      </c>
    </row>
    <row r="13" ht="22.5" customHeight="1">
      <c r="A13" s="331" t="str">
        <f>Rooster!A14</f>
        <v>Maandag</v>
      </c>
      <c r="B13" s="396">
        <f>Rooster!B14</f>
        <v>0.7083333333</v>
      </c>
      <c r="C13" s="11" t="str">
        <f>Rooster!D14</f>
        <v>Streetdance 8+</v>
      </c>
      <c r="D13" s="11" t="str">
        <f>Rooster!E14</f>
        <v>Julia</v>
      </c>
      <c r="E13" s="329">
        <f>SUM(Augustus!E13+September!E13+Oktober!E12+November!E13+December!E13+Januari!E13+Februari!E13+Maart!E13+April!E13+Mei!E13+Juni!E13+Juli!E13)</f>
        <v>35</v>
      </c>
      <c r="F13" s="329">
        <f>AVERAGE(Augustus!Z13+September!Z13+Oktober!Z13+November!Z13+December!Z13+Januari!Z13+Februari!Z13+Maart!Z13+April!Z13+Mei!Z13+Juni!Z13+Juli!Z13)/12</f>
        <v>19.5</v>
      </c>
      <c r="G13" s="32">
        <f>SUM(Augustus!AA13+September!AA13+Oktober!AA13+November!AA13+December!AA13+Januari!AA13+Februari!AA13+Maart!AA13+April!AA13+Mei!AA13+Juni!AA13+Juli!AA13)</f>
        <v>1036.1</v>
      </c>
      <c r="H13" s="32">
        <f>SUM(Jaarbetalingen!AF13+Augustus!AB13+September!AB13+Oktober!AB13+November!AB13+December!AB13+Januari!AB13+Februari!AB13+Maart!AB13+April!AB13+Mei!AB13+Juni!AB13+Juli!AB13)</f>
        <v>5361.75</v>
      </c>
      <c r="I13" s="32">
        <f t="shared" si="1"/>
        <v>4325.65</v>
      </c>
      <c r="J13" s="404" t="str">
        <f t="shared" si="2"/>
        <v>🟢 Goed bezig</v>
      </c>
      <c r="K13" s="491">
        <f>IFERROR(AVERAGE(Oktober!Z13,November!Z13,December!Z13)-AVERAGE(Augustus!Z13,September!Z13),"")</f>
        <v>0</v>
      </c>
      <c r="L13" s="492" t="str">
        <f>IFERROR(IF(Augustus!Z13=0,"",IF((AVERAGE(Oktober!Z13,November!Z13,December!Z13)/Augustus!Z13)&lt;0.8,"Let op",IF((AVERAGE(Oktober!Z13,November!Z13,December!Z13)/Augustus!Z13)&lt;0.9,"Lichte daling","Stabiel"))),"")</f>
        <v>Stabiel</v>
      </c>
    </row>
    <row r="14" ht="22.5" customHeight="1">
      <c r="A14" s="331" t="str">
        <f>Rooster!A15</f>
        <v>Dinsdag</v>
      </c>
      <c r="B14" s="396">
        <f>Rooster!B15</f>
        <v>0.6666666667</v>
      </c>
      <c r="C14" s="11" t="str">
        <f>Rooster!D15</f>
        <v>Modern 8+</v>
      </c>
      <c r="D14" s="11" t="str">
        <f>Rooster!E15</f>
        <v>Eigenaar</v>
      </c>
      <c r="E14" s="329">
        <f>SUM(Augustus!E14+September!E14+Oktober!E13+November!E14+December!E14+Januari!E14+Februari!E14+Maart!E14+April!E14+Mei!E14+Juni!E14+Juli!E14)</f>
        <v>36</v>
      </c>
      <c r="F14" s="329">
        <f>AVERAGE(Augustus!Z14+September!Z14+Oktober!Z14+November!Z14+December!Z14+Januari!Z14+Februari!Z14+Maart!Z14+April!Z14+Mei!Z14+Juni!Z14+Juli!Z14)/12</f>
        <v>16.75</v>
      </c>
      <c r="G14" s="32">
        <f>SUM(Augustus!AA14+September!AA14+Oktober!AA14+November!AA14+December!AA14+Januari!AA14+Februari!AA14+Maart!AA14+April!AA14+Mei!AA14+Juni!AA14+Juli!AA14)</f>
        <v>725.4</v>
      </c>
      <c r="H14" s="32">
        <f>SUM(Jaarbetalingen!AF14+Augustus!AB14+September!AB14+Oktober!AB14+November!AB14+December!AB14+Januari!AB14+Februari!AB14+Maart!AB14+April!AB14+Mei!AB14+Juni!AB14+Juli!AB14)</f>
        <v>5133.133333</v>
      </c>
      <c r="I14" s="32">
        <f t="shared" si="1"/>
        <v>4407.733333</v>
      </c>
      <c r="J14" s="404" t="str">
        <f t="shared" si="2"/>
        <v>🟢 Goed bezig</v>
      </c>
      <c r="K14" s="491">
        <f>IFERROR(AVERAGE(Oktober!Z14,November!Z14,December!Z14)-AVERAGE(Augustus!Z14,September!Z14),"")</f>
        <v>0.6666666667</v>
      </c>
      <c r="L14" s="492" t="str">
        <f>IFERROR(IF(Augustus!Z14=0,"",IF((AVERAGE(Oktober!Z14,November!Z14,December!Z14)/Augustus!Z14)&lt;0.8,"Let op",IF((AVERAGE(Oktober!Z14,November!Z14,December!Z14)/Augustus!Z14)&lt;0.9,"Lichte daling","Stabiel"))),"")</f>
        <v>Stabiel</v>
      </c>
    </row>
    <row r="15" ht="22.5" customHeight="1">
      <c r="A15" s="331" t="str">
        <f>Rooster!A16</f>
        <v>Dinsdag</v>
      </c>
      <c r="B15" s="396">
        <f>Rooster!B16</f>
        <v>0.7083333333</v>
      </c>
      <c r="C15" s="11" t="str">
        <f>Rooster!D16</f>
        <v>Selectie show 8+</v>
      </c>
      <c r="D15" s="11" t="str">
        <f>Rooster!E16</f>
        <v>Eigenaar</v>
      </c>
      <c r="E15" s="329">
        <f>SUM(Augustus!E15+September!E14+Oktober!E14+November!E15+December!E15+Januari!E15+Februari!E15+Maart!E15+April!E15+Mei!E15+Juni!E15+Juli!E15)</f>
        <v>36</v>
      </c>
      <c r="F15" s="329">
        <f>AVERAGE(Augustus!Z15+September!Z15+Oktober!Z15+November!Z15+December!Z15+Januari!Z15+Februari!Z15+Maart!Z15+April!Z15+Mei!Z15+Juni!Z15+Juli!Z15)/12</f>
        <v>12</v>
      </c>
      <c r="G15" s="32">
        <f>SUM(Augustus!AA15+September!AA15+Oktober!AA15+November!AA15+December!AA15+Januari!AA15+Februari!AA15+Maart!AA15+April!AA15+Mei!AA15+Juni!AA15+Juli!AA15)</f>
        <v>680.4</v>
      </c>
      <c r="H15" s="32">
        <f>SUM(Jaarbetalingen!AF15+Augustus!AB15+September!AB15+Oktober!AB15+November!AB15+December!AB15+Januari!AB15+Februari!AB15+Maart!AB15+April!AB15+Mei!AB15+Juni!AB15+Juli!AB15)</f>
        <v>3689</v>
      </c>
      <c r="I15" s="32">
        <f t="shared" si="1"/>
        <v>3008.6</v>
      </c>
      <c r="J15" s="404" t="str">
        <f t="shared" si="2"/>
        <v>🟢 Goed bezig</v>
      </c>
      <c r="K15" s="491">
        <f>IFERROR(AVERAGE(Oktober!Z15,November!Z15,December!Z15)-AVERAGE(Augustus!Z15,September!Z15),"")</f>
        <v>0</v>
      </c>
      <c r="L15" s="492" t="str">
        <f>IFERROR(IF(Augustus!Z15=0,"",IF((AVERAGE(Oktober!Z15,November!Z15,December!Z15)/Augustus!Z15)&lt;0.8,"Let op",IF((AVERAGE(Oktober!Z15,November!Z15,December!Z15)/Augustus!Z15)&lt;0.9,"Lichte daling","Stabiel"))),"")</f>
        <v>Stabiel</v>
      </c>
    </row>
    <row r="16" ht="22.5" customHeight="1">
      <c r="A16" s="331" t="str">
        <f>Rooster!A17</f>
        <v>Dinsdag</v>
      </c>
      <c r="B16" s="396">
        <f>Rooster!B17</f>
        <v>0.75</v>
      </c>
      <c r="C16" s="11" t="str">
        <f>Rooster!D17</f>
        <v>Selectie Cheer</v>
      </c>
      <c r="D16" s="11" t="str">
        <f>Rooster!E17</f>
        <v>Eigenaar</v>
      </c>
      <c r="E16" s="329">
        <f>SUM(Augustus!E16+September!E16+Oktober!E15+November!E16+December!E16+Januari!E16+Februari!E16+Maart!E16+April!E16+Mei!E16+Juni!E16+Juli!E16)</f>
        <v>36</v>
      </c>
      <c r="F16" s="329">
        <f>AVERAGE(Augustus!Z16+September!Z16+Oktober!Z16+November!Z16+December!Z16+Januari!Z16+Februari!Z16+Maart!Z16+April!Z16+Mei!Z16+Juni!Z16+Juli!Z16)/12</f>
        <v>11</v>
      </c>
      <c r="G16" s="32">
        <f>SUM(Augustus!AA16+September!AA16+Oktober!AA16+November!AA16+December!AA16+Januari!AA16+Februari!AA16+Maart!AA16+April!AA16+Mei!AA16+Juni!AA16+Juli!AA16)</f>
        <v>1020.6</v>
      </c>
      <c r="H16" s="32">
        <f>SUM(Jaarbetalingen!AF16+Augustus!AB16+September!AB16+Oktober!AB16+November!AB16+December!AB16+Januari!AB16+Februari!AB16+Maart!AB16+April!AB16+Mei!AB16+Juni!AB16+Juli!AB16)</f>
        <v>3054</v>
      </c>
      <c r="I16" s="32">
        <f t="shared" si="1"/>
        <v>2033.4</v>
      </c>
      <c r="J16" s="404" t="str">
        <f t="shared" si="2"/>
        <v>🟡 Lichte verbetering</v>
      </c>
      <c r="K16" s="491">
        <f>IFERROR(AVERAGE(Oktober!Z16,November!Z16,December!Z16)-AVERAGE(Augustus!Z16,September!Z16),"")</f>
        <v>0</v>
      </c>
      <c r="L16" s="492" t="str">
        <f>IFERROR(IF(Augustus!Z16=0,"",IF((AVERAGE(Oktober!Z16,November!Z16,December!Z16)/Augustus!Z16)&lt;0.8,"Let op",IF((AVERAGE(Oktober!Z16,November!Z16,December!Z16)/Augustus!Z16)&lt;0.9,"Lichte daling","Stabiel"))),"")</f>
        <v>Stabiel</v>
      </c>
    </row>
    <row r="17" ht="22.5" customHeight="1">
      <c r="A17" s="331" t="str">
        <f>Rooster!A18</f>
        <v>Dinsdag</v>
      </c>
      <c r="B17" s="396">
        <f>Rooster!B18</f>
        <v>0.8125</v>
      </c>
      <c r="C17" s="11" t="str">
        <f>Rooster!D18</f>
        <v>Hiphop 15+</v>
      </c>
      <c r="D17" s="11" t="str">
        <f>Rooster!E18</f>
        <v>Eigenaar</v>
      </c>
      <c r="E17" s="329">
        <f>SUM(Augustus!E17+September!E17+Oktober!E16+November!E17+December!E17+Januari!E17+Februari!E17+Maart!E17+April!E17+Mei!E17+Juni!E17+Juli!E17)</f>
        <v>36</v>
      </c>
      <c r="F17" s="329">
        <f>AVERAGE(Augustus!Z17+September!Z17+Oktober!Z17+November!Z17+December!Z17+Januari!Z17+Februari!Z17+Maart!Z17+April!Z17+Mei!Z17+Juni!Z17+Juli!Z17)/12</f>
        <v>15.33333333</v>
      </c>
      <c r="G17" s="32">
        <f>SUM(Augustus!AA17+September!AA17+Oktober!AA17+November!AA17+December!AA17+Januari!AA17+Februari!AA17+Maart!AA17+April!AA17+Mei!AA17+Juni!AA17+Juli!AA17)</f>
        <v>680.5</v>
      </c>
      <c r="H17" s="32">
        <f>SUM(Jaarbetalingen!AF17+Augustus!AB17+September!AB17+Oktober!AB17+November!AB17+December!AB17+Januari!AB17+Februari!AB17+Maart!AB17+April!AB17+Mei!AB17+Juni!AB17+Juli!AB17)</f>
        <v>4295.216667</v>
      </c>
      <c r="I17" s="32">
        <f t="shared" si="1"/>
        <v>3614.716667</v>
      </c>
      <c r="J17" s="404" t="str">
        <f t="shared" si="2"/>
        <v>🟢 Goed bezig</v>
      </c>
      <c r="K17" s="491">
        <f>IFERROR(AVERAGE(Oktober!Z17,November!Z17,December!Z17)-AVERAGE(Augustus!Z17,September!Z17),"")</f>
        <v>0.6666666667</v>
      </c>
      <c r="L17" s="492" t="str">
        <f>IFERROR(IF(Augustus!Z17=0,"",IF((AVERAGE(Oktober!Z17,November!Z17,December!Z17)/Augustus!Z17)&lt;0.8,"Let op",IF((AVERAGE(Oktober!Z17,November!Z17,December!Z17)/Augustus!Z17)&lt;0.9,"Lichte daling","Stabiel"))),"")</f>
        <v>Stabiel</v>
      </c>
    </row>
    <row r="18" ht="22.5" customHeight="1">
      <c r="A18" s="331" t="str">
        <f>Rooster!A19</f>
        <v>Woensdag</v>
      </c>
      <c r="B18" s="396">
        <f>Rooster!B19</f>
        <v>0.6041666667</v>
      </c>
      <c r="C18" s="11" t="str">
        <f>Rooster!D19</f>
        <v>Streetdance 6+</v>
      </c>
      <c r="D18" s="11" t="str">
        <f>Rooster!E19</f>
        <v>Julia</v>
      </c>
      <c r="E18" s="329">
        <f>SUM(Augustus!E18+September!E18+Oktober!E17+November!E18+December!E18+Januari!E18+Februari!E18+Maart!E18+April!E18+Mei!E18+Juni!E18+Juli!E18)</f>
        <v>36</v>
      </c>
      <c r="F18" s="329">
        <f>AVERAGE(Augustus!Z18+September!Z18+Oktober!Z18+November!Z18+December!Z18+Januari!Z18+Februari!Z18+Maart!Z18+April!Z18+Mei!Z18+Juni!Z18+Juli!Z18)/12</f>
        <v>13.5</v>
      </c>
      <c r="G18" s="32">
        <f>SUM(Augustus!AA18+September!AA18+Oktober!AA18+November!AA18+December!AA18+Januari!AA18+Februari!AA18+Maart!AA18+April!AA18+Mei!AA18+Juni!AA18+Juli!AA18)</f>
        <v>1051.2</v>
      </c>
      <c r="H18" s="32">
        <f>SUM(Jaarbetalingen!AF18+Augustus!AB18+September!AB18+Oktober!AB18+November!AB18+December!AB18+Januari!AB18+Februari!AB18+Maart!AB18+April!AB18+Mei!AB18+Juni!AB18+Juli!AB18)</f>
        <v>4082.8</v>
      </c>
      <c r="I18" s="32">
        <f t="shared" si="1"/>
        <v>3031.6</v>
      </c>
      <c r="J18" s="404" t="str">
        <f t="shared" si="2"/>
        <v>🟢 Goed bezig</v>
      </c>
      <c r="K18" s="491">
        <f>IFERROR(AVERAGE(Oktober!Z18,November!Z18,December!Z18)-AVERAGE(Augustus!Z18,September!Z18),"")</f>
        <v>-1</v>
      </c>
      <c r="L18" s="492" t="str">
        <f>IFERROR(IF(Augustus!Z18=0,"",IF((AVERAGE(Oktober!Z18,November!Z18,December!Z18)/Augustus!Z18)&lt;0.8,"Let op",IF((AVERAGE(Oktober!Z18,November!Z18,December!Z18)/Augustus!Z18)&lt;0.9,"Lichte daling","Stabiel"))),"")</f>
        <v>Stabiel</v>
      </c>
    </row>
    <row r="19" ht="22.5" customHeight="1">
      <c r="A19" s="331" t="str">
        <f>Rooster!A20</f>
        <v>Woensdag</v>
      </c>
      <c r="B19" s="396">
        <f>Rooster!B20</f>
        <v>0.6458333333</v>
      </c>
      <c r="C19" s="11" t="str">
        <f>Rooster!D20</f>
        <v>Streetdance 8+</v>
      </c>
      <c r="D19" s="11" t="str">
        <f>Rooster!E20</f>
        <v>Julia</v>
      </c>
      <c r="E19" s="329">
        <f>SUM(Augustus!E19+September!E19+Oktober!E18+November!E19+December!E19+Januari!E19+Februari!E19+Maart!E19+April!E19+Mei!E19+Juni!E19+Juli!E19)</f>
        <v>36</v>
      </c>
      <c r="F19" s="329">
        <f>AVERAGE(Augustus!Z19+September!Z19+Oktober!Z19+November!Z19+December!Z19+Januari!Z19+Februari!Z19+Maart!Z19+April!Z19+Mei!Z19+Juni!Z19+Juli!Z19)/12</f>
        <v>17.83333333</v>
      </c>
      <c r="G19" s="32">
        <f>SUM(Augustus!AA19+September!AA19+Oktober!AA19+November!AA19+December!AA19+Januari!AA19+Februari!AA19+Maart!AA19+April!AA19+Mei!AA19+Juni!AA19+Juli!AA19)</f>
        <v>1051.2</v>
      </c>
      <c r="H19" s="32">
        <f>SUM(Jaarbetalingen!AF19+Augustus!AB19+September!AB19+Oktober!AB19+November!AB19+December!AB19+Januari!AB19+Februari!AB19+Maart!AB19+April!AB19+Mei!AB19+Juni!AB19+Juli!AB19)</f>
        <v>6704.166667</v>
      </c>
      <c r="I19" s="32">
        <f t="shared" si="1"/>
        <v>5652.966667</v>
      </c>
      <c r="J19" s="404" t="str">
        <f t="shared" si="2"/>
        <v>🟢 Goed bezig</v>
      </c>
      <c r="K19" s="491">
        <f>IFERROR(AVERAGE(Oktober!Z19,November!Z19,December!Z19)-AVERAGE(Augustus!Z19,September!Z19),"")</f>
        <v>2</v>
      </c>
      <c r="L19" s="492" t="str">
        <f>IFERROR(IF(Augustus!Z19=0,"",IF((AVERAGE(Oktober!Z19,November!Z19,December!Z19)/Augustus!Z19)&lt;0.8,"Let op",IF((AVERAGE(Oktober!Z19,November!Z19,December!Z19)/Augustus!Z19)&lt;0.9,"Lichte daling","Stabiel"))),"")</f>
        <v>Stabiel</v>
      </c>
    </row>
    <row r="20" ht="22.5" customHeight="1">
      <c r="A20" s="331" t="str">
        <f>Rooster!A21</f>
        <v>Woensdag</v>
      </c>
      <c r="B20" s="396">
        <f>Rooster!B21</f>
        <v>0.6875</v>
      </c>
      <c r="C20" s="11" t="str">
        <f>Rooster!D21</f>
        <v>Modern 11+</v>
      </c>
      <c r="D20" s="11" t="str">
        <f>Rooster!E21</f>
        <v>Julia</v>
      </c>
      <c r="E20" s="329">
        <f>SUM(Augustus!E20+September!E20+Oktober!E19+November!E20+December!E20+Januari!E20+Februari!E20+Maart!E20+April!E20+Mei!E20+Juni!E20+Juli!E20)</f>
        <v>36</v>
      </c>
      <c r="F20" s="329">
        <f>AVERAGE(Augustus!Z20+September!Z20+Oktober!Z20+November!Z20+December!Z20+Januari!Z20+Februari!Z20+Maart!Z20+April!Z20+Mei!Z20+Juni!Z20+Juli!Z20)/12</f>
        <v>14</v>
      </c>
      <c r="G20" s="32">
        <f>SUM(Augustus!AA20+September!AA20+Oktober!AA20+November!AA20+December!AA20+Januari!AA20+Februari!AA20+Maart!AA20+April!AA20+Mei!AA20+Juni!AA20+Juli!AA20)</f>
        <v>1051.2</v>
      </c>
      <c r="H20" s="32">
        <f>SUM(Jaarbetalingen!AF20+Augustus!AB20+September!AB20+Oktober!AB20+November!AB20+December!AB20+Januari!AB20+Februari!AB20+Maart!AB20+April!AB20+Mei!AB20+Juni!AB20+Juli!AB20)</f>
        <v>3956.45</v>
      </c>
      <c r="I20" s="32">
        <f t="shared" si="1"/>
        <v>2905.25</v>
      </c>
      <c r="J20" s="404" t="str">
        <f t="shared" si="2"/>
        <v>🟢 Goed bezig</v>
      </c>
      <c r="K20" s="491">
        <f>IFERROR(AVERAGE(Oktober!Z20,November!Z20,December!Z20)-AVERAGE(Augustus!Z20,September!Z20),"")</f>
        <v>0</v>
      </c>
      <c r="L20" s="492" t="str">
        <f>IFERROR(IF(Augustus!Z20=0,"",IF((AVERAGE(Oktober!Z20,November!Z20,December!Z20)/Augustus!Z20)&lt;0.8,"Let op",IF((AVERAGE(Oktober!Z20,November!Z20,December!Z20)/Augustus!Z20)&lt;0.9,"Lichte daling","Stabiel"))),"")</f>
        <v>Stabiel</v>
      </c>
    </row>
    <row r="21" ht="22.5" customHeight="1">
      <c r="A21" s="331" t="str">
        <f>Rooster!A22</f>
        <v>Woensdag</v>
      </c>
      <c r="B21" s="396">
        <f>Rooster!B22</f>
        <v>0.7291666667</v>
      </c>
      <c r="C21" s="11" t="str">
        <f>Rooster!D22</f>
        <v>Selectie Hiphop 11+</v>
      </c>
      <c r="D21" s="11" t="str">
        <f>Rooster!E22</f>
        <v>Eigenaar</v>
      </c>
      <c r="E21" s="329">
        <f>SUM(Augustus!E21+September!E21+Oktober!E20+November!E21+December!E21+Januari!E21+Februari!E21+Maart!E21+April!E21+Mei!E21+Juni!E21+Juli!E21)</f>
        <v>36</v>
      </c>
      <c r="F21" s="329">
        <f>AVERAGE(Augustus!Z21+September!Z21+Oktober!Z21+November!Z21+December!Z21+Januari!Z21+Februari!Z21+Maart!Z21+April!Z21+Mei!Z21+Juni!Z21+Juli!Z21)/12</f>
        <v>15</v>
      </c>
      <c r="G21" s="32">
        <f>SUM(Augustus!AA21+September!AA21+Oktober!AA21+November!AA21+December!AA21+Januari!AA21+Februari!AA21+Maart!AA21+April!AA21+Mei!AA21+Juni!AA21+Juli!AA21)</f>
        <v>511.2</v>
      </c>
      <c r="H21" s="32">
        <f>SUM(Jaarbetalingen!AF21+Augustus!AB21+September!AB21+Oktober!AB21+November!AB21+December!AB21+Januari!AB21+Februari!AB21+Maart!AB21+April!AB21+Mei!AB21+Juni!AB21+Juli!AB21)</f>
        <v>4243.116667</v>
      </c>
      <c r="I21" s="32">
        <f t="shared" si="1"/>
        <v>3731.916667</v>
      </c>
      <c r="J21" s="404" t="str">
        <f t="shared" si="2"/>
        <v>🟢 Goed bezig</v>
      </c>
      <c r="K21" s="491">
        <f>IFERROR(AVERAGE(Oktober!Z21,November!Z21,December!Z21)-AVERAGE(Augustus!Z21,September!Z21),"")</f>
        <v>2.666666667</v>
      </c>
      <c r="L21" s="492" t="str">
        <f>IFERROR(IF(Augustus!Z21=0,"",IF((AVERAGE(Oktober!Z21,November!Z21,December!Z21)/Augustus!Z21)&lt;0.8,"Let op",IF((AVERAGE(Oktober!Z21,November!Z21,December!Z21)/Augustus!Z21)&lt;0.9,"Lichte daling","Stabiel"))),"")</f>
        <v>Stabiel</v>
      </c>
    </row>
    <row r="22" ht="22.5" customHeight="1">
      <c r="A22" s="331" t="str">
        <f>Rooster!A23</f>
        <v>Woensdag</v>
      </c>
      <c r="B22" s="396">
        <f>Rooster!B23</f>
        <v>0.7708333333</v>
      </c>
      <c r="C22" s="11" t="str">
        <f>Rooster!D23</f>
        <v>Show 12+</v>
      </c>
      <c r="D22" s="11" t="str">
        <f>Rooster!E23</f>
        <v>Eigenaar</v>
      </c>
      <c r="E22" s="329">
        <f>SUM(Augustus!E22+September!E22+Oktober!E21+November!E22+December!E22+Januari!E22+Februari!E22+Maart!E22+April!E22+Mei!E22+Juni!E22+Juli!E22)</f>
        <v>36</v>
      </c>
      <c r="F22" s="329">
        <f>AVERAGE(Augustus!Z22+September!Z22+Oktober!Z22+November!Z22+December!Z22+Januari!Z22+Februari!Z22+Maart!Z22+April!Z22+Mei!Z22+Juni!Z22+Juli!Z22)/12</f>
        <v>10.91666667</v>
      </c>
      <c r="G22" s="32">
        <f>SUM(Augustus!AA22+September!AA22+Oktober!AA22+November!AA22+December!AA22+Januari!AA22+Februari!AA22+Maart!AA22+April!AA22+Mei!AA22+Juni!AA22+Juli!AA22)</f>
        <v>454.4</v>
      </c>
      <c r="H22" s="32">
        <f>SUM(Jaarbetalingen!AF22+Augustus!AB22+September!AB22+Oktober!AB22+November!AB22+December!AB22+Januari!AB22+Februari!AB22+Maart!AB22+April!AB22+Mei!AB22+Juni!AB22+Juli!AB22)</f>
        <v>4407.25</v>
      </c>
      <c r="I22" s="32">
        <f t="shared" si="1"/>
        <v>3952.85</v>
      </c>
      <c r="J22" s="404" t="str">
        <f t="shared" si="2"/>
        <v>🟢 Goed bezig</v>
      </c>
      <c r="K22" s="491">
        <f>IFERROR(AVERAGE(Oktober!Z22,November!Z22,December!Z22)-AVERAGE(Augustus!Z22,September!Z22),"")</f>
        <v>-4.666666667</v>
      </c>
      <c r="L22" s="492" t="str">
        <f>IFERROR(IF(Augustus!Z22=0,"",IF((AVERAGE(Oktober!Z22,November!Z22,December!Z22)/Augustus!Z22)&lt;0.8,"Let op",IF((AVERAGE(Oktober!Z22,November!Z22,December!Z22)/Augustus!Z22)&lt;0.9,"Lichte daling","Stabiel"))),"")</f>
        <v>Let op</v>
      </c>
    </row>
    <row r="23" ht="22.5" customHeight="1">
      <c r="A23" s="331" t="str">
        <f>Rooster!A24</f>
        <v/>
      </c>
      <c r="B23" s="396" t="str">
        <f>Rooster!B24</f>
        <v/>
      </c>
      <c r="C23" s="11" t="str">
        <f>Rooster!D24</f>
        <v/>
      </c>
      <c r="D23" s="11" t="str">
        <f>Rooster!E24</f>
        <v/>
      </c>
      <c r="E23" s="329">
        <f>SUM(Augustus!E23+September!E23+Oktober!E22+November!E23+December!E23+Januari!E23+Februari!E23+Maart!E23+April!E23+Mei!E23+Juni!E23+Juli!E23)</f>
        <v>11</v>
      </c>
      <c r="F23" s="329">
        <f>AVERAGE(Augustus!Z23+September!Z23+Oktober!Z23+November!Z23+December!Z23+Januari!Z23+Februari!Z23+Maart!Z23+April!Z23+Mei!Z23+Juni!Z23+Juli!Z23)/12</f>
        <v>0.08333333333</v>
      </c>
      <c r="G23" s="32">
        <f>SUM(Augustus!AA23+September!AA23+Oktober!AA23+November!AA23+December!AA23+Januari!AA23+Februari!AA23+Maart!AA23+April!AA23+Mei!AA23+Juni!AA23+Juli!AA23)</f>
        <v>0</v>
      </c>
      <c r="H23" s="32">
        <f>SUM(Jaarbetalingen!AF23+Augustus!AB23+September!AB23+Oktober!AB23+November!AB23+December!AB23+Januari!AB23+Februari!AB23+Maart!AB23+April!AB23+Mei!AB23+Juni!AB23+Juli!AB23)</f>
        <v>0</v>
      </c>
      <c r="I23" s="32">
        <f t="shared" si="1"/>
        <v>0</v>
      </c>
      <c r="J23" s="404" t="str">
        <f t="shared" si="2"/>
        <v/>
      </c>
      <c r="K23" s="491">
        <f>IFERROR(AVERAGE(Oktober!Z23,November!Z23,December!Z23)-AVERAGE(Augustus!Z23,September!Z23),"")</f>
        <v>0.3333333333</v>
      </c>
      <c r="L23" s="492" t="str">
        <f>IFERROR(IF(Augustus!Z23=0,"",IF((AVERAGE(Oktober!Z23,November!Z23,December!Z23)/Augustus!Z23)&lt;0.8,"Let op",IF((AVERAGE(Oktober!Z23,November!Z23,December!Z23)/Augustus!Z23)&lt;0.9,"Lichte daling","Stabiel"))),"")</f>
        <v/>
      </c>
    </row>
    <row r="24" ht="22.5" customHeight="1">
      <c r="A24" s="331" t="str">
        <f>Rooster!A25</f>
        <v>Donderdag</v>
      </c>
      <c r="B24" s="396">
        <f>Rooster!B25</f>
        <v>0.6458333333</v>
      </c>
      <c r="C24" s="11" t="str">
        <f>Rooster!D25</f>
        <v>Showdance 6+</v>
      </c>
      <c r="D24" s="11" t="str">
        <f>Rooster!E25</f>
        <v>Eigenaar</v>
      </c>
      <c r="E24" s="329">
        <f>SUM(Augustus!E24+September!E24+Oktober!E23+November!E24+December!E24+Januari!E24+Februari!E24+Maart!E24+April!E24+Mei!E24+Juni!E24+Juli!E24)</f>
        <v>32</v>
      </c>
      <c r="F24" s="329">
        <f>AVERAGE(Augustus!Z24+September!Z24+Oktober!Z24+November!Z24+December!Z24+Januari!Z24+Februari!Z24+Maart!Z24+April!Z24+Mei!Z24+Juni!Z24+Juli!Z24)/12</f>
        <v>12.08333333</v>
      </c>
      <c r="G24" s="32">
        <f>SUM(Augustus!AA24+September!AA24+Oktober!AA24+November!AA24+December!AA24+Januari!AA24+Februari!AA24+Maart!AA24+April!AA24+Mei!AA24+Juni!AA24+Juli!AA24)</f>
        <v>1100.4</v>
      </c>
      <c r="H24" s="32">
        <f>SUM(Jaarbetalingen!AF24+Augustus!AB24+September!AB24+Oktober!AB24+November!AB24+December!AB24+Januari!AB24+Februari!AB24+Maart!AB24+April!AB24+Mei!AB24+Juni!AB24+Juli!AB24)</f>
        <v>3584.5</v>
      </c>
      <c r="I24" s="32">
        <f t="shared" si="1"/>
        <v>2484.1</v>
      </c>
      <c r="J24" s="404" t="str">
        <f t="shared" si="2"/>
        <v>🟡 Lichte verbetering</v>
      </c>
      <c r="K24" s="491">
        <f>IFERROR(AVERAGE(Oktober!Z24,November!Z24,December!Z24)-AVERAGE(Augustus!Z24,September!Z24),"")</f>
        <v>1.666666667</v>
      </c>
      <c r="L24" s="492" t="str">
        <f>IFERROR(IF(Augustus!Z24=0,"",IF((AVERAGE(Oktober!Z24,November!Z24,December!Z24)/Augustus!Z24)&lt;0.8,"Let op",IF((AVERAGE(Oktober!Z24,November!Z24,December!Z24)/Augustus!Z24)&lt;0.9,"Lichte daling","Stabiel"))),"")</f>
        <v>Stabiel</v>
      </c>
    </row>
    <row r="25" ht="22.5" customHeight="1">
      <c r="A25" s="331" t="str">
        <f>Rooster!A26</f>
        <v>Donderdag</v>
      </c>
      <c r="B25" s="396">
        <f>Rooster!B26</f>
        <v>0.6875</v>
      </c>
      <c r="C25" s="11" t="str">
        <f>Rooster!D26</f>
        <v>Showdance 8+</v>
      </c>
      <c r="D25" s="11" t="str">
        <f>Rooster!E26</f>
        <v>Eigenaar</v>
      </c>
      <c r="E25" s="329">
        <f>SUM(Augustus!E25+September!E25+Oktober!E24+November!E25+December!E25+Januari!E25+Februari!E25+Maart!E25+April!E25+Mei!E25+Juni!E25+Juli!E25)</f>
        <v>36</v>
      </c>
      <c r="F25" s="329">
        <f>AVERAGE(Augustus!Z25+September!Z25+Oktober!Z25+November!Z25+December!Z25+Januari!Z25+Februari!Z25+Maart!Z25+April!Z25+Mei!Z25+Juni!Z25+Juli!Z25)/12</f>
        <v>10.75</v>
      </c>
      <c r="G25" s="32">
        <f>SUM(Augustus!AA25+September!AA25+Oktober!AA25+November!AA25+December!AA25+Januari!AA25+Februari!AA25+Maart!AA25+April!AA25+Mei!AA25+Juni!AA25+Juli!AA25)</f>
        <v>1100.4</v>
      </c>
      <c r="H25" s="32">
        <f>SUM(Jaarbetalingen!AF25+Augustus!AB25+September!AB25+Oktober!AB25+November!AB25+December!AB25+Januari!AB25+Februari!AB25+Maart!AB25+April!AB25+Mei!AB25+Juni!AB25+Juli!AB25)</f>
        <v>3224.916667</v>
      </c>
      <c r="I25" s="32">
        <f t="shared" si="1"/>
        <v>2124.516667</v>
      </c>
      <c r="J25" s="404" t="str">
        <f t="shared" si="2"/>
        <v>🟡 Lichte verbetering</v>
      </c>
      <c r="K25" s="491">
        <f>IFERROR(AVERAGE(Oktober!Z25,November!Z25,December!Z25)-AVERAGE(Augustus!Z25,September!Z25),"")</f>
        <v>0.6666666667</v>
      </c>
      <c r="L25" s="492" t="str">
        <f>IFERROR(IF(Augustus!Z25=0,"",IF((AVERAGE(Oktober!Z25,November!Z25,December!Z25)/Augustus!Z25)&lt;0.8,"Let op",IF((AVERAGE(Oktober!Z25,November!Z25,December!Z25)/Augustus!Z25)&lt;0.9,"Lichte daling","Stabiel"))),"")</f>
        <v>Stabiel</v>
      </c>
    </row>
    <row r="26" ht="22.5" customHeight="1">
      <c r="A26" s="331" t="str">
        <f>Rooster!A27</f>
        <v>Donderdag</v>
      </c>
      <c r="B26" s="396">
        <f>Rooster!B27</f>
        <v>0.7291666667</v>
      </c>
      <c r="C26" s="11" t="str">
        <f>Rooster!D27</f>
        <v>Modern 14+</v>
      </c>
      <c r="D26" s="11" t="str">
        <f>Rooster!E27</f>
        <v>Eigenaar</v>
      </c>
      <c r="E26" s="329">
        <f>SUM(Augustus!E26+September!E26+Oktober!E25+November!E26+December!E26+Januari!E26+Februari!E26+Maart!E26+April!E26+Mei!E26+Juni!E26+Juli!E26)</f>
        <v>36</v>
      </c>
      <c r="F26" s="329">
        <f>AVERAGE(Augustus!Z26+September!Z26+Oktober!Z26+November!Z26+December!Z26+Januari!Z26+Februari!Z26+Maart!Z26+April!Z26+Mei!Z26+Juni!Z26+Juli!Z26)/12</f>
        <v>12.5</v>
      </c>
      <c r="G26" s="32">
        <f>SUM(Augustus!AA26+September!AA26+Oktober!AA26+November!AA26+December!AA26+Januari!AA26+Februari!AA26+Maart!AA26+April!AA26+Mei!AA26+Juni!AA26+Juli!AA26)</f>
        <v>1100.4</v>
      </c>
      <c r="H26" s="32">
        <f>SUM(Jaarbetalingen!AF26+Augustus!AB26+September!AB26+Oktober!AB26+November!AB26+December!AB26+Januari!AB26+Februari!AB26+Maart!AB26+April!AB26+Mei!AB26+Juni!AB26+Juli!AB26)</f>
        <v>3547.45</v>
      </c>
      <c r="I26" s="32">
        <f t="shared" si="1"/>
        <v>2447.05</v>
      </c>
      <c r="J26" s="404" t="str">
        <f t="shared" si="2"/>
        <v>🟡 Lichte verbetering</v>
      </c>
      <c r="K26" s="491">
        <f>IFERROR(AVERAGE(Oktober!Z26,November!Z26,December!Z26)-AVERAGE(Augustus!Z26,September!Z26),"")</f>
        <v>1.333333333</v>
      </c>
      <c r="L26" s="492" t="str">
        <f>IFERROR(IF(Augustus!Z26=0,"",IF((AVERAGE(Oktober!Z26,November!Z26,December!Z26)/Augustus!Z26)&lt;0.8,"Let op",IF((AVERAGE(Oktober!Z26,November!Z26,December!Z26)/Augustus!Z26)&lt;0.9,"Lichte daling","Stabiel"))),"")</f>
        <v>Stabiel</v>
      </c>
    </row>
    <row r="27" ht="22.5" customHeight="1">
      <c r="A27" s="331" t="str">
        <f>Rooster!A28</f>
        <v>Donderdag</v>
      </c>
      <c r="B27" s="396">
        <f>Rooster!B28</f>
        <v>0.7708333333</v>
      </c>
      <c r="C27" s="11" t="str">
        <f>Rooster!D28</f>
        <v>Commercial 14+</v>
      </c>
      <c r="D27" s="11" t="str">
        <f>Rooster!E28</f>
        <v>Nova</v>
      </c>
      <c r="E27" s="329">
        <f>SUM(Augustus!E27+September!E27+Oktober!E26+November!E27+December!E27+Januari!E27+Februari!E27+Maart!E27+April!E27+Mei!E27+Juni!E27+Juli!E27)</f>
        <v>36</v>
      </c>
      <c r="F27" s="329">
        <f>AVERAGE(Augustus!Z27+September!Z27+Oktober!Z27+November!Z27+December!Z27+Januari!Z27+Februari!Z27+Maart!Z27+April!Z27+Mei!Z27+Juni!Z27+Juli!Z27)/12</f>
        <v>19.16666667</v>
      </c>
      <c r="G27" s="32">
        <f>SUM(Augustus!AA27+September!AA27+Oktober!AA27+November!AA27+December!AA27+Januari!AA27+Februari!AA27+Maart!AA27+April!AA27+Mei!AA27+Juni!AA27+Juli!AA27)</f>
        <v>1490.4</v>
      </c>
      <c r="H27" s="32">
        <f>SUM(Jaarbetalingen!AF27+Augustus!AB27+September!AB27+Oktober!AB27+November!AB27+December!AB27+Januari!AB27+Februari!AB27+Maart!AB27+April!AB27+Mei!AB27+Juni!AB27+Juli!AB27)</f>
        <v>5497.608333</v>
      </c>
      <c r="I27" s="32">
        <f t="shared" si="1"/>
        <v>4007.208333</v>
      </c>
      <c r="J27" s="404" t="str">
        <f t="shared" si="2"/>
        <v>🟢 Goed bezig</v>
      </c>
      <c r="K27" s="491">
        <f>IFERROR(AVERAGE(Oktober!Z27,November!Z27,December!Z27)-AVERAGE(Augustus!Z27,September!Z27),"")</f>
        <v>1.666666667</v>
      </c>
      <c r="L27" s="492" t="str">
        <f>IFERROR(IF(Augustus!Z27=0,"",IF((AVERAGE(Oktober!Z27,November!Z27,December!Z27)/Augustus!Z27)&lt;0.8,"Let op",IF((AVERAGE(Oktober!Z27,November!Z27,December!Z27)/Augustus!Z27)&lt;0.9,"Lichte daling","Stabiel"))),"")</f>
        <v>Stabiel</v>
      </c>
    </row>
    <row r="28" ht="22.5" customHeight="1">
      <c r="A28" s="331" t="str">
        <f>Rooster!A29</f>
        <v>Donderdag</v>
      </c>
      <c r="B28" s="396">
        <f>Rooster!B29</f>
        <v>0.8125</v>
      </c>
      <c r="C28" s="11" t="str">
        <f>Rooster!D29</f>
        <v>Selectie Hiphop 16+</v>
      </c>
      <c r="D28" s="11" t="str">
        <f>Rooster!E29</f>
        <v>Nova</v>
      </c>
      <c r="E28" s="329">
        <f>SUM(Augustus!E28+September!E28+Oktober!E27+November!E28+December!E28+Januari!E28+Februari!E28+Maart!E28+April!E28+Mei!E28+Juni!E28+Juli!E28)</f>
        <v>36</v>
      </c>
      <c r="F28" s="329">
        <f>AVERAGE(Augustus!Z28+September!Z28+Oktober!Z28+November!Z28+December!Z28+Januari!Z28+Februari!Z28+Maart!Z28+April!Z28+Mei!Z28+Juni!Z28+Juli!Z28)/12</f>
        <v>14.75</v>
      </c>
      <c r="G28" s="32">
        <f>SUM(Augustus!AA28+September!AA28+Oktober!AA28+November!AA28+December!AA28+Januari!AA28+Februari!AA28+Maart!AA28+April!AA28+Mei!AA28+Juni!AA28+Juli!AA28)</f>
        <v>1490.4</v>
      </c>
      <c r="H28" s="32">
        <f>SUM(Jaarbetalingen!AF28+Augustus!AB28+September!AB28+Oktober!AB28+November!AB28+December!AB28+Januari!AB28+Februari!AB28+Maart!AB28+April!AB28+Mei!AB28+Juni!AB28+Juli!AB28)</f>
        <v>4194.916667</v>
      </c>
      <c r="I28" s="32">
        <f t="shared" si="1"/>
        <v>2704.516667</v>
      </c>
      <c r="J28" s="404" t="str">
        <f t="shared" si="2"/>
        <v>🟢 Goed bezig</v>
      </c>
      <c r="K28" s="491">
        <f>IFERROR(AVERAGE(Oktober!Z28,November!Z28,December!Z28)-AVERAGE(Augustus!Z28,September!Z28),"")</f>
        <v>0.6666666667</v>
      </c>
      <c r="L28" s="492" t="str">
        <f>IFERROR(IF(Augustus!Z28=0,"",IF((AVERAGE(Oktober!Z28,November!Z28,December!Z28)/Augustus!Z28)&lt;0.8,"Let op",IF((AVERAGE(Oktober!Z28,November!Z28,December!Z28)/Augustus!Z28)&lt;0.9,"Lichte daling","Stabiel"))),"")</f>
        <v>Stabiel</v>
      </c>
    </row>
    <row r="29" ht="22.5" customHeight="1">
      <c r="A29" s="331" t="str">
        <f>Rooster!A30</f>
        <v>Donderdag</v>
      </c>
      <c r="B29" s="396">
        <f>Rooster!B30</f>
        <v>0.8541666667</v>
      </c>
      <c r="C29" s="11" t="str">
        <f>Rooster!D30</f>
        <v>Modern 16+</v>
      </c>
      <c r="D29" s="11" t="str">
        <f>Rooster!E30</f>
        <v>Nova</v>
      </c>
      <c r="E29" s="329">
        <f>SUM(Augustus!E29+September!E29+Oktober!E28+November!E29+December!E29+Januari!E29+Februari!E29+Maart!E29+April!E29+Mei!E29+Juni!E29+Juli!E29)</f>
        <v>36</v>
      </c>
      <c r="F29" s="329">
        <f>AVERAGE(Augustus!Z29+September!Z29+Oktober!Z29+November!Z29+December!Z29+Januari!Z29+Februari!Z29+Maart!Z29+April!Z29+Mei!Z29+Juni!Z29+Juli!Z29)/12</f>
        <v>7.583333333</v>
      </c>
      <c r="G29" s="32">
        <f>SUM(Augustus!AA29+September!AA29+Oktober!AA29+November!AA29+December!AA29+Januari!AA29+Februari!AA29+Maart!AA29+April!AA29+Mei!AA29+Juni!AA29+Juli!AA29)</f>
        <v>1490.4</v>
      </c>
      <c r="H29" s="32">
        <f>SUM(Jaarbetalingen!AF29+Augustus!AB29+September!AB29+Oktober!AB29+November!AB29+December!AB29+Januari!AB29+Februari!AB29+Maart!AB29+April!AB29+Mei!AB29+Juni!AB29+Juli!AB29)</f>
        <v>2106.433333</v>
      </c>
      <c r="I29" s="32">
        <f t="shared" si="1"/>
        <v>616.0333333</v>
      </c>
      <c r="J29" s="404" t="str">
        <f t="shared" si="2"/>
        <v>🟠 Marketing nodig</v>
      </c>
      <c r="K29" s="491">
        <f>IFERROR(AVERAGE(Oktober!Z29,November!Z29,December!Z29)-AVERAGE(Augustus!Z29,September!Z29),"")</f>
        <v>0</v>
      </c>
      <c r="L29" s="492" t="str">
        <f>IFERROR(IF(Augustus!Z29=0,"",IF((AVERAGE(Oktober!Z29,November!Z29,December!Z29)/Augustus!Z29)&lt;0.8,"Let op",IF((AVERAGE(Oktober!Z29,November!Z29,December!Z29)/Augustus!Z29)&lt;0.9,"Lichte daling","Stabiel"))),"")</f>
        <v>Stabiel</v>
      </c>
    </row>
    <row r="30" ht="22.5" customHeight="1">
      <c r="A30" s="331" t="str">
        <f>Rooster!A31</f>
        <v>Vrijdag</v>
      </c>
      <c r="B30" s="396">
        <f>Rooster!B31</f>
        <v>0.625</v>
      </c>
      <c r="C30" s="11" t="str">
        <f>Rooster!D31</f>
        <v>Selectie Hiphop 8+</v>
      </c>
      <c r="D30" s="11" t="str">
        <f>Rooster!E31</f>
        <v>Eigenaar</v>
      </c>
      <c r="E30" s="329">
        <f>SUM(Augustus!E30+September!E30+Oktober!E29+November!E30+December!E30+Januari!E30+Februari!E30+Maart!E30+April!E30+Mei!E30+Juni!E30+Juli!E30)</f>
        <v>35</v>
      </c>
      <c r="F30" s="329">
        <f>AVERAGE(Augustus!Z30+September!Z30+Oktober!Z30+November!Z30+December!Z30+Januari!Z30+Februari!Z30+Maart!Z30+April!Z30+Mei!Z30+Juni!Z30+Juli!Z30)/12</f>
        <v>13</v>
      </c>
      <c r="G30" s="32">
        <f>SUM(Augustus!AA30+September!AA30+Oktober!AA30+November!AA30+December!AA30+Januari!AA30+Februari!AA30+Maart!AA30+April!AA30+Mei!AA30+Juni!AA30+Juli!AA30)</f>
        <v>661.5</v>
      </c>
      <c r="H30" s="32">
        <f>SUM(Jaarbetalingen!AF30+Augustus!AB30+September!AB30+Oktober!AB30+November!AB30+December!AB30+Januari!AB30+Februari!AB30+Maart!AB30+April!AB30+Mei!AB30+Juni!AB30+Juli!AB30)</f>
        <v>4140.833333</v>
      </c>
      <c r="I30" s="32">
        <f t="shared" si="1"/>
        <v>3479.333333</v>
      </c>
      <c r="J30" s="404" t="str">
        <f t="shared" si="2"/>
        <v>🟢 Goed bezig</v>
      </c>
      <c r="K30" s="491">
        <f>IFERROR(AVERAGE(Oktober!Z30,November!Z30,December!Z30)-AVERAGE(Augustus!Z30,September!Z30),"")</f>
        <v>0</v>
      </c>
      <c r="L30" s="492" t="str">
        <f>IFERROR(IF(Augustus!Z30=0,"",IF((AVERAGE(Oktober!Z30,November!Z30,December!Z30)/Augustus!Z30)&lt;0.8,"Let op",IF((AVERAGE(Oktober!Z30,November!Z30,December!Z30)/Augustus!Z30)&lt;0.9,"Lichte daling","Stabiel"))),"")</f>
        <v>Stabiel</v>
      </c>
    </row>
    <row r="31" ht="22.5" customHeight="1">
      <c r="A31" s="331" t="str">
        <f>Rooster!A32</f>
        <v>Vrijdag</v>
      </c>
      <c r="B31" s="396">
        <f>Rooster!B32</f>
        <v>0.6666666667</v>
      </c>
      <c r="C31" s="11" t="str">
        <f>Rooster!D32</f>
        <v>Cheer 8+</v>
      </c>
      <c r="D31" s="11" t="str">
        <f>Rooster!E32</f>
        <v>Eigenaar</v>
      </c>
      <c r="E31" s="329">
        <f>SUM(Augustus!E31+September!E31+Oktober!E30+November!E31+December!E31+Januari!E31+Februari!E31+Maart!E31+April!E31+Mei!E31+Juni!E31+Juli!E31)</f>
        <v>35</v>
      </c>
      <c r="F31" s="329">
        <f>AVERAGE(Augustus!Z31+September!Z31+Oktober!Z31+November!Z31+December!Z31+Januari!Z31+Februari!Z31+Maart!Z31+April!Z31+Mei!Z31+Juni!Z31+Juli!Z31)/12</f>
        <v>19.75</v>
      </c>
      <c r="G31" s="32">
        <f>SUM(Augustus!AA31+September!AA31+Oktober!AA31+November!AA31+December!AA31+Januari!AA31+Februari!AA31+Maart!AA31+April!AA31+Mei!AA31+Juni!AA31+Juli!AA31)</f>
        <v>661.5</v>
      </c>
      <c r="H31" s="32">
        <f>SUM(Jaarbetalingen!AF31+Augustus!AB31+September!AB31+Oktober!AB31+November!AB31+December!AB31+Januari!AB31+Februari!AB31+Maart!AB31+April!AB31+Mei!AB31+Juni!AB31+Juli!AB31)</f>
        <v>7445</v>
      </c>
      <c r="I31" s="32">
        <f t="shared" si="1"/>
        <v>6783.5</v>
      </c>
      <c r="J31" s="404" t="str">
        <f t="shared" si="2"/>
        <v>🟢 Goed bezig</v>
      </c>
      <c r="K31" s="491">
        <f>IFERROR(AVERAGE(Oktober!Z31,November!Z31,December!Z31)-AVERAGE(Augustus!Z31,September!Z31),"")</f>
        <v>0.3333333333</v>
      </c>
      <c r="L31" s="492" t="str">
        <f>IFERROR(IF(Augustus!Z31=0,"",IF((AVERAGE(Oktober!Z31,November!Z31,December!Z31)/Augustus!Z31)&lt;0.8,"Let op",IF((AVERAGE(Oktober!Z31,November!Z31,December!Z31)/Augustus!Z31)&lt;0.9,"Lichte daling","Stabiel"))),"")</f>
        <v>Stabiel</v>
      </c>
    </row>
    <row r="32" ht="22.5" customHeight="1">
      <c r="A32" s="331" t="str">
        <f>Rooster!A33</f>
        <v>Vrijdag</v>
      </c>
      <c r="B32" s="396">
        <f>Rooster!B33</f>
        <v>0.7083333333</v>
      </c>
      <c r="C32" s="11" t="str">
        <f>Rooster!D33</f>
        <v>Cheer 12+</v>
      </c>
      <c r="D32" s="11" t="str">
        <f>Rooster!E33</f>
        <v>Eigenaar</v>
      </c>
      <c r="E32" s="329">
        <f>SUM(Augustus!E32+September!E32+Oktober!E31+November!E32+December!E32+Januari!E32+Februari!E32+Maart!E32+April!E32+Mei!E32+Juni!E32+Juli!E32)</f>
        <v>35</v>
      </c>
      <c r="F32" s="329">
        <f>AVERAGE(Augustus!Z32+September!Z32+Oktober!Z32+November!Z32+December!Z32+Januari!Z32+Februari!Z32+Maart!Z32+April!Z32+Mei!Z32+Juni!Z32+Juli!Z32)/12</f>
        <v>12.83333333</v>
      </c>
      <c r="G32" s="32">
        <f>SUM(Augustus!AA32+September!AA32+Oktober!AA32+November!AA32+December!AA32+Januari!AA32+Februari!AA32+Maart!AA32+April!AA32+Mei!AA32+Juni!AA32+Juli!AA32)</f>
        <v>642.7</v>
      </c>
      <c r="H32" s="32">
        <f>SUM(Jaarbetalingen!AF32+Augustus!AB32+September!AB32+Oktober!AB32+November!AB32+December!AB32+Januari!AB32+Februari!AB32+Maart!AB32+April!AB32+Mei!AB32+Juni!AB32+Juli!AB32)</f>
        <v>3976.05</v>
      </c>
      <c r="I32" s="32">
        <f t="shared" si="1"/>
        <v>3333.35</v>
      </c>
      <c r="J32" s="404" t="str">
        <f t="shared" si="2"/>
        <v>🟢 Goed bezig</v>
      </c>
      <c r="K32" s="491">
        <f>IFERROR(AVERAGE(Oktober!Z32,November!Z32,December!Z32)-AVERAGE(Augustus!Z32,September!Z32),"")</f>
        <v>3</v>
      </c>
      <c r="L32" s="492" t="str">
        <f>IFERROR(IF(Augustus!Z32=0,"",IF((AVERAGE(Oktober!Z32,November!Z32,December!Z32)/Augustus!Z32)&lt;0.8,"Let op",IF((AVERAGE(Oktober!Z32,November!Z32,December!Z32)/Augustus!Z32)&lt;0.9,"Lichte daling","Stabiel"))),"")</f>
        <v>Stabiel</v>
      </c>
    </row>
    <row r="33" ht="22.5" customHeight="1">
      <c r="A33" s="331" t="str">
        <f>Rooster!A34</f>
        <v>Vrijdag</v>
      </c>
      <c r="B33" s="396">
        <f>Rooster!B34</f>
        <v>0.75</v>
      </c>
      <c r="C33" s="11" t="str">
        <f>Rooster!D34</f>
        <v>Urban-pop-Show 11+</v>
      </c>
      <c r="D33" s="11" t="str">
        <f>Rooster!E34</f>
        <v>Eigenaar</v>
      </c>
      <c r="E33" s="329">
        <f>SUM(Augustus!E33+September!E33+Oktober!E32+November!E33+December!E33+Januari!E33+Februari!E33+Maart!E33+April!E33+Mei!E33+Juni!E33+Juli!E33)</f>
        <v>35</v>
      </c>
      <c r="F33" s="329">
        <f>AVERAGE(Augustus!Z33+September!Z33+Oktober!Z33+November!Z33+December!Z33+Januari!Z33+Februari!Z33+Maart!Z33+April!Z33+Mei!Z33+Juni!Z33+Juli!Z33)/12</f>
        <v>11.66666667</v>
      </c>
      <c r="G33" s="32">
        <f>SUM(Augustus!AA33+September!AA33+Oktober!AA33+November!AA33+December!AA33+Januari!AA33+Februari!AA33+Maart!AA33+April!AA33+Mei!AA33+Juni!AA33+Juli!AA33)</f>
        <v>547</v>
      </c>
      <c r="H33" s="32">
        <f>SUM(Jaarbetalingen!AF33+Augustus!AB33+September!AB33+Oktober!AB33+November!AB33+December!AB33+Januari!AB33+Februari!AB33+Maart!AB33+April!AB33+Mei!AB33+Juni!AB33+Juli!AB33)</f>
        <v>3202.166667</v>
      </c>
      <c r="I33" s="32">
        <f t="shared" si="1"/>
        <v>2655.166667</v>
      </c>
      <c r="J33" s="404" t="str">
        <f t="shared" si="2"/>
        <v>🟢 Goed bezig</v>
      </c>
      <c r="K33" s="491">
        <f>IFERROR(AVERAGE(Oktober!Z33,November!Z33,December!Z33)-AVERAGE(Augustus!Z33,September!Z33),"")</f>
        <v>0</v>
      </c>
      <c r="L33" s="492" t="str">
        <f>IFERROR(IF(Augustus!Z33=0,"",IF((AVERAGE(Oktober!Z33,November!Z33,December!Z33)/Augustus!Z33)&lt;0.8,"Let op",IF((AVERAGE(Oktober!Z33,November!Z33,December!Z33)/Augustus!Z33)&lt;0.9,"Lichte daling","Stabiel"))),"")</f>
        <v>Stabiel</v>
      </c>
    </row>
    <row r="34" ht="22.5" customHeight="1">
      <c r="A34" s="331" t="str">
        <f>Rooster!A35</f>
        <v>Zaterdag</v>
      </c>
      <c r="B34" s="396">
        <f>Rooster!B35</f>
        <v>0.375</v>
      </c>
      <c r="C34" s="11" t="str">
        <f>Rooster!D35</f>
        <v>Peuters</v>
      </c>
      <c r="D34" s="11" t="str">
        <f>Rooster!E35</f>
        <v>Frederique</v>
      </c>
      <c r="E34" s="329">
        <f>SUM(Augustus!E34+September!E34+Oktober!E33+November!E34+December!E34+Januari!E34+Februari!E34+Maart!E34+April!E34+Mei!E34+Juni!E34+Juli!E34)</f>
        <v>35</v>
      </c>
      <c r="F34" s="329">
        <f>AVERAGE(Augustus!Z34+September!Z34+Oktober!Z34+November!Z34+December!Z34+Januari!Z34+Februari!Z34+Maart!Z34+April!Z34+Mei!Z34+Juni!Z34+Juli!Z34)/12</f>
        <v>13.58333333</v>
      </c>
      <c r="G34" s="32">
        <f>SUM(Augustus!AA34+September!AA34+Oktober!AA34+November!AA34+December!AA34+Januari!AA34+Februari!AA34+Maart!AA34+April!AA34+Mei!AA34+Juni!AA34+Juli!AA34)</f>
        <v>934.5</v>
      </c>
      <c r="H34" s="32">
        <f>SUM(Jaarbetalingen!AF34+Augustus!AB34+September!AB34+Oktober!AB34+November!AB34+December!AB34+Januari!AB34+Februari!AB34+Maart!AB34+April!AB34+Mei!AB34+Juni!AB34+Juli!AB34)</f>
        <v>3968</v>
      </c>
      <c r="I34" s="32">
        <f t="shared" si="1"/>
        <v>3033.5</v>
      </c>
      <c r="J34" s="404" t="str">
        <f t="shared" si="2"/>
        <v>🟢 Goed bezig</v>
      </c>
      <c r="K34" s="491">
        <f>IFERROR(AVERAGE(Oktober!Z34,November!Z34,December!Z34)-AVERAGE(Augustus!Z34,September!Z34),"")</f>
        <v>0.6666666667</v>
      </c>
      <c r="L34" s="492" t="str">
        <f>IFERROR(IF(Augustus!Z34=0,"",IF((AVERAGE(Oktober!Z34,November!Z34,December!Z34)/Augustus!Z34)&lt;0.8,"Let op",IF((AVERAGE(Oktober!Z34,November!Z34,December!Z34)/Augustus!Z34)&lt;0.9,"Lichte daling","Stabiel"))),"")</f>
        <v>Stabiel</v>
      </c>
    </row>
    <row r="35" ht="22.5" customHeight="1">
      <c r="A35" s="331" t="str">
        <f>Rooster!A36</f>
        <v>Zaterdag</v>
      </c>
      <c r="B35" s="396">
        <f>Rooster!B36</f>
        <v>0.40625</v>
      </c>
      <c r="C35" s="11" t="str">
        <f>Rooster!D36</f>
        <v>Kleuters</v>
      </c>
      <c r="D35" s="11" t="str">
        <f>Rooster!E36</f>
        <v>Frederique</v>
      </c>
      <c r="E35" s="329">
        <f>SUM(Augustus!E35+September!E35+Oktober!E34+November!E35+December!E35+Januari!E35+Februari!E35+Maart!E35+April!E35+Mei!E35+Juni!E35+Juli!E35)</f>
        <v>35</v>
      </c>
      <c r="F35" s="329">
        <f>AVERAGE(Augustus!Z35+September!Z35+Oktober!Z35+November!Z35+December!Z35+Januari!Z35+Februari!Z35+Maart!Z35+April!Z35+Mei!Z35+Juni!Z35+Juli!Z35)/12</f>
        <v>15.66666667</v>
      </c>
      <c r="G35" s="32">
        <f>SUM(Augustus!AA35+September!AA35+Oktober!AA35+November!AA35+December!AA35+Januari!AA35+Februari!AA35+Maart!AA35+April!AA35+Mei!AA35+Juni!AA35+Juli!AA35)</f>
        <v>934.5</v>
      </c>
      <c r="H35" s="32">
        <f>SUM(Jaarbetalingen!AF35+Augustus!AB35+September!AB35+Oktober!AB35+November!AB35+December!AB35+Januari!AB35+Februari!AB35+Maart!AB35+April!AB35+Mei!AB35+Juni!AB35+Juli!AB35)</f>
        <v>4712</v>
      </c>
      <c r="I35" s="32">
        <f t="shared" si="1"/>
        <v>3777.5</v>
      </c>
      <c r="J35" s="404" t="str">
        <f t="shared" si="2"/>
        <v>🟢 Goed bezig</v>
      </c>
      <c r="K35" s="491">
        <f>IFERROR(AVERAGE(Oktober!Z35,November!Z35,December!Z35)-AVERAGE(Augustus!Z35,September!Z35),"")</f>
        <v>0.3333333333</v>
      </c>
      <c r="L35" s="492" t="str">
        <f>IFERROR(IF(Augustus!Z35=0,"",IF((AVERAGE(Oktober!Z35,November!Z35,December!Z35)/Augustus!Z35)&lt;0.8,"Let op",IF((AVERAGE(Oktober!Z35,November!Z35,December!Z35)/Augustus!Z35)&lt;0.9,"Lichte daling","Stabiel"))),"")</f>
        <v>Stabiel</v>
      </c>
    </row>
    <row r="36" ht="22.5" customHeight="1">
      <c r="A36" s="331" t="str">
        <f>Rooster!A37</f>
        <v>Zaterdag</v>
      </c>
      <c r="B36" s="396">
        <f>Rooster!B37</f>
        <v>0.4375</v>
      </c>
      <c r="C36" s="11" t="str">
        <f>Rooster!D37</f>
        <v>Showdance 5-6</v>
      </c>
      <c r="D36" s="11" t="str">
        <f>Rooster!E37</f>
        <v>Frederique</v>
      </c>
      <c r="E36" s="329">
        <f>SUM(Augustus!E36+September!E36+Oktober!E35+November!E36+December!E36+Januari!E36+Februari!E36+Maart!E36+April!E36+Mei!E36+Juni!E36+Juli!E36)</f>
        <v>35</v>
      </c>
      <c r="F36" s="329">
        <f>AVERAGE(Augustus!Z36+September!Z36+Oktober!Z36+November!Z36+December!Z36+Januari!Z36+Februari!Z36+Maart!Z36+April!Z36+Mei!Z36+Juni!Z36+Juli!Z36)/12</f>
        <v>11.25</v>
      </c>
      <c r="G36" s="32">
        <f>SUM(Augustus!AA36+September!AA36+Oktober!AA36+November!AA36+December!AA36+Januari!AA36+Februari!AA36+Maart!AA36+April!AA36+Mei!AA36+Juni!AA36+Juli!AA36)</f>
        <v>934.5</v>
      </c>
      <c r="H36" s="32">
        <f>SUM(Jaarbetalingen!AF36+Augustus!AB36+September!AB36+Oktober!AB36+November!AB36+December!AB36+Januari!AB36+Februari!AB36+Maart!AB36+April!AB36+Mei!AB36+Juni!AB36+Juli!AB36)</f>
        <v>3090.1</v>
      </c>
      <c r="I36" s="32">
        <f t="shared" si="1"/>
        <v>2155.6</v>
      </c>
      <c r="J36" s="404" t="str">
        <f t="shared" si="2"/>
        <v>🟢 Goed bezig</v>
      </c>
      <c r="K36" s="491">
        <f>IFERROR(AVERAGE(Oktober!Z36,November!Z36,December!Z36)-AVERAGE(Augustus!Z36,September!Z36),"")</f>
        <v>-1.666666667</v>
      </c>
      <c r="L36" s="492" t="str">
        <f>IFERROR(IF(Augustus!Z36=0,"",IF((AVERAGE(Oktober!Z36,November!Z36,December!Z36)/Augustus!Z36)&lt;0.8,"Let op",IF((AVERAGE(Oktober!Z36,November!Z36,December!Z36)/Augustus!Z36)&lt;0.9,"Lichte daling","Stabiel"))),"")</f>
        <v>Lichte daling</v>
      </c>
    </row>
    <row r="37" ht="22.5" customHeight="1">
      <c r="A37" s="331" t="str">
        <f>Rooster!A38</f>
        <v>Zaterdag</v>
      </c>
      <c r="B37" s="396">
        <f>Rooster!B38</f>
        <v>0.4791666667</v>
      </c>
      <c r="C37" s="11" t="str">
        <f>Rooster!D38</f>
        <v>Showdance 7+</v>
      </c>
      <c r="D37" s="11" t="str">
        <f>Rooster!E38</f>
        <v>Frederique</v>
      </c>
      <c r="E37" s="329">
        <f>SUM(Augustus!E37+September!E37+Oktober!E36+November!E37+December!E37+Januari!E37+Februari!E37+Maart!E37+April!E37+Mei!E37+Juni!E37+Juli!E37)</f>
        <v>35</v>
      </c>
      <c r="F37" s="329">
        <f>AVERAGE(Augustus!Z37+September!Z37+Oktober!Z37+November!Z37+December!Z37+Januari!Z37+Februari!Z37+Maart!Z37+April!Z37+Mei!Z37+Juni!Z37+Juli!Z37)/12</f>
        <v>10.16666667</v>
      </c>
      <c r="G37" s="32">
        <f>SUM(Augustus!AA37+September!AA37+Oktober!AA37+November!AA37+December!AA37+Januari!AA37+Februari!AA37+Maart!AA37+April!AA37+Mei!AA37+Juni!AA37+Juli!AA37)</f>
        <v>934.5</v>
      </c>
      <c r="H37" s="32">
        <f>SUM(Jaarbetalingen!AF37+Augustus!AB37+September!AB37+Oktober!AB37+November!AB37+December!AB37+Januari!AB37+Februari!AB37+Maart!AB37+April!AB37+Mei!AB37+Juni!AB37+Juli!AB37)</f>
        <v>3077.95</v>
      </c>
      <c r="I37" s="32">
        <f t="shared" si="1"/>
        <v>2143.45</v>
      </c>
      <c r="J37" s="404" t="str">
        <f t="shared" si="2"/>
        <v>🟢 Goed bezig</v>
      </c>
      <c r="K37" s="491">
        <f>IFERROR(AVERAGE(Oktober!Z37,November!Z37,December!Z37)-AVERAGE(Augustus!Z37,September!Z37),"")</f>
        <v>3.333333333</v>
      </c>
      <c r="L37" s="492" t="str">
        <f>IFERROR(IF(Augustus!Z37=0,"",IF((AVERAGE(Oktober!Z37,November!Z37,December!Z37)/Augustus!Z37)&lt;0.8,"Let op",IF((AVERAGE(Oktober!Z37,November!Z37,December!Z37)/Augustus!Z37)&lt;0.9,"Lichte daling","Stabiel"))),"")</f>
        <v>Stabiel</v>
      </c>
    </row>
    <row r="38" ht="22.5" customHeight="1">
      <c r="A38" s="331" t="str">
        <f>Rooster!A39</f>
        <v>Zaterdag</v>
      </c>
      <c r="B38" s="396">
        <f>Rooster!B39</f>
        <v>0.4166666667</v>
      </c>
      <c r="C38" s="11" t="str">
        <f>Rooster!D39</f>
        <v>Peuters</v>
      </c>
      <c r="D38" s="11" t="str">
        <f>Rooster!E39</f>
        <v>Tess</v>
      </c>
      <c r="E38" s="329">
        <f>SUM(Augustus!E38+September!E38+Oktober!E38+November!E38+December!E38+Januari!E38+Februari!E38+Maart!E38+April!E38+Mei!E38+Juni!E38+Juli!E38)</f>
        <v>19</v>
      </c>
      <c r="F38" s="329">
        <f>AVERAGE(Augustus!Z38+September!Z38+Oktober!Z38+November!Z38+December!Z38+Januari!Z38+Februari!Z38+Maart!Z38+April!Z38+Mei!Z38+Juni!Z38+Juli!Z38)/12</f>
        <v>0.75</v>
      </c>
      <c r="G38" s="32">
        <f>SUM(Augustus!AA38+September!AA38+Oktober!AA38+November!AA38+December!AA38+Januari!AA38+Februari!AA38+Maart!AA38+April!AA38+Mei!AA38+Juni!AA38+Juli!AA38)</f>
        <v>691.6</v>
      </c>
      <c r="H38" s="32">
        <f>SUM(Jaarbetalingen!AF38+Augustus!AB38+September!AB38+Oktober!AB38+November!AB38+December!AB38+Januari!AB38+Februari!AB38+Maart!AB38+April!AB38+Mei!AB38+Juni!AB38+Juli!AB38)</f>
        <v>180</v>
      </c>
      <c r="I38" s="32">
        <f t="shared" si="1"/>
        <v>-511.6</v>
      </c>
      <c r="J38" s="404" t="str">
        <f t="shared" si="2"/>
        <v>🔴 Directe actie</v>
      </c>
      <c r="K38" s="491">
        <f>IFERROR(AVERAGE(Oktober!Z38,November!Z38,December!Z38)-AVERAGE(Augustus!Z38,September!Z38),"")</f>
        <v>3</v>
      </c>
      <c r="L38" s="492" t="str">
        <f>IFERROR(IF(Augustus!Z38=0,"",IF((AVERAGE(Oktober!Z38,November!Z38,December!Z38)/Augustus!Z38)&lt;0.8,"Let op",IF((AVERAGE(Oktober!Z38,November!Z38,December!Z38)/Augustus!Z38)&lt;0.9,"Lichte daling","Stabiel"))),"")</f>
        <v/>
      </c>
    </row>
    <row r="39" ht="22.5" customHeight="1">
      <c r="A39" s="331" t="str">
        <f>Rooster!A40</f>
        <v>Zaterdag</v>
      </c>
      <c r="B39" s="396">
        <f>Rooster!B40</f>
        <v>0.4479166667</v>
      </c>
      <c r="C39" s="11" t="str">
        <f>Rooster!D40</f>
        <v>Kleuters</v>
      </c>
      <c r="D39" s="11" t="str">
        <f>Rooster!E40</f>
        <v>Tess</v>
      </c>
      <c r="E39" s="329">
        <f>SUM(Augustus!E39+September!E39+Oktober!E38+November!E38+December!E39+Januari!E39+Februari!E39+Maart!E39+April!E39+Mei!E39+Juni!E39+Juli!E39)</f>
        <v>22</v>
      </c>
      <c r="F39" s="329">
        <f>AVERAGE(Augustus!Z39+September!Z39+Oktober!Z39+November!Z39+December!Z39+Januari!Z39+Februari!Z39+Maart!Z39+April!Z39+Mei!Z39+Juni!Z39+Juli!Z39)/12</f>
        <v>7.583333333</v>
      </c>
      <c r="G39" s="32">
        <f>SUM(Augustus!AA39+September!AA39+Oktober!AA39+November!AA39+December!AA39+Januari!AA39+Februari!AA39+Maart!AA39+April!AA39+Mei!AA39+Juni!AA39+Juli!AA39)</f>
        <v>800.8</v>
      </c>
      <c r="H39" s="32">
        <f>SUM(Jaarbetalingen!AF39+Augustus!AB39+September!AB39+Oktober!AB39+November!AB39+December!AB39+Januari!AB39+Februari!AB39+Maart!AB39+April!AB39+Mei!AB39+Juni!AB39+Juli!AB39)</f>
        <v>3446</v>
      </c>
      <c r="I39" s="32">
        <f t="shared" si="1"/>
        <v>2645.2</v>
      </c>
      <c r="J39" s="404" t="str">
        <f t="shared" si="2"/>
        <v>🟢 Goed bezig</v>
      </c>
      <c r="K39" s="491">
        <f>IFERROR(AVERAGE(Oktober!Z39,November!Z39,December!Z39)-AVERAGE(Augustus!Z39,September!Z39),"")</f>
        <v>2.666666667</v>
      </c>
      <c r="L39" s="492" t="str">
        <f>IFERROR(IF(Augustus!Z39=0,"",IF((AVERAGE(Oktober!Z39,November!Z39,December!Z39)/Augustus!Z39)&lt;0.8,"Let op",IF((AVERAGE(Oktober!Z39,November!Z39,December!Z39)/Augustus!Z39)&lt;0.9,"Lichte daling","Stabiel"))),"")</f>
        <v/>
      </c>
    </row>
    <row r="40" ht="22.5" customHeight="1">
      <c r="A40" s="331" t="str">
        <f>Rooster!A41</f>
        <v/>
      </c>
      <c r="B40" s="396" t="str">
        <f>Rooster!B41</f>
        <v/>
      </c>
      <c r="C40" s="11" t="str">
        <f>Rooster!D41</f>
        <v/>
      </c>
      <c r="D40" s="11" t="str">
        <f>Rooster!E41</f>
        <v/>
      </c>
      <c r="E40" s="329">
        <f>SUM(Augustus!E40+September!E40+Oktober!E39+November!E39+December!E40+Januari!E40+Februari!E40+Maart!E40+April!E40+Mei!E40+Juni!E40+Juli!E40)</f>
        <v>3</v>
      </c>
      <c r="F40" s="329">
        <f>AVERAGE(Augustus!Z40+September!Z40+Oktober!Z40+November!Z40+December!Z40+Januari!Z40+Februari!Z40+Maart!Z40+April!Z40+Mei!Z40+Juni!Z40+Juli!Z40)/12</f>
        <v>0</v>
      </c>
      <c r="G40" s="32">
        <f>SUM(Augustus!AA40+September!AA40+Oktober!AA40+November!AA40+December!AA40+Januari!AA40+Februari!AA40+Maart!AA40+April!AA40+Mei!AA40+Juni!AA40+Juli!AA40)</f>
        <v>0</v>
      </c>
      <c r="H40" s="32">
        <f>SUM(Jaarbetalingen!AF40+Augustus!AB40+September!AB40+Oktober!AB40+November!AB40+December!AB40+Januari!AB40+Februari!AB40+Maart!AB40+April!AB40+Mei!AB40+Juni!AB40+Juli!AB40)</f>
        <v>0</v>
      </c>
      <c r="I40" s="32">
        <f t="shared" si="1"/>
        <v>0</v>
      </c>
      <c r="J40" s="404" t="str">
        <f t="shared" si="2"/>
        <v/>
      </c>
      <c r="K40" s="491">
        <f>IFERROR(AVERAGE(Oktober!Z40,November!Z40,December!Z40)-AVERAGE(Augustus!Z40,September!Z40),"")</f>
        <v>0</v>
      </c>
      <c r="L40" s="492" t="str">
        <f>IFERROR(IF(Augustus!Z40=0,"",IF((AVERAGE(Oktober!Z40,November!Z40,December!Z40)/Augustus!Z40)&lt;0.8,"Let op",IF((AVERAGE(Oktober!Z40,November!Z40,December!Z40)/Augustus!Z40)&lt;0.9,"Lichte daling","Stabiel"))),"")</f>
        <v/>
      </c>
    </row>
    <row r="41" ht="22.5" customHeight="1">
      <c r="A41" s="331" t="str">
        <f>Rooster!A42</f>
        <v/>
      </c>
      <c r="B41" s="396" t="str">
        <f>Rooster!B42</f>
        <v/>
      </c>
      <c r="C41" s="11" t="str">
        <f>Rooster!D42</f>
        <v/>
      </c>
      <c r="D41" s="11" t="str">
        <f>Rooster!E42</f>
        <v/>
      </c>
      <c r="E41" s="329">
        <f>SUM(Augustus!E41+September!E41+Oktober!E40+November!E40+December!E41+Januari!E41+Februari!E41+Maart!E41+April!E41+Mei!E41+Juni!E41+Juli!E41)</f>
        <v>0</v>
      </c>
      <c r="F41" s="329">
        <f>AVERAGE(Augustus!Z41+September!Z41+Oktober!Z41+November!Z41+December!Z41+Januari!Z41+Februari!Z41+Maart!Z41+April!Z41+Mei!Z41+Juni!Z41+Juli!Z41)/12</f>
        <v>0.08333333333</v>
      </c>
      <c r="G41" s="32">
        <f>SUM(Augustus!AA41+September!AA41+Oktober!AA41+November!AA41+December!AA41+Januari!AA41+Februari!AA41+Maart!AA41+April!AA41+Mei!AA41+Juni!AA41+Juli!AA41)</f>
        <v>180</v>
      </c>
      <c r="H41" s="32">
        <f>SUM(Jaarbetalingen!AF41+Augustus!AB41+September!AB41+Oktober!AB41+November!AB41+December!AB41+Januari!AB41+Februari!AB41+Maart!AB41+April!AB41+Mei!AB41+Juni!AB41+Juli!AB41)</f>
        <v>320</v>
      </c>
      <c r="I41" s="32">
        <f t="shared" si="1"/>
        <v>140</v>
      </c>
      <c r="J41" s="404" t="str">
        <f t="shared" si="2"/>
        <v>🟠 Marketing nodig</v>
      </c>
      <c r="K41" s="491">
        <f>IFERROR(AVERAGE(Oktober!Z41,November!Z41,December!Z41)-AVERAGE(Augustus!Z41,September!Z41),"")</f>
        <v>0.3333333333</v>
      </c>
      <c r="L41" s="492" t="str">
        <f>IFERROR(IF(Augustus!Z41=0,"",IF((AVERAGE(Oktober!Z41,November!Z41,December!Z41)/Augustus!Z41)&lt;0.8,"Let op",IF((AVERAGE(Oktober!Z41,November!Z41,December!Z41)/Augustus!Z41)&lt;0.9,"Lichte daling","Stabiel"))),"")</f>
        <v/>
      </c>
    </row>
    <row r="42" ht="22.5" customHeight="1">
      <c r="A42" s="331" t="str">
        <f>Rooster!A43</f>
        <v>Maandag</v>
      </c>
      <c r="B42" s="396">
        <f>Rooster!B43</f>
        <v>0.3958333333</v>
      </c>
      <c r="C42" s="11" t="str">
        <f>Rooster!D43</f>
        <v>Kinderopvang</v>
      </c>
      <c r="D42" s="11" t="str">
        <f>Rooster!E43</f>
        <v>Opvang T</v>
      </c>
      <c r="E42" s="329">
        <f>SUM(Augustus!E42+September!E42+Oktober!E41+November!E41+December!E42+Januari!E42+Februari!E42+Maart!E42+April!E42+Mei!E42+Juni!E42+Juli!E42)</f>
        <v>37</v>
      </c>
      <c r="F42" s="329">
        <f>AVERAGE(Augustus!Z42+September!Z42+Oktober!Z42+November!Z42+December!Z42+Januari!Z42+Februari!Z42+Maart!Z42+April!Z42+Mei!Z42+Juni!Z42+Juli!Z42)/12</f>
        <v>1.166666667</v>
      </c>
      <c r="G42" s="32">
        <f>SUM(Augustus!AA42+September!AA42+Oktober!AA42+November!AA42+December!AA42+Januari!AA42+Februari!AA42+Maart!AA42+April!AA42+Mei!AA42+Juni!AA42+Juli!AA42)</f>
        <v>1575</v>
      </c>
      <c r="H42" s="32">
        <f>SUM(Jaarbetalingen!AF42+Augustus!AB42+September!AB42+Oktober!AB42+November!AB42+December!AB42+Januari!AB42+Februari!AB42+Maart!AB42+April!AB42+Mei!AB42+Juni!AB42+Juli!AB42)</f>
        <v>4880</v>
      </c>
      <c r="I42" s="32">
        <f t="shared" si="1"/>
        <v>3305</v>
      </c>
      <c r="J42" s="404" t="str">
        <f t="shared" si="2"/>
        <v>🟢 Goed bezig</v>
      </c>
      <c r="K42" s="491">
        <f>IFERROR(AVERAGE(Oktober!Z42,November!Z42,December!Z42)-AVERAGE(Augustus!Z42,September!Z42),"")</f>
        <v>-1.833333333</v>
      </c>
      <c r="L42" s="492" t="str">
        <f>IFERROR(IF(Augustus!Z42=0,"",IF((AVERAGE(Oktober!Z42,November!Z42,December!Z42)/Augustus!Z42)&lt;0.8,"Let op",IF((AVERAGE(Oktober!Z42,November!Z42,December!Z42)/Augustus!Z42)&lt;0.9,"Lichte daling","Stabiel"))),"")</f>
        <v>Let op</v>
      </c>
    </row>
    <row r="43" ht="22.5" customHeight="1">
      <c r="A43" s="331" t="str">
        <f>Rooster!A44</f>
        <v>Vrijdag</v>
      </c>
      <c r="B43" s="396">
        <f>Rooster!B44</f>
        <v>0.7916666667</v>
      </c>
      <c r="C43" s="11" t="str">
        <f>Rooster!D44</f>
        <v>Prive training</v>
      </c>
      <c r="D43" s="11" t="str">
        <f>Rooster!E44</f>
        <v>Eigenaar</v>
      </c>
      <c r="E43" s="329">
        <f>SUM(Augustus!E43+September!E43+Oktober!E42+November!E42+December!E43+Januari!E43+Februari!E43+Maart!E43+April!E43+Mei!E43+Juni!E43+Juli!E43)</f>
        <v>2</v>
      </c>
      <c r="F43" s="329">
        <f>AVERAGE(Augustus!Z43+September!Z43+Oktober!Z43+November!Z43+December!Z43+Januari!Z43+Februari!Z43+Maart!Z43+April!Z43+Mei!Z43+Juni!Z43+Juli!Z43)/12</f>
        <v>0</v>
      </c>
      <c r="G43" s="32">
        <f>SUM(Augustus!AA43+September!AA43+Oktober!AA43+November!AA43+December!AA43+Januari!AA43+Februari!AA43+Maart!AA43+April!AA43+Mei!AA43+Juni!AA43+Juli!AA43)</f>
        <v>0</v>
      </c>
      <c r="H43" s="32">
        <f>SUM(Jaarbetalingen!AF43+Augustus!AB43+September!AB43+Oktober!AB43+November!AB43+December!AB43+Januari!AB43+Februari!AB43+Maart!AB43+April!AB43+Mei!AB43+Juni!AB43+Juli!AB43)</f>
        <v>0</v>
      </c>
      <c r="I43" s="32">
        <f t="shared" si="1"/>
        <v>0</v>
      </c>
      <c r="J43" s="404" t="str">
        <f t="shared" si="2"/>
        <v/>
      </c>
      <c r="K43" s="491">
        <f>IFERROR(AVERAGE(Oktober!Z43,November!Z43,December!Z43)-AVERAGE(Augustus!Z43,September!Z43),"")</f>
        <v>0</v>
      </c>
      <c r="L43" s="492" t="str">
        <f>IFERROR(IF(Augustus!Z43=0,"",IF((AVERAGE(Oktober!Z43,November!Z43,December!Z43)/Augustus!Z43)&lt;0.8,"Let op",IF((AVERAGE(Oktober!Z43,November!Z43,December!Z43)/Augustus!Z43)&lt;0.9,"Lichte daling","Stabiel"))),"")</f>
        <v/>
      </c>
    </row>
    <row r="44" ht="22.5" customHeight="1">
      <c r="A44" s="331" t="str">
        <f>Rooster!A45</f>
        <v>Zaterdag</v>
      </c>
      <c r="B44" s="396">
        <f>Rooster!B45</f>
        <v>0.5625</v>
      </c>
      <c r="C44" s="11" t="str">
        <f>Rooster!D45</f>
        <v>Prive training</v>
      </c>
      <c r="D44" s="11" t="str">
        <f>Rooster!E45</f>
        <v>Eigenaar</v>
      </c>
      <c r="E44" s="329">
        <f>SUM(Augustus!E44+September!E44+Oktober!E43+November!E43+December!E44+Januari!E44+Februari!E44+Maart!E44+April!E44+Mei!E44+Juni!E44+Juli!E44)</f>
        <v>0</v>
      </c>
      <c r="F44" s="329">
        <f>AVERAGE(Augustus!Z44+September!Z44+Oktober!Z44+November!Z44+December!Z44+Januari!Z44+Februari!Z44+Maart!Z44+April!Z44+Mei!Z44+Juni!Z44+Juli!Z44)/12</f>
        <v>0</v>
      </c>
      <c r="G44" s="32">
        <f>SUM(Augustus!AA44+September!AA44+Oktober!AA44+November!AA44+December!AA44+Januari!AA44+Februari!AA44+Maart!AA44+April!AA44+Mei!AA44+Juni!AA44+Juli!AA44)</f>
        <v>0</v>
      </c>
      <c r="H44" s="32">
        <f>SUM(Jaarbetalingen!AF44+Augustus!AB44+September!AB44+Oktober!AB44+November!AB44+December!AB44+Januari!AB44+Februari!AB44+Maart!AB44+April!AB44+Mei!AB44+Juni!AB44+Juli!AB44)</f>
        <v>0</v>
      </c>
      <c r="I44" s="32">
        <f t="shared" si="1"/>
        <v>0</v>
      </c>
      <c r="J44" s="404" t="str">
        <f t="shared" si="2"/>
        <v/>
      </c>
      <c r="K44" s="491">
        <f>IFERROR(AVERAGE(Oktober!Z44,November!Z44,December!Z44)-AVERAGE(Augustus!Z44,September!Z44),"")</f>
        <v>0</v>
      </c>
      <c r="L44" s="492" t="str">
        <f>IFERROR(IF(Augustus!Z44=0,"",IF((AVERAGE(Oktober!Z44,November!Z44,December!Z44)/Augustus!Z44)&lt;0.8,"Let op",IF((AVERAGE(Oktober!Z44,November!Z44,December!Z44)/Augustus!Z44)&lt;0.9,"Lichte daling","Stabiel"))),"")</f>
        <v/>
      </c>
    </row>
    <row r="45" ht="22.5" customHeight="1">
      <c r="A45" s="331" t="str">
        <f>Rooster!A46</f>
        <v/>
      </c>
      <c r="B45" s="396" t="str">
        <f>Rooster!B46</f>
        <v/>
      </c>
      <c r="C45" s="11" t="str">
        <f>Rooster!D46</f>
        <v/>
      </c>
      <c r="D45" s="11" t="str">
        <f>Rooster!E46</f>
        <v/>
      </c>
      <c r="E45" s="329">
        <f>SUM(Augustus!E45+September!E45+Oktober!E44+November!E44+December!E45+Januari!E45+Februari!E45+Maart!E45+April!E45+Mei!E45+Juni!E45+Juli!E45)</f>
        <v>0</v>
      </c>
      <c r="F45" s="329">
        <f>AVERAGE(Augustus!Z45+September!Z45+Oktober!Z45+November!Z45+December!Z45+Januari!Z45+Februari!Z45+Maart!Z45+April!Z45+Mei!Z45+Juni!Z45+Juli!Z45)/12</f>
        <v>0</v>
      </c>
      <c r="G45" s="32">
        <f>SUM(Augustus!AA45+September!AA45+Oktober!AA45+November!AA45+December!AA45+Januari!AA45+Februari!AA45+Maart!AA45+April!AA45+Mei!AA45+Juni!AA45+Juli!AA45)</f>
        <v>0</v>
      </c>
      <c r="H45" s="32">
        <f>SUM(Jaarbetalingen!AF45+Augustus!AB45+September!AB45+Oktober!AB45+November!AB45+December!AB45+Januari!AB45+Februari!AB45+Maart!AB45+April!AB45+Mei!AB45+Juni!AB45+Juli!AB45)</f>
        <v>0</v>
      </c>
      <c r="I45" s="32">
        <f t="shared" si="1"/>
        <v>0</v>
      </c>
      <c r="J45" s="404" t="str">
        <f t="shared" si="2"/>
        <v/>
      </c>
      <c r="K45" s="491">
        <f>IFERROR(AVERAGE(Oktober!Z45,November!Z45,December!Z45)-AVERAGE(Augustus!Z45,September!Z45),"")</f>
        <v>0</v>
      </c>
      <c r="L45" s="492" t="str">
        <f>IFERROR(IF(Augustus!Z45=0,"",IF((AVERAGE(Oktober!Z45,November!Z45,December!Z45)/Augustus!Z45)&lt;0.8,"Let op",IF((AVERAGE(Oktober!Z45,November!Z45,December!Z45)/Augustus!Z45)&lt;0.9,"Lichte daling","Stabiel"))),"")</f>
        <v/>
      </c>
    </row>
    <row r="46" ht="22.5" customHeight="1">
      <c r="A46" s="331" t="str">
        <f>Rooster!A47</f>
        <v/>
      </c>
      <c r="B46" s="396" t="str">
        <f>Rooster!B47</f>
        <v/>
      </c>
      <c r="C46" s="11" t="str">
        <f>Rooster!D47</f>
        <v/>
      </c>
      <c r="D46" s="11" t="str">
        <f>Rooster!E47</f>
        <v/>
      </c>
      <c r="E46" s="329">
        <f>SUM(Augustus!E46+September!E46+Oktober!E45+November!E45+December!E46+Januari!E46+Februari!E46+Maart!E46+April!E46+Mei!E46+Juni!E46+Juli!E46)</f>
        <v>0</v>
      </c>
      <c r="F46" s="329">
        <f>AVERAGE(Augustus!Z46+September!Z46+Oktober!Z46+November!Z46+December!Z46+Januari!Z46+Februari!Z46+Maart!Z46+April!Z46+Mei!Z46+Juni!Z46+Juli!Z46)/12</f>
        <v>0</v>
      </c>
      <c r="G46" s="32">
        <f>SUM(Augustus!AA46+September!AA46+Oktober!AA46+November!AA46+December!AA46+Januari!AA46+Februari!AA46+Maart!AA46+April!AA46+Mei!AA46+Juni!AA46+Juli!AA46)</f>
        <v>0</v>
      </c>
      <c r="H46" s="32">
        <f>SUM(Jaarbetalingen!AF46+Augustus!AB46+September!AB46+Oktober!AB46+November!AB46+December!AB46+Januari!AB46+Februari!AB46+Maart!AB46+April!AB46+Mei!AB46+Juni!AB46+Juli!AB46)</f>
        <v>0</v>
      </c>
      <c r="I46" s="32">
        <f t="shared" si="1"/>
        <v>0</v>
      </c>
      <c r="J46" s="404" t="str">
        <f t="shared" si="2"/>
        <v/>
      </c>
      <c r="K46" s="491">
        <f>IFERROR(AVERAGE(Oktober!Z46,November!Z46,December!Z46)-AVERAGE(Augustus!Z46,September!Z46),"")</f>
        <v>0</v>
      </c>
      <c r="L46" s="492" t="str">
        <f>IFERROR(IF(Augustus!Z46=0,"",IF((AVERAGE(Oktober!Z46,November!Z46,December!Z46)/Augustus!Z46)&lt;0.8,"Let op",IF((AVERAGE(Oktober!Z46,November!Z46,December!Z46)/Augustus!Z46)&lt;0.9,"Lichte daling","Stabiel"))),"")</f>
        <v/>
      </c>
    </row>
    <row r="47" ht="22.5" customHeight="1">
      <c r="A47" s="331" t="str">
        <f>Rooster!A48</f>
        <v>Donderdag</v>
      </c>
      <c r="B47" s="396">
        <f>Rooster!B48</f>
        <v>0.75</v>
      </c>
      <c r="C47" s="11" t="str">
        <f>Rooster!D48</f>
        <v>Turnen 6+</v>
      </c>
      <c r="D47" s="11" t="str">
        <f>Rooster!E48</f>
        <v>Dion + 3</v>
      </c>
      <c r="E47" s="329">
        <f>SUM(Augustus!E47+September!E47+Oktober!E46+November!E46+December!E47+Januari!E47+Februari!E47+Maart!E47+April!E47+Mei!E47+Juni!E47+Juli!E47)</f>
        <v>22</v>
      </c>
      <c r="F47" s="329">
        <f>AVERAGE(Augustus!Z47+September!Z47+Oktober!Z47+November!Z47+December!Z47+Januari!Z47+Februari!Z47+Maart!Z47+April!Z47+Mei!Z47+Juni!Z47+Juli!Z47)/12</f>
        <v>6.5</v>
      </c>
      <c r="G47" s="32">
        <f>SUM(Augustus!AA47+September!AA47+Oktober!AA47+November!AA47+December!AA47+Januari!AA47+Februari!AA47+Maart!AA47+April!AA47+Mei!AA47+Juni!AA47+Juli!AA47)</f>
        <v>1060.4</v>
      </c>
      <c r="H47" s="32">
        <f>SUM(Jaarbetalingen!AF47+Augustus!AB47+September!AB47+Oktober!AB47+November!AB47+December!AB47+Januari!AB47+Februari!AB47+Maart!AB47+April!AB47+Mei!AB47+Juni!AB47+Juli!AB47)</f>
        <v>1445</v>
      </c>
      <c r="I47" s="32">
        <f t="shared" si="1"/>
        <v>384.6</v>
      </c>
      <c r="J47" s="404" t="str">
        <f t="shared" si="2"/>
        <v>🟠 Marketing nodig</v>
      </c>
      <c r="K47" s="491">
        <f>IFERROR(AVERAGE(Oktober!Z47,November!Z47,December!Z47)-AVERAGE(Augustus!Z47,September!Z47),"")</f>
        <v>0.6666666667</v>
      </c>
      <c r="L47" s="492" t="str">
        <f>IFERROR(IF(Augustus!Z47=0,"",IF((AVERAGE(Oktober!Z47,November!Z47,December!Z47)/Augustus!Z47)&lt;0.8,"Let op",IF((AVERAGE(Oktober!Z47,November!Z47,December!Z47)/Augustus!Z47)&lt;0.9,"Lichte daling","Stabiel"))),"")</f>
        <v/>
      </c>
    </row>
    <row r="48" ht="22.5" customHeight="1">
      <c r="A48" s="331" t="str">
        <f>Rooster!A49</f>
        <v>Donderdag</v>
      </c>
      <c r="B48" s="396">
        <f>Rooster!B49</f>
        <v>0.7916666667</v>
      </c>
      <c r="C48" s="11" t="str">
        <f>Rooster!D49</f>
        <v>Turnen 12+</v>
      </c>
      <c r="D48" s="11" t="str">
        <f>Rooster!E49</f>
        <v>Dion + 3</v>
      </c>
      <c r="E48" s="329">
        <f>SUM(Augustus!E48+September!E48+Oktober!E47+November!E47+December!E48+Januari!E48+Februari!E48+Maart!E48+April!E48+Mei!E48+Juni!E48+Juli!E48)</f>
        <v>22</v>
      </c>
      <c r="F48" s="329">
        <f>AVERAGE(Augustus!Z48+September!Z48+Oktober!Z48+November!Z48+December!Z48+Januari!Z48+Februari!Z48+Maart!Z48+April!Z48+Mei!Z48+Juni!Z48+Juli!Z48)/12</f>
        <v>4.75</v>
      </c>
      <c r="G48" s="32">
        <f>SUM(Augustus!AA48+September!AA48+Oktober!AA48+November!AA48+December!AA48+Januari!AA48+Februari!AA48+Maart!AA48+April!AA48+Mei!AA48+Juni!AA48+Juli!AA48)</f>
        <v>1060.4</v>
      </c>
      <c r="H48" s="32">
        <f>SUM(Jaarbetalingen!AF48+Augustus!AB48+September!AB48+Oktober!AB48+November!AB48+December!AB48+Januari!AB48+Februari!AB48+Maart!AB48+April!AB48+Mei!AB48+Juni!AB48+Juli!AB48)</f>
        <v>1120</v>
      </c>
      <c r="I48" s="32">
        <f t="shared" si="1"/>
        <v>59.6</v>
      </c>
      <c r="J48" s="404" t="str">
        <f t="shared" si="2"/>
        <v>🟠 Marketing nodig</v>
      </c>
      <c r="K48" s="491">
        <f>IFERROR(AVERAGE(Oktober!Z48,November!Z48,December!Z48)-AVERAGE(Augustus!Z48,September!Z48),"")</f>
        <v>1</v>
      </c>
      <c r="L48" s="492" t="str">
        <f>IFERROR(IF(Augustus!Z48=0,"",IF((AVERAGE(Oktober!Z48,November!Z48,December!Z48)/Augustus!Z48)&lt;0.8,"Let op",IF((AVERAGE(Oktober!Z48,November!Z48,December!Z48)/Augustus!Z48)&lt;0.9,"Lichte daling","Stabiel"))),"")</f>
        <v/>
      </c>
    </row>
    <row r="49" ht="22.5" customHeight="1">
      <c r="A49" s="331" t="str">
        <f>Rooster!A50</f>
        <v/>
      </c>
      <c r="B49" s="396" t="str">
        <f>Rooster!B50</f>
        <v/>
      </c>
      <c r="C49" s="11" t="str">
        <f>Rooster!D50</f>
        <v/>
      </c>
      <c r="D49" s="11" t="str">
        <f>Rooster!E50</f>
        <v/>
      </c>
      <c r="E49" s="329">
        <f>SUM(Augustus!E49+September!E49+Oktober!E48+November!E48+December!E49+Januari!E49+Februari!E49+Maart!E49+April!E49+Mei!E49+Juni!E49+Juli!E49)</f>
        <v>0</v>
      </c>
      <c r="F49" s="329">
        <f>AVERAGE(Augustus!Z49+September!Z49+Oktober!Z49+November!Z49+December!Z49+Januari!Z49+Februari!Z49+Maart!Z49+April!Z49+Mei!Z49+Juni!Z49+Juli!Z49)/12</f>
        <v>0</v>
      </c>
      <c r="G49" s="32">
        <f>SUM(Augustus!AA49+September!AA49+Oktober!AA49+November!AA49+December!AA49+Januari!AA49+Februari!AA49+Maart!AA49+April!AA49+Mei!AA49+Juni!AA49+Juli!AA49)</f>
        <v>0</v>
      </c>
      <c r="H49" s="32">
        <f>SUM(Jaarbetalingen!AF49+Augustus!AB49+September!AB49+Oktober!AB49+November!AB49+December!AB49+Januari!AB49+Februari!AB49+Maart!AB49+April!AB49+Mei!AB49+Juni!AB49+Juli!AB49)</f>
        <v>0</v>
      </c>
      <c r="I49" s="32">
        <f t="shared" si="1"/>
        <v>0</v>
      </c>
      <c r="J49" s="404" t="str">
        <f t="shared" si="2"/>
        <v/>
      </c>
      <c r="K49" s="491">
        <f>IFERROR(AVERAGE(Oktober!Z49,November!Z49,December!Z49)-AVERAGE(Augustus!Z49,September!Z49),"")</f>
        <v>0</v>
      </c>
      <c r="L49" s="492" t="str">
        <f>IFERROR(IF(Augustus!Z49=0,"",IF((AVERAGE(Oktober!Z49,November!Z49,December!Z49)/Augustus!Z49)&lt;0.8,"Let op",IF((AVERAGE(Oktober!Z49,November!Z49,December!Z49)/Augustus!Z49)&lt;0.9,"Lichte daling","Stabiel"))),"")</f>
        <v/>
      </c>
    </row>
    <row r="50" ht="22.5" customHeight="1">
      <c r="A50" s="331" t="str">
        <f>Rooster!A51</f>
        <v/>
      </c>
      <c r="B50" s="396" t="str">
        <f>Rooster!B51</f>
        <v/>
      </c>
      <c r="C50" s="11" t="str">
        <f>Rooster!D51</f>
        <v/>
      </c>
      <c r="D50" s="11" t="str">
        <f>Rooster!E51</f>
        <v/>
      </c>
      <c r="E50" s="329">
        <f>SUM(Augustus!E50+September!E50+Oktober!E49+November!E49+December!E50+Januari!E50+Februari!E50+Maart!E50+April!E50+Mei!E50+Juni!E50+Juli!E50)</f>
        <v>0</v>
      </c>
      <c r="F50" s="329">
        <f>AVERAGE(Augustus!Z50+September!Z50+Oktober!Z50+November!Z50+December!Z50+Januari!Z50+Februari!Z50+Maart!Z50+April!Z50+Mei!Z50+Juni!Z50+Juli!Z50)/12</f>
        <v>0</v>
      </c>
      <c r="G50" s="32">
        <f>SUM(Augustus!AA50+September!AA50+Oktober!AA50+November!AA50+December!AA50+Januari!AA50+Februari!AA50+Maart!AA50+April!AA50+Mei!AA50+Juni!AA50+Juli!AA50)</f>
        <v>0</v>
      </c>
      <c r="H50" s="32">
        <f>SUM(Jaarbetalingen!AF50+Augustus!AB50+September!AB50+Oktober!AB50+November!AB50+December!AB50+Januari!AB50+Februari!AB50+Maart!AB50+April!AB50+Mei!AB50+Juni!AB50+Juli!AB50)</f>
        <v>0</v>
      </c>
      <c r="I50" s="32">
        <f t="shared" si="1"/>
        <v>0</v>
      </c>
      <c r="J50" s="404" t="str">
        <f t="shared" si="2"/>
        <v/>
      </c>
      <c r="K50" s="491">
        <f>IFERROR(AVERAGE(Oktober!Z50,November!Z50,December!Z50)-AVERAGE(Augustus!Z50,September!Z50),"")</f>
        <v>0</v>
      </c>
      <c r="L50" s="492" t="str">
        <f>IFERROR(IF(Augustus!Z50=0,"",IF((AVERAGE(Oktober!Z50,November!Z50,December!Z50)/Augustus!Z50)&lt;0.8,"Let op",IF((AVERAGE(Oktober!Z50,November!Z50,December!Z50)/Augustus!Z50)&lt;0.9,"Lichte daling","Stabiel"))),"")</f>
        <v/>
      </c>
    </row>
    <row r="51" ht="22.5" customHeight="1">
      <c r="A51" s="331" t="str">
        <f>Rooster!A52</f>
        <v/>
      </c>
      <c r="B51" s="396" t="str">
        <f>Rooster!B52</f>
        <v/>
      </c>
      <c r="C51" s="11" t="str">
        <f>Rooster!D52</f>
        <v/>
      </c>
      <c r="D51" s="11" t="str">
        <f>Rooster!E52</f>
        <v/>
      </c>
      <c r="E51" s="329">
        <f>SUM(Augustus!E51+September!E51+Oktober!E50+November!E50+December!E51+Januari!E51+Februari!E51+Maart!E51+April!E51+Mei!E51+Juni!E51+Juli!E51)</f>
        <v>0</v>
      </c>
      <c r="F51" s="329">
        <f>AVERAGE(Augustus!Z51+September!Z51+Oktober!Z51+November!Z51+December!Z51+Januari!Z51+Februari!Z51+Maart!Z51+April!Z51+Mei!Z51+Juni!Z51+Juli!Z51)/12</f>
        <v>0</v>
      </c>
      <c r="G51" s="32">
        <f>SUM(Augustus!AA51+September!AA51+Oktober!AA51+November!AA51+December!AA51+Januari!AA51+Februari!AA51+Maart!AA51+April!AA51+Mei!AA51+Juni!AA51+Juli!AA51)</f>
        <v>0</v>
      </c>
      <c r="H51" s="32">
        <f>SUM(Jaarbetalingen!AF51+Augustus!AB51+September!AB51+Oktober!AB51+November!AB51+December!AB51+Januari!AB51+Februari!AB51+Maart!AB51+April!AB51+Mei!AB51+Juni!AB51+Juli!AB51)</f>
        <v>0</v>
      </c>
      <c r="I51" s="32">
        <f t="shared" si="1"/>
        <v>0</v>
      </c>
      <c r="J51" s="404" t="str">
        <f t="shared" si="2"/>
        <v/>
      </c>
      <c r="K51" s="491">
        <f>IFERROR(AVERAGE(Oktober!Z51,November!Z51,December!Z51)-AVERAGE(Augustus!Z51,September!Z51),"")</f>
        <v>0</v>
      </c>
      <c r="L51" s="492" t="str">
        <f>IFERROR(IF(Augustus!Z51=0,"",IF((AVERAGE(Oktober!Z51,November!Z51,December!Z51)/Augustus!Z51)&lt;0.8,"Let op",IF((AVERAGE(Oktober!Z51,November!Z51,December!Z51)/Augustus!Z51)&lt;0.9,"Lichte daling","Stabiel"))),"")</f>
        <v/>
      </c>
    </row>
    <row r="52" ht="22.5" customHeight="1">
      <c r="A52" s="331" t="str">
        <f>Rooster!A53</f>
        <v/>
      </c>
      <c r="B52" s="396" t="str">
        <f>Rooster!B53</f>
        <v/>
      </c>
      <c r="C52" s="11" t="str">
        <f>Rooster!D53</f>
        <v/>
      </c>
      <c r="D52" s="11" t="str">
        <f>Rooster!E53</f>
        <v/>
      </c>
      <c r="E52" s="329">
        <f>SUM(Augustus!E52+September!E52+Oktober!E51+November!E51+December!E52+Januari!E52+Februari!E52+Maart!E52+April!E52+Mei!E52+Juni!E52+Juli!E52)</f>
        <v>0</v>
      </c>
      <c r="F52" s="329">
        <f>AVERAGE(Augustus!Z52+September!Z52+Oktober!Z52+November!Z52+December!Z52+Januari!Z52+Februari!Z52+Maart!Z52+April!Z52+Mei!Z52+Juni!Z52+Juli!Z52)/12</f>
        <v>0</v>
      </c>
      <c r="G52" s="32">
        <f>SUM(Augustus!AA52+September!AA52+Oktober!AA52+November!AA52+December!AA52+Januari!AA52+Februari!AA52+Maart!AA52+April!AA52+Mei!AA52+Juni!AA52+Juli!AA52)</f>
        <v>0</v>
      </c>
      <c r="H52" s="32">
        <f>SUM(Jaarbetalingen!AF52+Augustus!AB52+September!AB52+Oktober!AB52+November!AB52+December!AB52+Januari!AB52+Februari!AB52+Maart!AB52+April!AB52+Mei!AB52+Juni!AB52+Juli!AB52)</f>
        <v>0</v>
      </c>
      <c r="I52" s="32">
        <f t="shared" si="1"/>
        <v>0</v>
      </c>
      <c r="J52" s="404" t="str">
        <f t="shared" si="2"/>
        <v/>
      </c>
      <c r="K52" s="491">
        <f>IFERROR(AVERAGE(Oktober!Z52,November!Z52,December!Z52)-AVERAGE(Augustus!Z52,September!Z52),"")</f>
        <v>0</v>
      </c>
      <c r="L52" s="492" t="str">
        <f>IFERROR(IF(Augustus!Z52=0,"",IF((AVERAGE(Oktober!Z52,November!Z52,December!Z52)/Augustus!Z52)&lt;0.8,"Let op",IF((AVERAGE(Oktober!Z52,November!Z52,December!Z52)/Augustus!Z52)&lt;0.9,"Lichte daling","Stabiel"))),"")</f>
        <v/>
      </c>
    </row>
    <row r="53" ht="22.5" customHeight="1">
      <c r="A53" s="331" t="str">
        <f>Rooster!A54</f>
        <v/>
      </c>
      <c r="B53" s="396" t="str">
        <f>Rooster!B54</f>
        <v/>
      </c>
      <c r="C53" s="11" t="str">
        <f>Rooster!D54</f>
        <v/>
      </c>
      <c r="D53" s="11" t="str">
        <f>Rooster!E54</f>
        <v/>
      </c>
      <c r="E53" s="329">
        <f>SUM(Augustus!E53+September!E53+Oktober!E52+November!E52+December!E53+Januari!E53+Februari!E53+Maart!E53+April!E53+Mei!E53+Juni!E53+Juli!E53)</f>
        <v>0</v>
      </c>
      <c r="F53" s="329">
        <f>AVERAGE(Augustus!Z53+September!Z53+Oktober!Z53+November!Z53+December!Z53+Januari!Z53+Februari!Z53+Maart!Z53+April!Z53+Mei!Z53+Juni!Z53+Juli!Z53)/12</f>
        <v>0</v>
      </c>
      <c r="G53" s="32">
        <f>SUM(Augustus!AA53+September!AA53+Oktober!AA53+November!AA53+December!AA53+Januari!AA53+Februari!AA53+Maart!AA53+April!AA53+Mei!AA53+Juni!AA53+Juli!AA53)</f>
        <v>0</v>
      </c>
      <c r="H53" s="32">
        <f>SUM(Jaarbetalingen!AF53+Augustus!AB53+September!AB53+Oktober!AB53+November!AB53+December!AB53+Januari!AB53+Februari!AB53+Maart!AB53+April!AB53+Mei!AB53+Juni!AB53+Juli!AB53)</f>
        <v>0</v>
      </c>
      <c r="I53" s="32">
        <f t="shared" si="1"/>
        <v>0</v>
      </c>
      <c r="J53" s="404" t="str">
        <f t="shared" si="2"/>
        <v/>
      </c>
      <c r="K53" s="491">
        <f>IFERROR(AVERAGE(Oktober!Z53,November!Z53,December!Z53)-AVERAGE(Augustus!Z53,September!Z53),"")</f>
        <v>0</v>
      </c>
      <c r="L53" s="492" t="str">
        <f>IFERROR(IF(Augustus!Z53=0,"",IF((AVERAGE(Oktober!Z53,November!Z53,December!Z53)/Augustus!Z53)&lt;0.8,"Let op",IF((AVERAGE(Oktober!Z53,November!Z53,December!Z53)/Augustus!Z53)&lt;0.9,"Lichte daling","Stabiel"))),"")</f>
        <v/>
      </c>
    </row>
    <row r="54" ht="22.5" customHeight="1">
      <c r="A54" s="331" t="str">
        <f>Rooster!A55</f>
        <v/>
      </c>
      <c r="B54" s="396" t="str">
        <f>Rooster!B55</f>
        <v/>
      </c>
      <c r="C54" s="11" t="str">
        <f>Rooster!D55</f>
        <v/>
      </c>
      <c r="D54" s="11" t="str">
        <f>Rooster!E55</f>
        <v/>
      </c>
      <c r="E54" s="329">
        <f>SUM(Augustus!E54+September!E54+Oktober!E53+November!E53+December!E54+Januari!E54+Februari!E54+Maart!E54+April!E54+Mei!E54+Juni!E54+Juli!E54)</f>
        <v>0</v>
      </c>
      <c r="F54" s="329">
        <f>AVERAGE(Augustus!Z54+September!Z54+Oktober!Z54+November!Z54+December!Z54+Januari!Z54+Februari!Z54+Maart!Z54+April!Z54+Mei!Z54+Juni!Z54+Juli!Z54)/12</f>
        <v>0</v>
      </c>
      <c r="G54" s="32">
        <f>SUM(Augustus!AA54+September!AA54+Oktober!AA54+November!AA54+December!AA54+Januari!AA54+Februari!AA54+Maart!AA54+April!AA54+Mei!AA54+Juni!AA54+Juli!AA54)</f>
        <v>0</v>
      </c>
      <c r="H54" s="32">
        <f>SUM(Jaarbetalingen!AF54+Augustus!AB54+September!AB54+Oktober!AB54+November!AB54+December!AB54+Januari!AB54+Februari!AB54+Maart!AB54+April!AB54+Mei!AB54+Juni!AB54+Juli!AB54)</f>
        <v>0</v>
      </c>
      <c r="I54" s="32">
        <f t="shared" si="1"/>
        <v>0</v>
      </c>
      <c r="J54" s="404" t="str">
        <f t="shared" si="2"/>
        <v/>
      </c>
      <c r="K54" s="491">
        <f>IFERROR(AVERAGE(Oktober!Z54,November!Z54,December!Z54)-AVERAGE(Augustus!Z54,September!Z54),"")</f>
        <v>0</v>
      </c>
      <c r="L54" s="492" t="str">
        <f>IFERROR(IF(Augustus!Z54=0,"",IF((AVERAGE(Oktober!Z54,November!Z54,December!Z54)/Augustus!Z54)&lt;0.8,"Let op",IF((AVERAGE(Oktober!Z54,November!Z54,December!Z54)/Augustus!Z54)&lt;0.9,"Lichte daling","Stabiel"))),"")</f>
        <v/>
      </c>
    </row>
    <row r="55" ht="22.5" customHeight="1">
      <c r="A55" s="331" t="str">
        <f>Rooster!A56</f>
        <v/>
      </c>
      <c r="B55" s="396" t="str">
        <f>Rooster!B56</f>
        <v/>
      </c>
      <c r="C55" s="11" t="str">
        <f>Rooster!D56</f>
        <v/>
      </c>
      <c r="D55" s="11" t="str">
        <f>Rooster!E56</f>
        <v/>
      </c>
      <c r="E55" s="329">
        <f>SUM(Augustus!E55+September!E55+Oktober!E54+November!E54+December!E55+Januari!E55+Februari!E55+Maart!E55+April!E55+Mei!E55+Juni!E55+Juli!E55)</f>
        <v>0</v>
      </c>
      <c r="F55" s="329">
        <f>AVERAGE(Augustus!Z55+September!Z55+Oktober!Z55+November!Z55+December!Z55+Januari!Z55+Februari!Z55+Maart!Z55+April!Z55+Mei!Z55+Juni!Z55+Juli!Z55)/12</f>
        <v>0</v>
      </c>
      <c r="G55" s="32">
        <f>SUM(Augustus!AA55+September!AA55+Oktober!AA55+November!AA55+December!AA55+Januari!AA55+Februari!AA55+Maart!AA55+April!AA55+Mei!AA55+Juni!AA55+Juli!AA55)</f>
        <v>0</v>
      </c>
      <c r="H55" s="32">
        <f>SUM(Jaarbetalingen!AF55+Augustus!AB55+September!AB55+Oktober!AB55+November!AB55+December!AB55+Januari!AB55+Februari!AB55+Maart!AB55+April!AB55+Mei!AB55+Juni!AB55+Juli!AB55)</f>
        <v>0</v>
      </c>
      <c r="I55" s="32">
        <f t="shared" si="1"/>
        <v>0</v>
      </c>
      <c r="J55" s="404" t="str">
        <f t="shared" si="2"/>
        <v/>
      </c>
      <c r="K55" s="491">
        <f>IFERROR(AVERAGE(Oktober!Z55,November!Z55,December!Z55)-AVERAGE(Augustus!Z55,September!Z55),"")</f>
        <v>0</v>
      </c>
      <c r="L55" s="492" t="str">
        <f>IFERROR(IF(Augustus!Z55=0,"",IF((AVERAGE(Oktober!Z55,November!Z55,December!Z55)/Augustus!Z55)&lt;0.8,"Let op",IF((AVERAGE(Oktober!Z55,November!Z55,December!Z55)/Augustus!Z55)&lt;0.9,"Lichte daling","Stabiel"))),"")</f>
        <v/>
      </c>
    </row>
    <row r="56" ht="22.5" customHeight="1">
      <c r="A56" s="331" t="str">
        <f>Rooster!A57</f>
        <v/>
      </c>
      <c r="B56" s="396" t="str">
        <f>Rooster!B57</f>
        <v/>
      </c>
      <c r="C56" s="11" t="str">
        <f>Rooster!D57</f>
        <v/>
      </c>
      <c r="D56" s="11" t="str">
        <f>Rooster!E57</f>
        <v/>
      </c>
      <c r="E56" s="329">
        <f>SUM(Augustus!E56+September!E56+Oktober!E55+November!E55+December!E56+Januari!E56+Februari!E56+Maart!E56+April!E56+Mei!E56+Juni!E56+Juli!E56)</f>
        <v>0</v>
      </c>
      <c r="F56" s="329">
        <f>AVERAGE(Augustus!Z56+September!Z56+Oktober!Z56+November!Z56+December!Z56+Januari!Z56+Februari!Z56+Maart!Z56+April!Z56+Mei!Z56+Juni!Z56+Juli!Z56)/12</f>
        <v>0</v>
      </c>
      <c r="G56" s="32">
        <f>SUM(Augustus!AA56+September!AA56+Oktober!AA56+November!AA56+December!AA56+Januari!AA56+Februari!AA56+Maart!AA56+April!AA56+Mei!AA56+Juni!AA56+Juli!AA56)</f>
        <v>0</v>
      </c>
      <c r="H56" s="32">
        <f>SUM(Jaarbetalingen!AF56+Augustus!AB56+September!AB56+Oktober!AB56+November!AB56+December!AB56+Januari!AB56+Februari!AB56+Maart!AB56+April!AB56+Mei!AB56+Juni!AB56+Juli!AB56)</f>
        <v>0</v>
      </c>
      <c r="I56" s="32">
        <f t="shared" si="1"/>
        <v>0</v>
      </c>
      <c r="J56" s="404" t="str">
        <f t="shared" si="2"/>
        <v/>
      </c>
      <c r="K56" s="491">
        <f>IFERROR(AVERAGE(Oktober!Z56,November!Z56,December!Z56)-AVERAGE(Augustus!Z56,September!Z56),"")</f>
        <v>0</v>
      </c>
      <c r="L56" s="492" t="str">
        <f>IFERROR(IF(Augustus!Z56=0,"",IF((AVERAGE(Oktober!Z56,November!Z56,December!Z56)/Augustus!Z56)&lt;0.8,"Let op",IF((AVERAGE(Oktober!Z56,November!Z56,December!Z56)/Augustus!Z56)&lt;0.9,"Lichte daling","Stabiel"))),"")</f>
        <v/>
      </c>
    </row>
    <row r="57" ht="22.5" customHeight="1">
      <c r="A57" s="331" t="str">
        <f>Rooster!A58</f>
        <v/>
      </c>
      <c r="B57" s="396" t="str">
        <f>Rooster!B58</f>
        <v/>
      </c>
      <c r="C57" s="11" t="str">
        <f>Rooster!D58</f>
        <v/>
      </c>
      <c r="D57" s="11" t="str">
        <f>Rooster!E58</f>
        <v/>
      </c>
      <c r="E57" s="329">
        <f>SUM(Augustus!E57+September!E57+Oktober!E56+November!E56+December!E57+Januari!E57+Februari!E57+Maart!E57+April!E57+Mei!E57+Juni!E57+Juli!E57)</f>
        <v>0</v>
      </c>
      <c r="F57" s="329">
        <f>AVERAGE(Augustus!Z57+September!Z57+Oktober!Z57+November!Z57+December!Z57+Januari!Z57+Februari!Z57+Maart!Z57+April!Z57+Mei!Z57+Juni!Z57+Juli!Z57)/12</f>
        <v>0</v>
      </c>
      <c r="G57" s="32">
        <f>SUM(Augustus!AA57+September!AA57+Oktober!AA57+November!AA57+December!AA57+Januari!AA57+Februari!AA57+Maart!AA57+April!AA57+Mei!AA57+Juni!AA57+Juli!AA57)</f>
        <v>0</v>
      </c>
      <c r="H57" s="32">
        <f>SUM(Jaarbetalingen!AF57+Augustus!AB57+September!AB57+Oktober!AB57+November!AB57+December!AB57+Januari!AB57+Februari!AB57+Maart!AB57+April!AB57+Mei!AB57+Juni!AB57+Juli!AB57)</f>
        <v>0</v>
      </c>
      <c r="I57" s="32">
        <f t="shared" si="1"/>
        <v>0</v>
      </c>
      <c r="J57" s="404" t="str">
        <f t="shared" si="2"/>
        <v/>
      </c>
      <c r="K57" s="491">
        <f>IFERROR(AVERAGE(Oktober!Z57,November!Z57,December!Z57)-AVERAGE(Augustus!Z57,September!Z57),"")</f>
        <v>0</v>
      </c>
      <c r="L57" s="492" t="str">
        <f>IFERROR(IF(Augustus!Z57=0,"",IF((AVERAGE(Oktober!Z57,November!Z57,December!Z57)/Augustus!Z57)&lt;0.8,"Let op",IF((AVERAGE(Oktober!Z57,November!Z57,December!Z57)/Augustus!Z57)&lt;0.9,"Lichte daling","Stabiel"))),"")</f>
        <v/>
      </c>
    </row>
    <row r="58" ht="22.5" customHeight="1">
      <c r="A58" s="331" t="str">
        <f>Rooster!A59</f>
        <v/>
      </c>
      <c r="B58" s="396" t="str">
        <f>Rooster!B59</f>
        <v/>
      </c>
      <c r="C58" s="11" t="str">
        <f>Rooster!D59</f>
        <v/>
      </c>
      <c r="D58" s="11" t="str">
        <f>Rooster!E59</f>
        <v/>
      </c>
      <c r="E58" s="329">
        <f>SUM(Augustus!E58+September!E58+Oktober!E57+November!E57+December!E58+Januari!E58+Februari!E58+Maart!E58+April!E58+Mei!E58+Juni!E58+Juli!E58)</f>
        <v>0</v>
      </c>
      <c r="F58" s="329">
        <f>AVERAGE(Augustus!Z58+September!Z58+Oktober!Z58+November!Z58+December!Z58+Januari!Z58+Februari!Z58+Maart!Z58+April!Z58+Mei!Z58+Juni!Z58+Juli!Z58)/12</f>
        <v>0</v>
      </c>
      <c r="G58" s="32">
        <f>SUM(Augustus!AA58+September!AA58+Oktober!AA58+November!AA58+December!AA58+Januari!AA58+Februari!AA58+Maart!AA58+April!AA58+Mei!AA58+Juni!AA58+Juli!AA58)</f>
        <v>0</v>
      </c>
      <c r="H58" s="32">
        <f>SUM(Jaarbetalingen!AF58+Augustus!AB58+September!AB58+Oktober!AB58+November!AB58+December!AB58+Januari!AB58+Februari!AB58+Maart!AB58+April!AB58+Mei!AB58+Juni!AB58+Juli!AB58)</f>
        <v>0</v>
      </c>
      <c r="I58" s="32">
        <f t="shared" si="1"/>
        <v>0</v>
      </c>
      <c r="J58" s="404" t="str">
        <f t="shared" si="2"/>
        <v/>
      </c>
      <c r="K58" s="491">
        <f>IFERROR(AVERAGE(Oktober!Z58,November!Z58,December!Z58)-AVERAGE(Augustus!Z58,September!Z58),"")</f>
        <v>0</v>
      </c>
      <c r="L58" s="492" t="str">
        <f>IFERROR(IF(Augustus!Z58=0,"",IF((AVERAGE(Oktober!Z58,November!Z58,December!Z58)/Augustus!Z58)&lt;0.8,"Let op",IF((AVERAGE(Oktober!Z58,November!Z58,December!Z58)/Augustus!Z58)&lt;0.9,"Lichte daling","Stabiel"))),"")</f>
        <v/>
      </c>
    </row>
    <row r="59" ht="22.5" customHeight="1">
      <c r="A59" s="331" t="str">
        <f>Rooster!A60</f>
        <v/>
      </c>
      <c r="B59" s="396" t="str">
        <f>Rooster!B60</f>
        <v/>
      </c>
      <c r="C59" s="11" t="str">
        <f>Rooster!D60</f>
        <v/>
      </c>
      <c r="D59" s="11" t="str">
        <f>Rooster!E60</f>
        <v/>
      </c>
      <c r="E59" s="329">
        <f>SUM(Augustus!E59+September!E59+Oktober!E58+November!E58+December!E59+Januari!E59+Februari!E59+Maart!E59+April!E59+Mei!E59+Juni!E59+Juli!E59)</f>
        <v>0</v>
      </c>
      <c r="F59" s="329">
        <f>AVERAGE(Augustus!Z59+September!Z59+Oktober!Z59+November!Z59+December!Z59+Januari!Z59+Februari!Z59+Maart!Z59+April!Z59+Mei!Z59+Juni!Z59+Juli!Z59)/12</f>
        <v>0</v>
      </c>
      <c r="G59" s="32">
        <f>SUM(Augustus!AA59+September!AA59+Oktober!AA59+November!AA59+December!AA59+Januari!AA59+Februari!AA59+Maart!AA59+April!AA59+Mei!AA59+Juni!AA59+Juli!AA59)</f>
        <v>0</v>
      </c>
      <c r="H59" s="32">
        <f>SUM(Jaarbetalingen!AF59+Augustus!AB59+September!AB59+Oktober!AB59+November!AB59+December!AB59+Januari!AB59+Februari!AB59+Maart!AB59+April!AB59+Mei!AB59+Juni!AB59+Juli!AB59)</f>
        <v>0</v>
      </c>
      <c r="I59" s="32">
        <f t="shared" si="1"/>
        <v>0</v>
      </c>
      <c r="J59" s="404" t="str">
        <f t="shared" si="2"/>
        <v/>
      </c>
      <c r="K59" s="491">
        <f>IFERROR(AVERAGE(Oktober!Z59,November!Z59,December!Z59)-AVERAGE(Augustus!Z59,September!Z59),"")</f>
        <v>0</v>
      </c>
      <c r="L59" s="492" t="str">
        <f>IFERROR(IF(Augustus!Z59=0,"",IF((AVERAGE(Oktober!Z59,November!Z59,December!Z59)/Augustus!Z59)&lt;0.8,"Let op",IF((AVERAGE(Oktober!Z59,November!Z59,December!Z59)/Augustus!Z59)&lt;0.9,"Lichte daling","Stabiel"))),"")</f>
        <v/>
      </c>
    </row>
    <row r="60" ht="22.5" customHeight="1">
      <c r="A60" s="331" t="str">
        <f>Rooster!A61</f>
        <v/>
      </c>
      <c r="B60" s="396" t="str">
        <f>Rooster!B61</f>
        <v/>
      </c>
      <c r="C60" s="11" t="str">
        <f>Rooster!D61</f>
        <v/>
      </c>
      <c r="D60" s="11" t="str">
        <f>Rooster!E61</f>
        <v/>
      </c>
      <c r="E60" s="329">
        <f>SUM(Augustus!E60+September!E60+Oktober!E59+November!E59+December!E60+Januari!E60+Februari!E60+Maart!E60+April!E60+Mei!E60+Juni!E60+Juli!E60)</f>
        <v>0</v>
      </c>
      <c r="F60" s="329">
        <f>AVERAGE(Augustus!Z60+September!Z60+Oktober!Z60+November!Z60+December!Z60+Januari!Z60+Februari!Z60+Maart!Z60+April!Z60+Mei!Z60+Juni!Z60+Juli!Z60)/12</f>
        <v>0</v>
      </c>
      <c r="G60" s="32">
        <f>SUM(Augustus!AA60+September!AA60+Oktober!AA60+November!AA60+December!AA60+Januari!AA60+Februari!AA60+Maart!AA60+April!AA60+Mei!AA60+Juni!AA60+Juli!AA60)</f>
        <v>0</v>
      </c>
      <c r="H60" s="32">
        <f>SUM(Jaarbetalingen!AF60+Augustus!AB60+September!AB60+Oktober!AB60+November!AB60+December!AB60+Januari!AB60+Februari!AB60+Maart!AB60+April!AB60+Mei!AB60+Juni!AB60+Juli!AB60)</f>
        <v>0</v>
      </c>
      <c r="I60" s="32">
        <f t="shared" si="1"/>
        <v>0</v>
      </c>
      <c r="J60" s="404" t="str">
        <f t="shared" si="2"/>
        <v/>
      </c>
      <c r="K60" s="491">
        <f>IFERROR(AVERAGE(Oktober!Z60,November!Z60,December!Z60)-AVERAGE(Augustus!Z60,September!Z60),"")</f>
        <v>0</v>
      </c>
      <c r="L60" s="492" t="str">
        <f>IFERROR(IF(Augustus!Z60=0,"",IF((AVERAGE(Oktober!Z60,November!Z60,December!Z60)/Augustus!Z60)&lt;0.8,"Let op",IF((AVERAGE(Oktober!Z60,November!Z60,December!Z60)/Augustus!Z60)&lt;0.9,"Lichte daling","Stabiel"))),"")</f>
        <v/>
      </c>
    </row>
    <row r="61" ht="22.5" customHeight="1">
      <c r="A61" s="331" t="str">
        <f>Rooster!A62</f>
        <v/>
      </c>
      <c r="B61" s="396" t="str">
        <f>Rooster!B62</f>
        <v/>
      </c>
      <c r="C61" s="11" t="str">
        <f>Rooster!D62</f>
        <v/>
      </c>
      <c r="D61" s="11" t="str">
        <f>Rooster!E62</f>
        <v/>
      </c>
      <c r="E61" s="329">
        <f>SUM(Augustus!E61+September!E61+Oktober!E60+November!E60+December!E61+Januari!E61+Februari!E61+Maart!E61+April!E61+Mei!E61+Juni!E61+Juli!E61)</f>
        <v>0</v>
      </c>
      <c r="F61" s="329">
        <f>AVERAGE(Augustus!Z61+September!Z61+Oktober!Z61+November!Z61+December!Z61+Januari!Z61+Februari!Z61+Maart!Z61+April!Z61+Mei!Z61+Juni!Z61+Juli!Z61)/12</f>
        <v>0</v>
      </c>
      <c r="G61" s="32">
        <f>SUM(Augustus!AA61+September!AA61+Oktober!AA61+November!AA61+December!AA61+Januari!AA61+Februari!AA61+Maart!AA61+April!AA61+Mei!AA61+Juni!AA61+Juli!AA61)</f>
        <v>0</v>
      </c>
      <c r="H61" s="32">
        <f>SUM(Jaarbetalingen!AF61+Augustus!AB61+September!AB61+Oktober!AB61+November!AB61+December!AB61+Januari!AB61+Februari!AB61+Maart!AB61+April!AB61+Mei!AB61+Juni!AB61+Juli!AB61)</f>
        <v>0</v>
      </c>
      <c r="I61" s="32">
        <f t="shared" si="1"/>
        <v>0</v>
      </c>
      <c r="J61" s="404" t="str">
        <f t="shared" si="2"/>
        <v/>
      </c>
      <c r="K61" s="491">
        <f>IFERROR(AVERAGE(Oktober!Z61,November!Z61,December!Z61)-AVERAGE(Augustus!Z61,September!Z61),"")</f>
        <v>0</v>
      </c>
      <c r="L61" s="492" t="str">
        <f>IFERROR(IF(Augustus!Z61=0,"",IF((AVERAGE(Oktober!Z61,November!Z61,December!Z61)/Augustus!Z61)&lt;0.8,"Let op",IF((AVERAGE(Oktober!Z61,November!Z61,December!Z61)/Augustus!Z61)&lt;0.9,"Lichte daling","Stabiel"))),"")</f>
        <v/>
      </c>
    </row>
    <row r="62" ht="22.5" customHeight="1">
      <c r="A62" s="331" t="str">
        <f>Rooster!A63</f>
        <v/>
      </c>
      <c r="B62" s="396" t="str">
        <f>Rooster!B63</f>
        <v/>
      </c>
      <c r="C62" s="11" t="str">
        <f>Rooster!D63</f>
        <v/>
      </c>
      <c r="D62" s="11" t="str">
        <f>Rooster!E63</f>
        <v/>
      </c>
      <c r="E62" s="329">
        <f>SUM(Augustus!E62+September!E62+Oktober!E61+November!E61+December!E62+Januari!E62+Februari!E62+Maart!E62+April!E62+Mei!E62+Juni!E62+Juli!E62)</f>
        <v>0</v>
      </c>
      <c r="F62" s="329">
        <f>AVERAGE(Augustus!Z62+September!Z62+Oktober!Z62+November!Z62+December!Z62+Januari!Z62+Februari!Z62+Maart!Z62+April!Z62+Mei!Z62+Juni!Z62+Juli!Z62)/12</f>
        <v>0</v>
      </c>
      <c r="G62" s="32">
        <f>SUM(Augustus!AA62+September!AA62+Oktober!AA62+November!AA62+December!AA62+Januari!AA62+Februari!AA62+Maart!AA62+April!AA62+Mei!AA62+Juni!AA62+Juli!AA62)</f>
        <v>0</v>
      </c>
      <c r="H62" s="32">
        <f>SUM(Jaarbetalingen!AF62+Augustus!AB62+September!AB62+Oktober!AB62+November!AB62+December!AB62+Januari!AB62+Februari!AB62+Maart!AB62+April!AB62+Mei!AB62+Juni!AB62+Juli!AB62)</f>
        <v>0</v>
      </c>
      <c r="I62" s="32">
        <f t="shared" si="1"/>
        <v>0</v>
      </c>
      <c r="J62" s="404" t="str">
        <f t="shared" si="2"/>
        <v/>
      </c>
      <c r="K62" s="491">
        <f>IFERROR(AVERAGE(Oktober!Z62,November!Z62,December!Z62)-AVERAGE(Augustus!Z62,September!Z62),"")</f>
        <v>0</v>
      </c>
      <c r="L62" s="492" t="str">
        <f>IFERROR(IF(Augustus!Z62=0,"",IF((AVERAGE(Oktober!Z62,November!Z62,December!Z62)/Augustus!Z62)&lt;0.8,"Let op",IF((AVERAGE(Oktober!Z62,November!Z62,December!Z62)/Augustus!Z62)&lt;0.9,"Lichte daling","Stabiel"))),"")</f>
        <v/>
      </c>
    </row>
    <row r="63" ht="22.5" customHeight="1">
      <c r="A63" s="331" t="str">
        <f>Rooster!A64</f>
        <v/>
      </c>
      <c r="B63" s="396" t="str">
        <f>Rooster!B64</f>
        <v/>
      </c>
      <c r="C63" s="11" t="str">
        <f>Rooster!D64</f>
        <v/>
      </c>
      <c r="D63" s="11" t="str">
        <f>Rooster!E64</f>
        <v/>
      </c>
      <c r="E63" s="329">
        <f>SUM(Augustus!E63+September!E63+Oktober!E62+November!E62+December!E63+Januari!E63+Februari!E63+Maart!E63+April!E63+Mei!E63+Juni!E63+Juli!E63)</f>
        <v>0</v>
      </c>
      <c r="F63" s="329">
        <f>AVERAGE(Augustus!Z63+September!Z63+Oktober!Z63+November!Z63+December!Z63+Januari!Z63+Februari!Z63+Maart!Z63+April!Z63+Mei!Z63+Juni!Z63+Juli!Z63)/12</f>
        <v>0</v>
      </c>
      <c r="G63" s="32">
        <f>SUM(Augustus!AA63+September!AA63+Oktober!AA63+November!AA63+December!AA63+Januari!AA63+Februari!AA63+Maart!AA63+April!AA63+Mei!AA63+Juni!AA63+Juli!AA63)</f>
        <v>0</v>
      </c>
      <c r="H63" s="32">
        <f>SUM(Jaarbetalingen!AF63+Augustus!AB63+September!AB63+Oktober!AB63+November!AB63+December!AB63+Januari!AB63+Februari!AB63+Maart!AB63+April!AB63+Mei!AB63+Juni!AB63+Juli!AB63)</f>
        <v>0</v>
      </c>
      <c r="I63" s="32">
        <f t="shared" si="1"/>
        <v>0</v>
      </c>
      <c r="J63" s="404" t="str">
        <f t="shared" si="2"/>
        <v/>
      </c>
      <c r="K63" s="491">
        <f>IFERROR(AVERAGE(Oktober!Z63,November!Z63,December!Z63)-AVERAGE(Augustus!Z63,September!Z63),"")</f>
        <v>0</v>
      </c>
      <c r="L63" s="492" t="str">
        <f>IFERROR(IF(Augustus!Z63=0,"",IF((AVERAGE(Oktober!Z63,November!Z63,December!Z63)/Augustus!Z63)&lt;0.8,"Let op",IF((AVERAGE(Oktober!Z63,November!Z63,December!Z63)/Augustus!Z63)&lt;0.9,"Lichte daling","Stabiel"))),"")</f>
        <v/>
      </c>
    </row>
    <row r="64" ht="22.5" customHeight="1">
      <c r="A64" s="331" t="str">
        <f>Rooster!A65</f>
        <v/>
      </c>
      <c r="B64" s="396" t="str">
        <f>Rooster!B65</f>
        <v/>
      </c>
      <c r="C64" s="11" t="str">
        <f>Rooster!D65</f>
        <v/>
      </c>
      <c r="D64" s="11" t="str">
        <f>Rooster!E65</f>
        <v/>
      </c>
      <c r="E64" s="329">
        <f>SUM(Augustus!E64+September!E64+Oktober!E63+November!E63+December!E64+Januari!E64+Februari!E64+Maart!E64+April!E64+Mei!E64+Juni!E64+Juli!E64)</f>
        <v>0</v>
      </c>
      <c r="F64" s="329">
        <f>AVERAGE(Augustus!Z64+September!Z64+Oktober!Z64+November!Z64+December!Z64+Januari!Z64+Februari!Z64+Maart!Z64+April!Z64+Mei!Z64+Juni!Z64+Juli!Z64)/12</f>
        <v>0</v>
      </c>
      <c r="G64" s="32">
        <f>SUM(Augustus!AA64+September!AA64+Oktober!AA64+November!AA64+December!AA64+Januari!AA64+Februari!AA64+Maart!AA64+April!AA64+Mei!AA64+Juni!AA64+Juli!AA64)</f>
        <v>0</v>
      </c>
      <c r="H64" s="32">
        <f>SUM(Jaarbetalingen!AF64+Augustus!AB64+September!AB64+Oktober!AB64+November!AB64+December!AB64+Januari!AB64+Februari!AB64+Maart!AB64+April!AB64+Mei!AB64+Juni!AB64+Juli!AB64)</f>
        <v>0</v>
      </c>
      <c r="I64" s="32">
        <f t="shared" si="1"/>
        <v>0</v>
      </c>
      <c r="J64" s="404" t="str">
        <f t="shared" si="2"/>
        <v/>
      </c>
      <c r="K64" s="491">
        <f>IFERROR(AVERAGE(Oktober!Z64,November!Z64,December!Z64)-AVERAGE(Augustus!Z64,September!Z64),"")</f>
        <v>0</v>
      </c>
      <c r="L64" s="492" t="str">
        <f>IFERROR(IF(Augustus!Z64=0,"",IF((AVERAGE(Oktober!Z64,November!Z64,December!Z64)/Augustus!Z64)&lt;0.8,"Let op",IF((AVERAGE(Oktober!Z64,November!Z64,December!Z64)/Augustus!Z64)&lt;0.9,"Lichte daling","Stabiel"))),"")</f>
        <v/>
      </c>
    </row>
    <row r="65" ht="22.5" customHeight="1">
      <c r="A65" s="331" t="str">
        <f>Rooster!A66</f>
        <v/>
      </c>
      <c r="B65" s="396" t="str">
        <f>Rooster!B66</f>
        <v/>
      </c>
      <c r="C65" s="11" t="str">
        <f>Rooster!D66</f>
        <v/>
      </c>
      <c r="D65" s="11" t="str">
        <f>Rooster!E66</f>
        <v/>
      </c>
      <c r="E65" s="329">
        <f>SUM(Augustus!E65+September!E65+Oktober!E64+November!E64+December!E65+Januari!E65+Februari!E65+Maart!E65+April!E65+Mei!E65+Juni!E65+Juli!E65)</f>
        <v>0</v>
      </c>
      <c r="F65" s="329">
        <f>AVERAGE(Augustus!Z65+September!Z65+Oktober!Z65+November!Z65+December!Z65+Januari!Z65+Februari!Z65+Maart!Z65+April!Z65+Mei!Z65+Juni!Z65+Juli!Z65)/12</f>
        <v>0</v>
      </c>
      <c r="G65" s="32">
        <f>SUM(Augustus!AA65+September!AA65+Oktober!AA65+November!AA65+December!AA65+Januari!AA65+Februari!AA65+Maart!AA65+April!AA65+Mei!AA65+Juni!AA65+Juli!AA65)</f>
        <v>0</v>
      </c>
      <c r="H65" s="32">
        <f>SUM(Jaarbetalingen!AF65+Augustus!AB65+September!AB65+Oktober!AB65+November!AB65+December!AB65+Januari!AB65+Februari!AB65+Maart!AB65+April!AB65+Mei!AB65+Juni!AB65+Juli!AB65)</f>
        <v>0</v>
      </c>
      <c r="I65" s="32">
        <f t="shared" si="1"/>
        <v>0</v>
      </c>
      <c r="J65" s="404" t="str">
        <f t="shared" si="2"/>
        <v/>
      </c>
      <c r="K65" s="491">
        <f>IFERROR(AVERAGE(Oktober!Z65,November!Z65,December!Z65)-AVERAGE(Augustus!Z65,September!Z65),"")</f>
        <v>0</v>
      </c>
      <c r="L65" s="492" t="str">
        <f>IFERROR(IF(Augustus!Z65=0,"",IF((AVERAGE(Oktober!Z65,November!Z65,December!Z65)/Augustus!Z65)&lt;0.8,"Let op",IF((AVERAGE(Oktober!Z65,November!Z65,December!Z65)/Augustus!Z65)&lt;0.9,"Lichte daling","Stabiel"))),"")</f>
        <v/>
      </c>
    </row>
    <row r="66" ht="22.5" customHeight="1">
      <c r="A66" s="331" t="str">
        <f>Rooster!A67</f>
        <v/>
      </c>
      <c r="B66" s="396" t="str">
        <f>Rooster!B67</f>
        <v/>
      </c>
      <c r="C66" s="11" t="str">
        <f>Rooster!D67</f>
        <v/>
      </c>
      <c r="D66" s="11" t="str">
        <f>Rooster!E67</f>
        <v/>
      </c>
      <c r="E66" s="329">
        <f>SUM(Augustus!E66+September!E66+Oktober!E65+November!E65+December!E66+Januari!E66+Februari!E66+Maart!E66+April!E66+Mei!E66+Juni!E66+Juli!E66)</f>
        <v>0</v>
      </c>
      <c r="F66" s="329">
        <f>AVERAGE(Augustus!Z66+September!Z66+Oktober!Z66+November!Z66+December!Z66+Januari!Z66+Februari!Z66+Maart!Z66+April!Z66+Mei!Z66+Juni!Z66+Juli!Z66)/12</f>
        <v>0</v>
      </c>
      <c r="G66" s="32">
        <f>SUM(Augustus!AA66+September!AA66+Oktober!AA66+November!AA66+December!AA66+Januari!AA66+Februari!AA66+Maart!AA66+April!AA66+Mei!AA66+Juni!AA66+Juli!AA66)</f>
        <v>0</v>
      </c>
      <c r="H66" s="32">
        <f>SUM(Jaarbetalingen!AF66+Augustus!AB66+September!AB66+Oktober!AB66+November!AB66+December!AB66+Januari!AB66+Februari!AB66+Maart!AB66+April!AB66+Mei!AB66+Juni!AB66+Juli!AB66)</f>
        <v>0</v>
      </c>
      <c r="I66" s="32">
        <f t="shared" si="1"/>
        <v>0</v>
      </c>
      <c r="J66" s="404" t="str">
        <f t="shared" si="2"/>
        <v/>
      </c>
      <c r="K66" s="491">
        <f>IFERROR(AVERAGE(Oktober!Z66,November!Z66,December!Z66)-AVERAGE(Augustus!Z66,September!Z66),"")</f>
        <v>0</v>
      </c>
      <c r="L66" s="492" t="str">
        <f>IFERROR(IF(Augustus!Z66=0,"",IF((AVERAGE(Oktober!Z66,November!Z66,December!Z66)/Augustus!Z66)&lt;0.8,"Let op",IF((AVERAGE(Oktober!Z66,November!Z66,December!Z66)/Augustus!Z66)&lt;0.9,"Lichte daling","Stabiel"))),"")</f>
        <v/>
      </c>
    </row>
    <row r="67" ht="22.5" customHeight="1">
      <c r="A67" s="331" t="str">
        <f>Rooster!A68</f>
        <v/>
      </c>
      <c r="B67" s="396" t="str">
        <f>Rooster!B68</f>
        <v/>
      </c>
      <c r="C67" s="11" t="str">
        <f>Rooster!D68</f>
        <v/>
      </c>
      <c r="D67" s="11" t="str">
        <f>Rooster!E68</f>
        <v/>
      </c>
      <c r="E67" s="329">
        <f>SUM(Augustus!E67+September!E67+Oktober!E66+November!E66+December!E67+Januari!E67+Februari!E67+Maart!E67+April!E67+Mei!E67+Juni!E67+Juli!E67)</f>
        <v>0</v>
      </c>
      <c r="F67" s="329">
        <f>AVERAGE(Augustus!Z67+September!Z67+Oktober!Z67+November!Z67+December!Z67+Januari!Z67+Februari!Z67+Maart!Z67+April!Z67+Mei!Z67+Juni!Z67+Juli!Z67)/12</f>
        <v>0</v>
      </c>
      <c r="G67" s="32">
        <f>SUM(Augustus!AA67+September!AA67+Oktober!AA67+November!AA67+December!AA67+Januari!AA67+Februari!AA67+Maart!AA67+April!AA67+Mei!AA67+Juni!AA67+Juli!AA67)</f>
        <v>0</v>
      </c>
      <c r="H67" s="32">
        <f>SUM(Jaarbetalingen!AF67+Augustus!AB67+September!AB67+Oktober!AB67+November!AB67+December!AB67+Januari!AB67+Februari!AB67+Maart!AB67+April!AB67+Mei!AB67+Juni!AB67+Juli!AB67)</f>
        <v>0</v>
      </c>
      <c r="I67" s="32">
        <f t="shared" si="1"/>
        <v>0</v>
      </c>
      <c r="J67" s="404" t="str">
        <f t="shared" si="2"/>
        <v/>
      </c>
      <c r="K67" s="491">
        <f>IFERROR(AVERAGE(Oktober!Z67,November!Z67,December!Z67)-AVERAGE(Augustus!Z67,September!Z67),"")</f>
        <v>0</v>
      </c>
      <c r="L67" s="492" t="str">
        <f>IFERROR(IF(Augustus!Z67=0,"",IF((AVERAGE(Oktober!Z67,November!Z67,December!Z67)/Augustus!Z67)&lt;0.8,"Let op",IF((AVERAGE(Oktober!Z67,November!Z67,December!Z67)/Augustus!Z67)&lt;0.9,"Lichte daling","Stabiel"))),"")</f>
        <v/>
      </c>
    </row>
    <row r="68" ht="22.5" customHeight="1">
      <c r="A68" s="331" t="str">
        <f>Rooster!A69</f>
        <v/>
      </c>
      <c r="B68" s="396" t="str">
        <f>Rooster!B69</f>
        <v/>
      </c>
      <c r="C68" s="11" t="str">
        <f>Rooster!D69</f>
        <v/>
      </c>
      <c r="D68" s="11" t="str">
        <f>Rooster!E69</f>
        <v/>
      </c>
      <c r="E68" s="329">
        <f>SUM(Augustus!E68+September!E68+Oktober!E67+November!E67+December!E68+Januari!E68+Februari!E68+Maart!E68+April!E68+Mei!E68+Juni!E68+Juli!E68)</f>
        <v>0</v>
      </c>
      <c r="F68" s="329">
        <f>AVERAGE(Augustus!Z68+September!Z68+Oktober!Z68+November!Z68+December!Z68+Januari!Z68+Februari!Z68+Maart!Z68+April!Z68+Mei!Z68+Juni!Z68+Juli!Z68)/12</f>
        <v>0</v>
      </c>
      <c r="G68" s="32">
        <f>SUM(Augustus!AA68+September!AA68+Oktober!AA68+November!AA68+December!AA68+Januari!AA68+Februari!AA68+Maart!AA68+April!AA68+Mei!AA68+Juni!AA68+Juli!AA68)</f>
        <v>0</v>
      </c>
      <c r="H68" s="32">
        <f>SUM(Jaarbetalingen!AF68+Augustus!AB68+September!AB68+Oktober!AB68+November!AB68+December!AB68+Januari!AB68+Februari!AB68+Maart!AB68+April!AB68+Mei!AB68+Juni!AB68+Juli!AB68)</f>
        <v>0</v>
      </c>
      <c r="I68" s="32">
        <f t="shared" si="1"/>
        <v>0</v>
      </c>
      <c r="J68" s="404" t="str">
        <f t="shared" si="2"/>
        <v/>
      </c>
      <c r="K68" s="491">
        <f>IFERROR(AVERAGE(Oktober!Z68,November!Z68,December!Z68)-AVERAGE(Augustus!Z68,September!Z68),"")</f>
        <v>0</v>
      </c>
      <c r="L68" s="492" t="str">
        <f>IFERROR(IF(Augustus!Z68=0,"",IF((AVERAGE(Oktober!Z68,November!Z68,December!Z68)/Augustus!Z68)&lt;0.8,"Let op",IF((AVERAGE(Oktober!Z68,November!Z68,December!Z68)/Augustus!Z68)&lt;0.9,"Lichte daling","Stabiel"))),"")</f>
        <v/>
      </c>
    </row>
    <row r="69" ht="22.5" customHeight="1">
      <c r="A69" s="331" t="str">
        <f>Rooster!A70</f>
        <v/>
      </c>
      <c r="B69" s="396" t="str">
        <f>Rooster!B70</f>
        <v/>
      </c>
      <c r="C69" s="11" t="str">
        <f>Rooster!D70</f>
        <v/>
      </c>
      <c r="D69" s="11" t="str">
        <f>Rooster!E70</f>
        <v/>
      </c>
      <c r="E69" s="329">
        <f>SUM(Augustus!E69+September!E69+Oktober!E68+November!E68+December!E69+Januari!E69+Februari!E69+Maart!E69+April!E69+Mei!E69+Juni!E69+Juli!E69)</f>
        <v>0</v>
      </c>
      <c r="F69" s="329">
        <f>AVERAGE(Augustus!Z69+September!Z69+Oktober!Z69+November!Z69+December!Z69+Januari!Z69+Februari!Z69+Maart!Z69+April!Z69+Mei!Z69+Juni!Z69+Juli!Z69)/12</f>
        <v>0</v>
      </c>
      <c r="G69" s="32">
        <f>SUM(Augustus!AA69+September!AA69+Oktober!AA69+November!AA69+December!AA69+Januari!AA69+Februari!AA69+Maart!AA69+April!AA69+Mei!AA69+Juni!AA69+Juli!AA69)</f>
        <v>0</v>
      </c>
      <c r="H69" s="32">
        <f>SUM(Jaarbetalingen!AF69+Augustus!AB69+September!AB69+Oktober!AB69+November!AB69+December!AB69+Januari!AB69+Februari!AB69+Maart!AB69+April!AB69+Mei!AB69+Juni!AB69+Juli!AB69)</f>
        <v>0</v>
      </c>
      <c r="I69" s="32">
        <f t="shared" si="1"/>
        <v>0</v>
      </c>
      <c r="J69" s="404" t="str">
        <f t="shared" si="2"/>
        <v/>
      </c>
      <c r="K69" s="491">
        <f>IFERROR(AVERAGE(Oktober!Z69,November!Z69,December!Z69)-AVERAGE(Augustus!Z69,September!Z69),"")</f>
        <v>0</v>
      </c>
      <c r="L69" s="492" t="str">
        <f>IFERROR(IF(Augustus!Z69=0,"",IF((AVERAGE(Oktober!Z69,November!Z69,December!Z69)/Augustus!Z69)&lt;0.8,"Let op",IF((AVERAGE(Oktober!Z69,November!Z69,December!Z69)/Augustus!Z69)&lt;0.9,"Lichte daling","Stabiel"))),"")</f>
        <v/>
      </c>
    </row>
    <row r="70" ht="22.5" customHeight="1">
      <c r="A70" s="331" t="str">
        <f>Rooster!A71</f>
        <v/>
      </c>
      <c r="B70" s="396" t="str">
        <f>Rooster!B71</f>
        <v/>
      </c>
      <c r="C70" s="11" t="str">
        <f>Rooster!D71</f>
        <v/>
      </c>
      <c r="D70" s="11" t="str">
        <f>Rooster!E71</f>
        <v/>
      </c>
      <c r="E70" s="329">
        <f>SUM(Augustus!E70+September!E70+Oktober!E69+November!E69+December!E70+Januari!E70+Februari!E70+Maart!E70+April!E70+Mei!E70+Juni!E70+Juli!E70)</f>
        <v>0</v>
      </c>
      <c r="F70" s="329">
        <f>AVERAGE(Augustus!Z70+September!Z70+Oktober!Z70+November!Z70+December!Z70+Januari!Z70+Februari!Z70+Maart!Z70+April!Z70+Mei!Z70+Juni!Z70+Juli!Z70)/12</f>
        <v>0</v>
      </c>
      <c r="G70" s="32">
        <f>SUM(Augustus!AA70+September!AA70+Oktober!AA70+November!AA70+December!AA70+Januari!AA70+Februari!AA70+Maart!AA70+April!AA70+Mei!AA70+Juni!AA70+Juli!AA70)</f>
        <v>0</v>
      </c>
      <c r="H70" s="32">
        <f>SUM(Jaarbetalingen!AF70+Augustus!AB70+September!AB70+Oktober!AB70+November!AB70+December!AB70+Januari!AB70+Februari!AB70+Maart!AB70+April!AB70+Mei!AB70+Juni!AB70+Juli!AB70)</f>
        <v>0</v>
      </c>
      <c r="I70" s="32">
        <f t="shared" si="1"/>
        <v>0</v>
      </c>
      <c r="J70" s="404" t="str">
        <f t="shared" si="2"/>
        <v/>
      </c>
      <c r="K70" s="491">
        <f>IFERROR(AVERAGE(Oktober!Z70,November!Z70,December!Z70)-AVERAGE(Augustus!Z70,September!Z70),"")</f>
        <v>0</v>
      </c>
      <c r="L70" s="492" t="str">
        <f>IFERROR(IF(Augustus!Z70=0,"",IF((AVERAGE(Oktober!Z70,November!Z70,December!Z70)/Augustus!Z70)&lt;0.8,"Let op",IF((AVERAGE(Oktober!Z70,November!Z70,December!Z70)/Augustus!Z70)&lt;0.9,"Lichte daling","Stabiel"))),"")</f>
        <v/>
      </c>
    </row>
    <row r="71" ht="22.5" customHeight="1">
      <c r="A71" s="331" t="str">
        <f>Rooster!A72</f>
        <v/>
      </c>
      <c r="B71" s="396" t="str">
        <f>Rooster!B72</f>
        <v/>
      </c>
      <c r="C71" s="11" t="str">
        <f>Rooster!D72</f>
        <v/>
      </c>
      <c r="D71" s="11" t="str">
        <f>Rooster!E72</f>
        <v/>
      </c>
      <c r="E71" s="329">
        <f>SUM(Augustus!E71+September!E71+Oktober!E70+November!E70+December!E71+Januari!E71+Februari!E71+Maart!E71+April!E71+Mei!E71+Juni!E71+Juli!E71)</f>
        <v>0</v>
      </c>
      <c r="F71" s="329">
        <f>AVERAGE(Augustus!Z71+September!Z71+Oktober!Z71+November!Z71+December!Z71+Januari!Z71+Februari!Z71+Maart!Z71+April!Z71+Mei!Z71+Juni!Z71+Juli!Z71)/12</f>
        <v>0</v>
      </c>
      <c r="G71" s="32">
        <f>SUM(Augustus!AA71+September!AA71+Oktober!AA71+November!AA71+December!AA71+Januari!AA71+Februari!AA71+Maart!AA71+April!AA71+Mei!AA71+Juni!AA71+Juli!AA71)</f>
        <v>0</v>
      </c>
      <c r="H71" s="32">
        <f>SUM(Jaarbetalingen!AF71+Augustus!AB71+September!AB71+Oktober!AB71+November!AB71+December!AB71+Januari!AB71+Februari!AB71+Maart!AB71+April!AB71+Mei!AB71+Juni!AB71+Juli!AB71)</f>
        <v>0</v>
      </c>
      <c r="I71" s="32">
        <f t="shared" si="1"/>
        <v>0</v>
      </c>
      <c r="J71" s="404" t="str">
        <f t="shared" si="2"/>
        <v/>
      </c>
      <c r="K71" s="491">
        <f>IFERROR(AVERAGE(Oktober!Z71,November!Z71,December!Z71)-AVERAGE(Augustus!Z71,September!Z71),"")</f>
        <v>0</v>
      </c>
      <c r="L71" s="492" t="str">
        <f>IFERROR(IF(Augustus!Z71=0,"",IF((AVERAGE(Oktober!Z71,November!Z71,December!Z71)/Augustus!Z71)&lt;0.8,"Let op",IF((AVERAGE(Oktober!Z71,November!Z71,December!Z71)/Augustus!Z71)&lt;0.9,"Lichte daling","Stabiel"))),"")</f>
        <v/>
      </c>
    </row>
    <row r="72" ht="22.5" customHeight="1">
      <c r="A72" s="331" t="str">
        <f>Rooster!A73</f>
        <v/>
      </c>
      <c r="B72" s="396" t="str">
        <f>Rooster!B73</f>
        <v/>
      </c>
      <c r="C72" s="11" t="str">
        <f>Rooster!D73</f>
        <v/>
      </c>
      <c r="D72" s="11" t="str">
        <f>Rooster!E73</f>
        <v/>
      </c>
      <c r="E72" s="329">
        <f>SUM(Augustus!E72+September!E72+Oktober!E71+November!E71+December!E72+Januari!E72+Februari!E72+Maart!E72+April!E72+Mei!E72+Juni!E72+Juli!E72)</f>
        <v>0</v>
      </c>
      <c r="F72" s="329">
        <f>AVERAGE(Augustus!Z72+September!Z72+Oktober!Z72+November!Z72+December!Z72+Januari!Z72+Februari!Z72+Maart!Z72+April!Z72+Mei!Z72+Juni!Z72+Juli!Z72)/12</f>
        <v>0</v>
      </c>
      <c r="G72" s="32">
        <f>SUM(Augustus!AA72+September!AA72+Oktober!AA72+November!AA72+December!AA72+Januari!AA72+Februari!AA72+Maart!AA72+April!AA72+Mei!AA72+Juni!AA72+Juli!AA72)</f>
        <v>0</v>
      </c>
      <c r="H72" s="32">
        <f>SUM(Jaarbetalingen!AF72+Augustus!AB72+September!AB72+Oktober!AB72+November!AB72+December!AB72+Januari!AB72+Februari!AB72+Maart!AB72+April!AB72+Mei!AB72+Juni!AB72+Juli!AB72)</f>
        <v>0</v>
      </c>
      <c r="I72" s="32">
        <f t="shared" si="1"/>
        <v>0</v>
      </c>
      <c r="J72" s="404" t="str">
        <f t="shared" si="2"/>
        <v/>
      </c>
      <c r="K72" s="491">
        <f>IFERROR(AVERAGE(Oktober!Z72,November!Z72,December!Z72)-AVERAGE(Augustus!Z72,September!Z72),"")</f>
        <v>0</v>
      </c>
      <c r="L72" s="492" t="str">
        <f>IFERROR(IF(Augustus!Z72=0,"",IF((AVERAGE(Oktober!Z72,November!Z72,December!Z72)/Augustus!Z72)&lt;0.8,"Let op",IF((AVERAGE(Oktober!Z72,November!Z72,December!Z72)/Augustus!Z72)&lt;0.9,"Lichte daling","Stabiel"))),"")</f>
        <v/>
      </c>
    </row>
    <row r="73" ht="22.5" customHeight="1">
      <c r="A73" s="331" t="str">
        <f>Rooster!A74</f>
        <v/>
      </c>
      <c r="B73" s="396" t="str">
        <f>Rooster!B74</f>
        <v/>
      </c>
      <c r="C73" s="11" t="str">
        <f>Rooster!D74</f>
        <v/>
      </c>
      <c r="D73" s="11" t="str">
        <f>Rooster!E74</f>
        <v/>
      </c>
      <c r="E73" s="329">
        <f>SUM(Augustus!E73+September!E73+Oktober!E72+November!E72+December!E73+Januari!E73+Februari!E73+Maart!E73+April!E73+Mei!E73+Juni!E73+Juli!E73)</f>
        <v>0</v>
      </c>
      <c r="F73" s="329">
        <f>AVERAGE(Augustus!Z73+September!Z73+Oktober!Z73+November!Z73+December!Z73+Januari!Z73+Februari!Z73+Maart!Z73+April!Z73+Mei!Z73+Juni!Z73+Juli!Z73)/12</f>
        <v>0</v>
      </c>
      <c r="G73" s="32">
        <f>SUM(Augustus!AA73+September!AA73+Oktober!AA73+November!AA73+December!AA73+Januari!AA73+Februari!AA73+Maart!AA73+April!AA73+Mei!AA73+Juni!AA73+Juli!AA73)</f>
        <v>0</v>
      </c>
      <c r="H73" s="32">
        <f>SUM(Jaarbetalingen!AF73+Augustus!AB73+September!AB73+Oktober!AB73+November!AB73+December!AB73+Januari!AB73+Februari!AB73+Maart!AB73+April!AB73+Mei!AB73+Juni!AB73+Juli!AB73)</f>
        <v>0</v>
      </c>
      <c r="I73" s="32">
        <f t="shared" si="1"/>
        <v>0</v>
      </c>
      <c r="J73" s="404" t="str">
        <f t="shared" si="2"/>
        <v/>
      </c>
      <c r="K73" s="491">
        <f>IFERROR(AVERAGE(Oktober!Z73,November!Z73,December!Z73)-AVERAGE(Augustus!Z73,September!Z73),"")</f>
        <v>0</v>
      </c>
      <c r="L73" s="492" t="str">
        <f>IFERROR(IF(Augustus!Z73=0,"",IF((AVERAGE(Oktober!Z73,November!Z73,December!Z73)/Augustus!Z73)&lt;0.8,"Let op",IF((AVERAGE(Oktober!Z73,November!Z73,December!Z73)/Augustus!Z73)&lt;0.9,"Lichte daling","Stabiel"))),"")</f>
        <v/>
      </c>
    </row>
    <row r="74" ht="22.5" customHeight="1">
      <c r="A74" s="331" t="str">
        <f>Rooster!A75</f>
        <v/>
      </c>
      <c r="B74" s="396" t="str">
        <f>Rooster!B75</f>
        <v/>
      </c>
      <c r="C74" s="11" t="str">
        <f>Rooster!D75</f>
        <v/>
      </c>
      <c r="D74" s="11" t="str">
        <f>Rooster!E75</f>
        <v/>
      </c>
      <c r="E74" s="329">
        <f>SUM(Augustus!E74+September!E74+Oktober!E73+November!E73+December!E74+Januari!E74+Februari!E74+Maart!E74+April!E74+Mei!E74+Juni!E74+Juli!E74)</f>
        <v>0</v>
      </c>
      <c r="F74" s="329">
        <f>AVERAGE(Augustus!Z74+September!Z74+Oktober!Z74+November!Z74+December!Z74+Januari!Z74+Februari!Z74+Maart!Z74+April!Z74+Mei!Z74+Juni!Z74+Juli!Z74)/12</f>
        <v>0</v>
      </c>
      <c r="G74" s="32">
        <f>SUM(Augustus!AA74+September!AA74+Oktober!AA74+November!AA74+December!AA74+Januari!AA74+Februari!AA74+Maart!AA74+April!AA74+Mei!AA74+Juni!AA74+Juli!AA74)</f>
        <v>0</v>
      </c>
      <c r="H74" s="32">
        <f>SUM(Jaarbetalingen!AF74+Augustus!AB74+September!AB74+Oktober!AB74+November!AB74+December!AB74+Januari!AB74+Februari!AB74+Maart!AB74+April!AB74+Mei!AB74+Juni!AB74+Juli!AB74)</f>
        <v>0</v>
      </c>
      <c r="I74" s="32">
        <f t="shared" si="1"/>
        <v>0</v>
      </c>
      <c r="J74" s="404" t="str">
        <f t="shared" si="2"/>
        <v/>
      </c>
      <c r="K74" s="491">
        <f>IFERROR(AVERAGE(Oktober!Z74,November!Z74,December!Z74)-AVERAGE(Augustus!Z74,September!Z74),"")</f>
        <v>0</v>
      </c>
      <c r="L74" s="492" t="str">
        <f>IFERROR(IF(Augustus!Z74=0,"",IF((AVERAGE(Oktober!Z74,November!Z74,December!Z74)/Augustus!Z74)&lt;0.8,"Let op",IF((AVERAGE(Oktober!Z74,November!Z74,December!Z74)/Augustus!Z74)&lt;0.9,"Lichte daling","Stabiel"))),"")</f>
        <v/>
      </c>
    </row>
    <row r="75" ht="22.5" customHeight="1">
      <c r="A75" s="331" t="str">
        <f>Rooster!A76</f>
        <v/>
      </c>
      <c r="B75" s="396" t="str">
        <f>Rooster!B76</f>
        <v/>
      </c>
      <c r="C75" s="11" t="str">
        <f>Rooster!D76</f>
        <v/>
      </c>
      <c r="D75" s="11" t="str">
        <f>Rooster!E76</f>
        <v/>
      </c>
      <c r="E75" s="329">
        <f>SUM(Augustus!E75+September!E75+Oktober!E74+November!E74+December!E75+Januari!E75+Februari!E75+Maart!E75+April!E75+Mei!E75+Juni!E75+Juli!E75)</f>
        <v>0</v>
      </c>
      <c r="F75" s="329">
        <f>AVERAGE(Augustus!Z75+September!Z75+Oktober!Z75+November!Z75+December!Z75+Januari!Z75+Februari!Z75+Maart!Z75+April!Z75+Mei!Z75+Juni!Z75+Juli!Z75)/12</f>
        <v>0</v>
      </c>
      <c r="G75" s="32">
        <f>SUM(Augustus!AA75+September!AA75+Oktober!AA75+November!AA75+December!AA75+Januari!AA75+Februari!AA75+Maart!AA75+April!AA75+Mei!AA75+Juni!AA75+Juli!AA75)</f>
        <v>0</v>
      </c>
      <c r="H75" s="32">
        <f>SUM(Jaarbetalingen!AF75+Augustus!AB75+September!AB75+Oktober!AB74+November!AB74+December!AB75+Januari!AB75+Februari!AB75+Maart!AB75+April!AB75+Mei!AB75+Juni!AB75+Juli!AB75)</f>
        <v>0</v>
      </c>
      <c r="I75" s="32">
        <f t="shared" si="1"/>
        <v>0</v>
      </c>
      <c r="J75" s="404" t="str">
        <f t="shared" si="2"/>
        <v/>
      </c>
      <c r="K75" s="491">
        <f>IFERROR(AVERAGE(Oktober!Z75,November!Z75,December!Z75)-AVERAGE(Augustus!Z75,September!Z75),"")</f>
        <v>0</v>
      </c>
      <c r="L75" s="492" t="str">
        <f>IFERROR(IF(Augustus!Z75=0,"",IF((AVERAGE(Oktober!Z75,November!Z75,December!Z75)/Augustus!Z75)&lt;0.8,"Let op",IF((AVERAGE(Oktober!Z75,November!Z75,December!Z75)/Augustus!Z75)&lt;0.9,"Lichte daling","Stabiel"))),"")</f>
        <v/>
      </c>
    </row>
    <row r="76" ht="22.5" customHeight="1">
      <c r="A76" s="331" t="str">
        <f>Rooster!A77</f>
        <v/>
      </c>
      <c r="B76" s="396" t="str">
        <f>Rooster!B77</f>
        <v/>
      </c>
      <c r="C76" s="11" t="str">
        <f>Rooster!D77</f>
        <v/>
      </c>
      <c r="D76" s="11" t="str">
        <f>Rooster!E77</f>
        <v/>
      </c>
      <c r="E76" s="329">
        <f>SUM(Augustus!E76+September!E76+Oktober!E75+November!E75+December!E76+Januari!E76+Februari!E76+Maart!E76+April!E76+Mei!E76+Juni!E76+Juli!E76)</f>
        <v>0</v>
      </c>
      <c r="F76" s="329">
        <f>AVERAGE(Augustus!Z76+September!Z76+Oktober!Z76+November!Z76+December!Z76+Januari!Z76+Februari!Z76+Maart!Z76+April!Z76+Mei!Z76+Juni!Z76+Juli!Z76)/12</f>
        <v>0</v>
      </c>
      <c r="G76" s="32">
        <f>SUM(Augustus!AA76+September!AA76+Oktober!AA76+November!AA76+December!AA76+Januari!AA76+Februari!AA76+Maart!AA76+April!AA76+Mei!AA76+Juni!AA76+Juli!AA76)</f>
        <v>0</v>
      </c>
      <c r="H76" s="32">
        <f>SUM(Jaarbetalingen!AF76+Augustus!AB76+September!AB76+Oktober!AB75+November!AB75+December!AB76+Januari!AB76+Februari!AB76+Maart!AB76+April!AB76+Mei!AB76+Juni!AB76+Juli!AB76)</f>
        <v>0</v>
      </c>
      <c r="I76" s="32">
        <f t="shared" si="1"/>
        <v>0</v>
      </c>
      <c r="J76" s="404" t="str">
        <f t="shared" si="2"/>
        <v/>
      </c>
      <c r="K76" s="491">
        <f>IFERROR(AVERAGE(Oktober!Z76,November!Z76,December!Z76)-AVERAGE(Augustus!Z76,September!Z76),"")</f>
        <v>0</v>
      </c>
      <c r="L76" s="492" t="str">
        <f>IFERROR(IF(Augustus!Z76=0,"",IF((AVERAGE(Oktober!Z76,November!Z76,December!Z76)/Augustus!Z76)&lt;0.8,"Let op",IF((AVERAGE(Oktober!Z76,November!Z76,December!Z76)/Augustus!Z76)&lt;0.9,"Lichte daling","Stabiel"))),"")</f>
        <v/>
      </c>
    </row>
    <row r="77" ht="22.5" customHeight="1">
      <c r="A77" s="331" t="str">
        <f>Rooster!A78</f>
        <v/>
      </c>
      <c r="B77" s="396" t="str">
        <f>Rooster!B78</f>
        <v/>
      </c>
      <c r="C77" s="11" t="str">
        <f>Rooster!D78</f>
        <v/>
      </c>
      <c r="D77" s="11" t="str">
        <f>Rooster!E78</f>
        <v/>
      </c>
      <c r="E77" s="329">
        <f>SUM(Augustus!E77+September!E77+Oktober!E76+November!E76+December!E77+Januari!E77+Februari!E77+Maart!E77+April!E77+Mei!E77+Juni!E77+Juli!E77)</f>
        <v>0</v>
      </c>
      <c r="F77" s="329">
        <f>AVERAGE(Augustus!Z77+September!Z77+Oktober!Z77+November!Z77+December!Z77+Januari!Z77+Februari!Z77+Maart!Z77+April!Z77+Mei!Z77+Juni!Z77+Juli!Z77)/12</f>
        <v>0</v>
      </c>
      <c r="G77" s="32">
        <f>SUM(Augustus!AA77+September!AA77+Oktober!AA77+November!AA77+December!AA77+Januari!AA77+Februari!AA77+Maart!AA77+April!AA77+Mei!AA77+Juni!AA77+Juli!AA77)</f>
        <v>0</v>
      </c>
      <c r="H77" s="32">
        <f>SUM(Jaarbetalingen!AF77+Augustus!AB77+September!AB77+Oktober!AB76+November!AB76+December!AB77+Januari!AB77+Februari!AB77+Maart!AB77+April!AB77+Mei!AB77+Juni!AB77+Juli!AB77)</f>
        <v>0</v>
      </c>
      <c r="I77" s="32">
        <f t="shared" si="1"/>
        <v>0</v>
      </c>
      <c r="J77" s="404" t="str">
        <f t="shared" si="2"/>
        <v/>
      </c>
      <c r="K77" s="491">
        <f>IFERROR(AVERAGE(Oktober!Z77,November!Z77,December!Z77)-AVERAGE(Augustus!Z77,September!Z77),"")</f>
        <v>0</v>
      </c>
      <c r="L77" s="492" t="str">
        <f>IFERROR(IF(Augustus!Z77=0,"",IF((AVERAGE(Oktober!Z77,November!Z77,December!Z77)/Augustus!Z77)&lt;0.8,"Let op",IF((AVERAGE(Oktober!Z77,November!Z77,December!Z77)/Augustus!Z77)&lt;0.9,"Lichte daling","Stabiel"))),"")</f>
        <v/>
      </c>
    </row>
    <row r="78" ht="22.5" customHeight="1">
      <c r="A78" s="331" t="str">
        <f>Rooster!A79</f>
        <v/>
      </c>
      <c r="B78" s="396" t="str">
        <f>Rooster!B79</f>
        <v/>
      </c>
      <c r="C78" s="11" t="str">
        <f>Rooster!D79</f>
        <v/>
      </c>
      <c r="D78" s="11" t="str">
        <f>Rooster!E79</f>
        <v/>
      </c>
      <c r="E78" s="329">
        <f>SUM(Augustus!E78+September!E78+Oktober!E77+November!E77+December!E78+Januari!E78+Februari!E78+Maart!E78+April!E78+Mei!E78+Juni!E78+Juli!E78)</f>
        <v>0</v>
      </c>
      <c r="F78" s="329">
        <f>AVERAGE(Augustus!Z78+September!Z78+Oktober!Z77+November!Z77+December!Z78+Januari!Z78+Februari!Z78+Maart!Z78+April!Z78+Mei!Z78+Juni!Z78+Juli!Z78)/12</f>
        <v>0</v>
      </c>
      <c r="G78" s="32">
        <f>SUM(Augustus!AA78+September!AA78+Oktober!AA78+November!AA78+December!AA78+Januari!AA78+Februari!AA78+Maart!AA78+April!AA78+Mei!AA78+Juni!AA78+Juli!AA78)</f>
        <v>0</v>
      </c>
      <c r="H78" s="32">
        <f>SUM(Jaarbetalingen!AF78+Augustus!AB78+September!AB78+Oktober!AB77+November!AB77+December!AB78+Januari!AB78+Februari!AB78+Maart!AB78+April!AB78+Mei!AB78+Juni!AB78+Juli!AB78)</f>
        <v>0</v>
      </c>
      <c r="I78" s="32">
        <f t="shared" si="1"/>
        <v>0</v>
      </c>
      <c r="J78" s="404" t="str">
        <f t="shared" si="2"/>
        <v/>
      </c>
      <c r="K78" s="491">
        <f>IFERROR(AVERAGE(Oktober!Z78,November!Z78,December!Z78)-AVERAGE(Augustus!Z78,September!Z78),"")</f>
        <v>0</v>
      </c>
      <c r="L78" s="492" t="str">
        <f>IFERROR(IF(Augustus!Z78=0,"",IF((AVERAGE(Oktober!Z78,November!Z78,December!Z78)/Augustus!Z78)&lt;0.8,"Let op",IF((AVERAGE(Oktober!Z78,November!Z78,December!Z78)/Augustus!Z78)&lt;0.9,"Lichte daling","Stabiel"))),"")</f>
        <v/>
      </c>
    </row>
    <row r="79" ht="22.5" customHeight="1">
      <c r="A79" s="331" t="str">
        <f>Rooster!A80</f>
        <v/>
      </c>
      <c r="B79" s="396" t="str">
        <f>Rooster!B80</f>
        <v/>
      </c>
      <c r="C79" s="11" t="str">
        <f>Rooster!D80</f>
        <v/>
      </c>
      <c r="D79" s="11" t="str">
        <f>Rooster!E80</f>
        <v/>
      </c>
      <c r="E79" s="329">
        <f>SUM(Augustus!E79+September!E79+Oktober!E78+November!E78+December!E79+Januari!E79+Februari!E79+Maart!E79+April!E79+Mei!E79+Juni!E79+Juli!E79)</f>
        <v>0</v>
      </c>
      <c r="F79" s="329">
        <f>AVERAGE(Augustus!Z79+September!Z79+Oktober!Z78+November!Z78+December!Z79+Januari!Z79+Februari!Z79+Maart!Z79+April!Z79+Mei!Z79+Juni!Z79+Juli!Z79)/12</f>
        <v>0</v>
      </c>
      <c r="G79" s="32">
        <f>SUM(Augustus!AA79+September!AA79+Oktober!AA78+November!AA78+December!AA79+Januari!AA79+Februari!AA79+Maart!AA79+April!AA79+Mei!AA79+Juni!AA79+Juli!AA79)</f>
        <v>0</v>
      </c>
      <c r="H79" s="32">
        <f>SUM(Jaarbetalingen!AF79+Augustus!AB79+September!AB79+Oktober!AB78+November!AB78+December!AB79+Januari!AB79+Februari!AB79+Maart!AB79+April!AB79+Mei!AB79+Juni!AB79+Juli!AB79)</f>
        <v>0</v>
      </c>
      <c r="I79" s="32">
        <f t="shared" si="1"/>
        <v>0</v>
      </c>
      <c r="J79" s="404" t="str">
        <f t="shared" si="2"/>
        <v/>
      </c>
      <c r="K79" s="491">
        <f>IFERROR(AVERAGE(Oktober!Z79,November!Z79,December!Z79)-AVERAGE(Augustus!Z79,September!Z79),"")</f>
        <v>0</v>
      </c>
      <c r="L79" s="492" t="str">
        <f>IFERROR(IF(Augustus!Z79=0,"",IF((AVERAGE(Oktober!Z79,November!Z79,December!Z79)/Augustus!Z79)&lt;0.8,"Let op",IF((AVERAGE(Oktober!Z79,November!Z79,December!Z79)/Augustus!Z79)&lt;0.9,"Lichte daling","Stabiel"))),"")</f>
        <v/>
      </c>
    </row>
    <row r="80" ht="22.5" customHeight="1">
      <c r="A80" s="331" t="str">
        <f>Rooster!A81</f>
        <v/>
      </c>
      <c r="B80" s="396" t="str">
        <f>Rooster!B81</f>
        <v/>
      </c>
      <c r="C80" s="11" t="str">
        <f>Rooster!D81</f>
        <v/>
      </c>
      <c r="D80" s="11" t="str">
        <f>Rooster!E81</f>
        <v/>
      </c>
      <c r="E80" s="329">
        <f>SUM(Augustus!E80+September!E80+Oktober!E79+November!E79+December!E80+Januari!E80+Februari!E80+Maart!E80+April!E80+Mei!E80+Juni!E80+Juli!E80)</f>
        <v>0</v>
      </c>
      <c r="F80" s="329">
        <f>AVERAGE(Augustus!Z80+September!Z80+Oktober!Z79+November!Z79+December!Z80+Januari!Z80+Februari!Z80+Maart!Z80+April!Z80+Mei!Z80+Juni!Z80+Juli!Z80)/12</f>
        <v>0</v>
      </c>
      <c r="G80" s="32">
        <f>SUM(Augustus!AA80+September!AA80+Oktober!AA79+November!AA79+December!AA80+Januari!AA80+Februari!AA80+Maart!AA80+April!AA80+Mei!AA80+Juni!AA80+Juli!AA80)</f>
        <v>0</v>
      </c>
      <c r="H80" s="32">
        <f>SUM(Jaarbetalingen!AF80+Augustus!AB80+September!AB80+Oktober!AB79+November!AB79+December!AB80+Januari!AB80+Februari!AB80+Maart!AB80+April!AB80+Mei!AB80+Juni!AB80+Juli!AB80)</f>
        <v>0</v>
      </c>
      <c r="I80" s="32">
        <f t="shared" si="1"/>
        <v>0</v>
      </c>
      <c r="J80" s="404" t="str">
        <f t="shared" si="2"/>
        <v/>
      </c>
      <c r="K80" s="491">
        <f>IFERROR(AVERAGE(Oktober!Z80,November!Z80,December!Z80)-AVERAGE(Augustus!Z80,September!Z80),"")</f>
        <v>0</v>
      </c>
      <c r="L80" s="492" t="str">
        <f>IFERROR(IF(Augustus!Z80=0,"",IF((AVERAGE(Oktober!Z80,November!Z80,December!Z80)/Augustus!Z80)&lt;0.8,"Let op",IF((AVERAGE(Oktober!Z80,November!Z80,December!Z80)/Augustus!Z80)&lt;0.9,"Lichte daling","Stabiel"))),"")</f>
        <v/>
      </c>
    </row>
    <row r="81" ht="22.5" customHeight="1">
      <c r="A81" s="331" t="str">
        <f>Rooster!A82</f>
        <v/>
      </c>
      <c r="B81" s="396" t="str">
        <f>Rooster!B82</f>
        <v/>
      </c>
      <c r="C81" s="11" t="str">
        <f>Rooster!D82</f>
        <v/>
      </c>
      <c r="D81" s="11" t="str">
        <f>Rooster!E82</f>
        <v/>
      </c>
      <c r="E81" s="329">
        <f>SUM(Augustus!E81+September!E81+Oktober!E80+November!E80+December!E81+Januari!E81+Februari!E81+Maart!E81+April!E81+Mei!E81+Juni!E81+Juli!E81)</f>
        <v>0</v>
      </c>
      <c r="F81" s="329">
        <f>AVERAGE(Augustus!Z81+September!Z81+Oktober!Z80+November!Z80+December!Z81+Januari!Z81+Februari!Z81+Maart!Z81+April!Z81+Mei!Z81+Juni!Z81+Juli!Z81)/12</f>
        <v>0</v>
      </c>
      <c r="G81" s="32">
        <f>SUM(Augustus!AA81+September!AA81+Oktober!AA80+November!AA80+December!AA81+Januari!AA81+Februari!AA81+Maart!AA81+April!AA81+Mei!AA81+Juni!AA81+Juli!AA81)</f>
        <v>0</v>
      </c>
      <c r="H81" s="32">
        <f>SUM(Jaarbetalingen!AF81+Augustus!AB81+September!AB81+Oktober!AB80+November!AB80+December!AB81+Januari!AB81+Februari!AB81+Maart!AB81+April!AB81+Mei!AB81+Juni!AB81+Juli!AB81)</f>
        <v>0</v>
      </c>
      <c r="I81" s="32">
        <f t="shared" si="1"/>
        <v>0</v>
      </c>
      <c r="J81" s="404" t="str">
        <f t="shared" si="2"/>
        <v/>
      </c>
      <c r="K81" s="491">
        <f>IFERROR(AVERAGE(Oktober!Z81,November!Z81,December!Z81)-AVERAGE(Augustus!Z81,September!Z81),"")</f>
        <v>0</v>
      </c>
      <c r="L81" s="492" t="str">
        <f>IFERROR(IF(Augustus!Z81=0,"",IF((AVERAGE(Oktober!Z81,November!Z81,December!Z81)/Augustus!Z81)&lt;0.8,"Let op",IF((AVERAGE(Oktober!Z81,November!Z81,December!Z81)/Augustus!Z81)&lt;0.9,"Lichte daling","Stabiel"))),"")</f>
        <v/>
      </c>
    </row>
    <row r="82" ht="22.5" customHeight="1">
      <c r="A82" s="331" t="str">
        <f>Rooster!A83</f>
        <v/>
      </c>
      <c r="B82" s="396" t="str">
        <f>Rooster!B83</f>
        <v/>
      </c>
      <c r="C82" s="11" t="str">
        <f>Rooster!D83</f>
        <v/>
      </c>
      <c r="D82" s="11" t="str">
        <f>Rooster!E83</f>
        <v/>
      </c>
      <c r="E82" s="329">
        <f>SUM(Augustus!E82+September!E82+Oktober!E81+November!E81+December!E82+Januari!E82+Februari!E82+Maart!E82+April!E82+Mei!E82+Juni!E82+Juli!E82)</f>
        <v>0</v>
      </c>
      <c r="F82" s="329">
        <f>AVERAGE(Augustus!Z82+September!Z82+Oktober!Z81+November!Z81+December!Z82+Januari!Z82+Februari!Z82+Maart!Z82+April!Z82+Mei!Z82+Juni!Z82+Juli!Z82)/12</f>
        <v>0</v>
      </c>
      <c r="G82" s="32">
        <f>SUM(Augustus!AA82+September!AA82+Oktober!AA81+November!AA81+December!AA82+Januari!AA82+Februari!AA82+Maart!AA82+April!AA82+Mei!AA82+Juni!AA82+Juli!AA82)</f>
        <v>0</v>
      </c>
      <c r="H82" s="32">
        <f>SUM(Jaarbetalingen!AF82+Augustus!AB82+September!AB82+Oktober!AB81+November!AB81+December!AB82+Januari!AB82+Februari!AB82+Maart!AB82+April!AB82+Mei!AB82+Juni!AB82+Juli!AB82)</f>
        <v>0</v>
      </c>
      <c r="I82" s="32">
        <f t="shared" si="1"/>
        <v>0</v>
      </c>
      <c r="J82" s="404" t="str">
        <f t="shared" si="2"/>
        <v/>
      </c>
      <c r="K82" s="491">
        <f>IFERROR(AVERAGE(Oktober!Z82,November!Z82,December!Z82)-AVERAGE(Augustus!Z82,September!Z82),"")</f>
        <v>0</v>
      </c>
      <c r="L82" s="492" t="str">
        <f>IFERROR(IF(Augustus!Z82=0,"",IF((AVERAGE(Oktober!Z82,November!Z82,December!Z82)/Augustus!Z82)&lt;0.8,"Let op",IF((AVERAGE(Oktober!Z82,November!Z82,December!Z82)/Augustus!Z82)&lt;0.9,"Lichte daling","Stabiel"))),"")</f>
        <v/>
      </c>
    </row>
    <row r="83" ht="22.5" customHeight="1">
      <c r="A83" s="331" t="str">
        <f>Rooster!A84</f>
        <v/>
      </c>
      <c r="B83" s="396" t="str">
        <f>Rooster!B84</f>
        <v/>
      </c>
      <c r="C83" s="11" t="str">
        <f>Rooster!D84</f>
        <v/>
      </c>
      <c r="D83" s="11" t="str">
        <f>Rooster!E84</f>
        <v/>
      </c>
      <c r="E83" s="329">
        <f>SUM(Augustus!E83+September!E83+Oktober!E82+November!E82+December!E83+Januari!E83+Februari!E83+Maart!E83+April!E83+Mei!E83+Juni!E83+Juli!E83)</f>
        <v>0</v>
      </c>
      <c r="F83" s="329">
        <f>AVERAGE(Augustus!Z83+September!Z83+Oktober!Z82+November!Z82+December!Z83+Januari!Z83+Februari!Z83+Maart!Z83+April!Z83+Mei!Z83+Juni!Z83+Juli!Z83)/12</f>
        <v>0</v>
      </c>
      <c r="G83" s="32">
        <f>SUM(Augustus!AA83+September!AA83+Oktober!AA82+November!AA82+December!AA83+Januari!AA83+Februari!AA83+Maart!AA83+April!AA83+Mei!AA83+Juni!AA83+Juli!AA83)</f>
        <v>0</v>
      </c>
      <c r="H83" s="32">
        <f>SUM(Jaarbetalingen!AF83+Augustus!AB83+September!AB83+Oktober!AB82+November!AB82+December!AB83+Januari!AB83+Februari!AB83+Maart!AB83+April!AB83+Mei!AB83+Juni!AB83+Juli!AB83)</f>
        <v>0</v>
      </c>
      <c r="I83" s="32">
        <f t="shared" si="1"/>
        <v>0</v>
      </c>
      <c r="J83" s="404" t="str">
        <f t="shared" si="2"/>
        <v/>
      </c>
      <c r="K83" s="491">
        <f>IFERROR(AVERAGE(Oktober!Z83,November!Z83,December!Z83)-AVERAGE(Augustus!Z83,September!Z83),"")</f>
        <v>0</v>
      </c>
      <c r="L83" s="492" t="str">
        <f>IFERROR(IF(Augustus!Z83=0,"",IF((AVERAGE(Oktober!Z83,November!Z83,December!Z83)/Augustus!Z83)&lt;0.8,"Let op",IF((AVERAGE(Oktober!Z83,November!Z83,December!Z83)/Augustus!Z83)&lt;0.9,"Lichte daling","Stabiel"))),"")</f>
        <v/>
      </c>
    </row>
    <row r="84" ht="22.5" customHeight="1">
      <c r="A84" s="331" t="str">
        <f>Rooster!A85</f>
        <v/>
      </c>
      <c r="B84" s="396" t="str">
        <f>Rooster!B85</f>
        <v/>
      </c>
      <c r="C84" s="11" t="str">
        <f>Rooster!D85</f>
        <v/>
      </c>
      <c r="D84" s="11" t="str">
        <f>Rooster!E85</f>
        <v/>
      </c>
      <c r="E84" s="329">
        <f>SUM(Augustus!E84+September!E84+Oktober!E83+November!E83+December!E84+Januari!E84+Februari!E84+Maart!E84+April!E84+Mei!E84+Juni!E84+Juli!E84)</f>
        <v>0</v>
      </c>
      <c r="F84" s="329">
        <f>AVERAGE(Augustus!Z84+September!Z84+Oktober!Z83+November!Z83+December!Z84+Januari!Z84+Februari!Z84+Maart!Z84+April!Z84+Mei!Z84+Juni!Z84+Juli!Z84)/12</f>
        <v>0</v>
      </c>
      <c r="G84" s="32">
        <f>SUM(Augustus!AA84+September!AA84+Oktober!AA83+November!AA83+December!AA84+Januari!AA84+Februari!AA84+Maart!AA84+April!AA84+Mei!AA84+Juni!AA84+Juli!AA84)</f>
        <v>0</v>
      </c>
      <c r="H84" s="32">
        <f>SUM(Jaarbetalingen!AF84+Augustus!AB84+September!AB84+Oktober!AB83+November!AB83+December!AB84+Januari!AB84+Februari!AB84+Maart!AB84+April!AB84+Mei!AB84+Juni!AB84+Juli!AB84)</f>
        <v>0</v>
      </c>
      <c r="I84" s="32">
        <f t="shared" si="1"/>
        <v>0</v>
      </c>
      <c r="J84" s="404" t="str">
        <f t="shared" si="2"/>
        <v/>
      </c>
      <c r="K84" s="491">
        <f>IFERROR(AVERAGE(Oktober!Z84,November!Z84,December!Z84)-AVERAGE(Augustus!Z84,September!Z84),"")</f>
        <v>0</v>
      </c>
      <c r="L84" s="492" t="str">
        <f>IFERROR(IF(Augustus!Z84=0,"",IF((AVERAGE(Oktober!Z84,November!Z84,December!Z84)/Augustus!Z84)&lt;0.8,"Let op",IF((AVERAGE(Oktober!Z84,November!Z84,December!Z84)/Augustus!Z84)&lt;0.9,"Lichte daling","Stabiel"))),"")</f>
        <v/>
      </c>
    </row>
    <row r="85" ht="22.5" customHeight="1">
      <c r="A85" s="331" t="str">
        <f>Rooster!A86</f>
        <v/>
      </c>
      <c r="B85" s="396" t="str">
        <f>Rooster!B86</f>
        <v/>
      </c>
      <c r="C85" s="11" t="str">
        <f>Rooster!D86</f>
        <v/>
      </c>
      <c r="D85" s="11" t="str">
        <f>Rooster!E86</f>
        <v/>
      </c>
      <c r="E85" s="329">
        <f>SUM(Augustus!E85+September!E85+Oktober!E84+November!E84+December!E85+Januari!E85+Februari!E85+Maart!E85+April!E85+Mei!E85+Juni!E85+Juli!E85)</f>
        <v>0</v>
      </c>
      <c r="F85" s="329">
        <f>AVERAGE(Augustus!Z85+September!Z85+Oktober!Z84+November!Z84+December!Z85+Januari!Z85+Februari!Z85+Maart!Z85+April!Z85+Mei!Z85+Juni!Z85+Juli!Z85)/12</f>
        <v>0</v>
      </c>
      <c r="G85" s="32">
        <f>SUM(Augustus!AA85+September!AA85+Oktober!AA84+November!AA84+December!AA85+Januari!AA85+Februari!AA85+Maart!AA85+April!AA85+Mei!AA85+Juni!AA85+Juli!AA85)</f>
        <v>0</v>
      </c>
      <c r="H85" s="32">
        <f>SUM(Jaarbetalingen!AF85+Augustus!AB85+September!AB85+Oktober!AB84+November!AB84+December!AB85+Januari!AB85+Februari!AB85+Maart!AB85+April!AB85+Mei!AB85+Juni!AB85+Juli!AB85)</f>
        <v>0</v>
      </c>
      <c r="I85" s="32">
        <f t="shared" si="1"/>
        <v>0</v>
      </c>
      <c r="J85" s="404" t="str">
        <f t="shared" si="2"/>
        <v/>
      </c>
      <c r="K85" s="491">
        <f>IFERROR(AVERAGE(Oktober!Z85,November!Z85,December!Z85)-AVERAGE(Augustus!Z85,September!Z85),"")</f>
        <v>0</v>
      </c>
      <c r="L85" s="492" t="str">
        <f>IFERROR(IF(Augustus!Z85=0,"",IF((AVERAGE(Oktober!Z85,November!Z85,December!Z85)/Augustus!Z85)&lt;0.8,"Let op",IF((AVERAGE(Oktober!Z85,November!Z85,December!Z85)/Augustus!Z85)&lt;0.9,"Lichte daling","Stabiel"))),"")</f>
        <v/>
      </c>
    </row>
    <row r="86" ht="22.5" customHeight="1">
      <c r="A86" s="331" t="str">
        <f>Rooster!A87</f>
        <v/>
      </c>
      <c r="B86" s="396" t="str">
        <f>Rooster!B87</f>
        <v/>
      </c>
      <c r="C86" s="11" t="str">
        <f>Rooster!D87</f>
        <v/>
      </c>
      <c r="D86" s="11" t="str">
        <f>Rooster!E87</f>
        <v/>
      </c>
      <c r="E86" s="329">
        <f>SUM(Augustus!E86+September!E86+Oktober!E85+November!E85+December!E86+Januari!E86+Februari!E86+Maart!E86+April!E86+Mei!E86+Juni!E86+Juli!E86)</f>
        <v>0</v>
      </c>
      <c r="F86" s="329">
        <f>AVERAGE(Augustus!Z86+September!Z86+Oktober!Z85+November!Z85+December!Z86+Januari!Z86+Februari!Z86+Maart!Z86+April!Z86+Mei!Z86+Juni!Z86+Juli!Z86)/12</f>
        <v>0</v>
      </c>
      <c r="G86" s="32">
        <f>SUM(Augustus!AA86+September!AA86+Oktober!AA85+November!AA85+December!AA86+Januari!AA86+Februari!AA86+Maart!AA86+April!AA86+Mei!AA86+Juni!AA86+Juli!AA86)</f>
        <v>0</v>
      </c>
      <c r="H86" s="32">
        <f>SUM(Jaarbetalingen!AF86+Augustus!AB86+September!AB86+Oktober!AB85+November!AB85+December!AB86+Januari!AB86+Februari!AB86+Maart!AB86+April!AB86+Mei!AB86+Juni!AB86+Juli!AB86)</f>
        <v>0</v>
      </c>
      <c r="I86" s="32">
        <f t="shared" si="1"/>
        <v>0</v>
      </c>
      <c r="J86" s="404" t="str">
        <f t="shared" si="2"/>
        <v/>
      </c>
      <c r="K86" s="491">
        <f>IFERROR(AVERAGE(Oktober!Z86,November!Z86,December!Z86)-AVERAGE(Augustus!Z86,September!Z86),"")</f>
        <v>0</v>
      </c>
      <c r="L86" s="492" t="str">
        <f>IFERROR(IF(Augustus!Z86=0,"",IF((AVERAGE(Oktober!Z86,November!Z86,December!Z86)/Augustus!Z86)&lt;0.8,"Let op",IF((AVERAGE(Oktober!Z86,November!Z86,December!Z86)/Augustus!Z86)&lt;0.9,"Lichte daling","Stabiel"))),"")</f>
        <v/>
      </c>
    </row>
    <row r="87" ht="22.5" customHeight="1">
      <c r="A87" s="331" t="str">
        <f>Rooster!A88</f>
        <v/>
      </c>
      <c r="B87" s="396" t="str">
        <f>Rooster!B88</f>
        <v/>
      </c>
      <c r="C87" s="11" t="str">
        <f>Rooster!D88</f>
        <v/>
      </c>
      <c r="D87" s="11" t="str">
        <f>Rooster!E88</f>
        <v/>
      </c>
      <c r="E87" s="329">
        <f>SUM(Augustus!E87+September!E87+Oktober!E86+November!E86+December!E87+Januari!E87+Februari!E87+Maart!E87+April!E87+Mei!E87+Juni!E87+Juli!E87)</f>
        <v>0</v>
      </c>
      <c r="F87" s="329">
        <f>AVERAGE(Augustus!Z87+September!Z87+Oktober!Z86+November!Z86+December!Z87+Januari!Z87+Februari!Z87+Maart!Z87+April!Z87+Mei!Z87+Juni!Z87+Juli!Z87)/12</f>
        <v>0</v>
      </c>
      <c r="G87" s="32">
        <f>SUM(Augustus!AA87+September!AA87+Oktober!AA86+November!AA86+December!AA87+Januari!AA87+Februari!AA87+Maart!AA87+April!AA87+Mei!AA87+Juni!AA87+Juli!AA87)</f>
        <v>0</v>
      </c>
      <c r="H87" s="32">
        <f>SUM(Jaarbetalingen!AF87+Augustus!AB87+September!AB87+Oktober!AB86+November!AB86+December!AB87+Januari!AB87+Februari!AB87+Maart!AB87+April!AB87+Mei!AB87+Juni!AB87+Juli!AB87)</f>
        <v>0</v>
      </c>
      <c r="I87" s="32">
        <f t="shared" si="1"/>
        <v>0</v>
      </c>
      <c r="J87" s="404" t="str">
        <f t="shared" si="2"/>
        <v/>
      </c>
      <c r="K87" s="491">
        <f>IFERROR(AVERAGE(Oktober!Z87,November!Z87,December!Z87)-AVERAGE(Augustus!Z87,September!Z87),"")</f>
        <v>0</v>
      </c>
      <c r="L87" s="492" t="str">
        <f>IFERROR(IF(Augustus!Z87=0,"",IF((AVERAGE(Oktober!Z87,November!Z87,December!Z87)/Augustus!Z87)&lt;0.8,"Let op",IF((AVERAGE(Oktober!Z87,November!Z87,December!Z87)/Augustus!Z87)&lt;0.9,"Lichte daling","Stabiel"))),"")</f>
        <v/>
      </c>
    </row>
    <row r="88" ht="22.5" customHeight="1">
      <c r="A88" s="331" t="str">
        <f>Rooster!A89</f>
        <v/>
      </c>
      <c r="B88" s="396" t="str">
        <f>Rooster!B89</f>
        <v/>
      </c>
      <c r="C88" s="11" t="str">
        <f>Rooster!D89</f>
        <v/>
      </c>
      <c r="D88" s="11" t="str">
        <f>Rooster!E89</f>
        <v/>
      </c>
      <c r="E88" s="329">
        <f>SUM(Augustus!E88+September!E88+Oktober!E87+November!E87+December!E88+Januari!E88+Februari!E88+Maart!E88+April!E88+Mei!E88+Juni!E88+Juli!E88)</f>
        <v>0</v>
      </c>
      <c r="F88" s="329">
        <f>AVERAGE(Augustus!Z88+September!Z88+Oktober!Z87+November!Z87+December!Z88+Januari!Z88+Februari!Z88+Maart!Z88+April!Z88+Mei!Z88+Juni!Z88+Juli!Z88)/12</f>
        <v>0</v>
      </c>
      <c r="G88" s="32">
        <f>SUM(Augustus!AA88+September!AA88+Oktober!AA87+November!AA87+December!AA88+Januari!AA88+Februari!AA88+Maart!AA88+April!AA88+Mei!AA88+Juni!AA88+Juli!AA88)</f>
        <v>0</v>
      </c>
      <c r="H88" s="32">
        <f>SUM(Jaarbetalingen!AF88+Augustus!AB88+September!AB88+Oktober!AB87+November!AB87+December!AB88+Januari!AB88+Februari!AB88+Maart!AB88+April!AB88+Mei!AB88+Juni!AB88+Juli!AB88)</f>
        <v>0</v>
      </c>
      <c r="I88" s="32">
        <f t="shared" si="1"/>
        <v>0</v>
      </c>
      <c r="J88" s="404" t="str">
        <f t="shared" si="2"/>
        <v/>
      </c>
      <c r="K88" s="491">
        <f>IFERROR(AVERAGE(Oktober!Z88,November!Z88,December!Z88)-AVERAGE(Augustus!Z88,September!Z88),"")</f>
        <v>0</v>
      </c>
      <c r="L88" s="492" t="str">
        <f>IFERROR(IF(Augustus!Z88=0,"",IF((AVERAGE(Oktober!Z88,November!Z88,December!Z88)/Augustus!Z88)&lt;0.8,"Let op",IF((AVERAGE(Oktober!Z88,November!Z88,December!Z88)/Augustus!Z88)&lt;0.9,"Lichte daling","Stabiel"))),"")</f>
        <v/>
      </c>
    </row>
    <row r="89" ht="22.5" customHeight="1">
      <c r="A89" s="331" t="str">
        <f>Rooster!A90</f>
        <v/>
      </c>
      <c r="B89" s="396" t="str">
        <f>Rooster!B90</f>
        <v/>
      </c>
      <c r="C89" s="11" t="str">
        <f>Rooster!D90</f>
        <v/>
      </c>
      <c r="D89" s="11" t="str">
        <f>Rooster!E90</f>
        <v/>
      </c>
      <c r="E89" s="329">
        <f>SUM(Augustus!E89+September!E89+Oktober!E88+November!E88+December!E89+Januari!E89+Februari!E89+Maart!E89+April!E89+Mei!E89+Juni!E89+Juli!E89)</f>
        <v>0</v>
      </c>
      <c r="F89" s="329">
        <f>AVERAGE(Augustus!Z89+September!Z89+Oktober!Z88+November!Z88+December!Z89+Januari!Z89+Februari!Z89+Maart!Z89+April!Z89+Mei!Z89+Juni!Z89+Juli!Z89)/12</f>
        <v>0</v>
      </c>
      <c r="G89" s="32">
        <f>SUM(Augustus!AA89+September!AA89+Oktober!AA88+November!AA88+December!AA89+Januari!AA89+Februari!AA89+Maart!AA89+April!AA89+Mei!AA89+Juni!AA89+Juli!AA89)</f>
        <v>0</v>
      </c>
      <c r="H89" s="32">
        <f>SUM(Jaarbetalingen!AF89+Augustus!AB89+September!AB89+Oktober!AB88+November!AB88+December!AB89+Januari!AB89+Februari!AB89+Maart!AB89+April!AB89+Mei!AB89+Juni!AB89+Juli!AB89)</f>
        <v>0</v>
      </c>
      <c r="I89" s="32">
        <f t="shared" si="1"/>
        <v>0</v>
      </c>
      <c r="J89" s="404" t="str">
        <f t="shared" si="2"/>
        <v/>
      </c>
      <c r="K89" s="491">
        <f>IFERROR(AVERAGE(Oktober!Z89,November!Z89,December!Z89)-AVERAGE(Augustus!Z89,September!Z89),"")</f>
        <v>0</v>
      </c>
      <c r="L89" s="492" t="str">
        <f>IFERROR(IF(Augustus!Z89=0,"",IF((AVERAGE(Oktober!Z89,November!Z89,December!Z89)/Augustus!Z89)&lt;0.8,"Let op",IF((AVERAGE(Oktober!Z89,November!Z89,December!Z89)/Augustus!Z89)&lt;0.9,"Lichte daling","Stabiel"))),"")</f>
        <v/>
      </c>
    </row>
    <row r="90" ht="22.5" customHeight="1">
      <c r="A90" s="331" t="str">
        <f>Rooster!A91</f>
        <v/>
      </c>
      <c r="B90" s="396" t="str">
        <f>Rooster!B91</f>
        <v/>
      </c>
      <c r="C90" s="11" t="str">
        <f>Rooster!D91</f>
        <v/>
      </c>
      <c r="D90" s="11" t="str">
        <f>Rooster!E91</f>
        <v/>
      </c>
      <c r="E90" s="329">
        <f>SUM(Augustus!E90+September!E90+Oktober!E89+November!E89+December!E90+Januari!E90+Februari!E90+Maart!E90+April!E90+Mei!E90+Juni!E90+Juli!E90)</f>
        <v>0</v>
      </c>
      <c r="F90" s="329">
        <f>AVERAGE(Augustus!Z90+September!Z90+Oktober!Z89+November!Z89+December!Z90+Januari!Z90+Februari!Z90+Maart!Z90+April!Z90+Mei!Z90+Juni!Z90+Juli!Z90)/12</f>
        <v>0</v>
      </c>
      <c r="G90" s="32">
        <f>SUM(Augustus!AA90+September!AA90+Oktober!AA89+November!AA89+December!AA90+Januari!AA90+Februari!AA90+Maart!AA90+April!AA90+Mei!AA90+Juni!AA90+Juli!AA90)</f>
        <v>0</v>
      </c>
      <c r="H90" s="32">
        <f>SUM(Jaarbetalingen!AF90+Augustus!AB90+September!AB90+Oktober!AB89+November!AB89+December!AB90+Januari!AB90+Februari!AB90+Maart!AB90+April!AB90+Mei!AB90+Juni!AB90+Juli!AB90)</f>
        <v>0</v>
      </c>
      <c r="I90" s="32">
        <f t="shared" si="1"/>
        <v>0</v>
      </c>
      <c r="J90" s="404" t="str">
        <f t="shared" si="2"/>
        <v/>
      </c>
      <c r="K90" s="491">
        <f>IFERROR(AVERAGE(Oktober!Z90,November!Z90,December!Z90)-AVERAGE(Augustus!Z90,September!Z90),"")</f>
        <v>0</v>
      </c>
      <c r="L90" s="492" t="str">
        <f>IFERROR(IF(Augustus!Z90=0,"",IF((AVERAGE(Oktober!Z90,November!Z90,December!Z90)/Augustus!Z90)&lt;0.8,"Let op",IF((AVERAGE(Oktober!Z90,November!Z90,December!Z90)/Augustus!Z90)&lt;0.9,"Lichte daling","Stabiel"))),"")</f>
        <v/>
      </c>
    </row>
    <row r="91" ht="22.5" customHeight="1">
      <c r="A91" s="331" t="str">
        <f>Rooster!A92</f>
        <v/>
      </c>
      <c r="B91" s="396" t="str">
        <f>Rooster!B92</f>
        <v/>
      </c>
      <c r="C91" s="11" t="str">
        <f>Rooster!D92</f>
        <v/>
      </c>
      <c r="D91" s="11" t="str">
        <f>Rooster!E92</f>
        <v/>
      </c>
      <c r="E91" s="329">
        <f>SUM(Augustus!E91+September!E91+Oktober!E90+November!E90+December!E91+Januari!E91+Februari!E91+Maart!E91+April!E91+Mei!E91+Juni!E91+Juli!E91)</f>
        <v>0</v>
      </c>
      <c r="F91" s="329">
        <f>AVERAGE(Augustus!Z91+September!Z91+Oktober!Z90+November!Z90+December!Z91+Januari!Z91+Februari!Z91+Maart!Z91+April!Z91+Mei!Z91+Juni!Z91+Juli!Z91)/12</f>
        <v>0</v>
      </c>
      <c r="G91" s="32">
        <f>SUM(Augustus!AA91+September!AA91+Oktober!AA90+November!AA90+December!AA91+Januari!AA91+Februari!AA91+Maart!AA91+April!AA91+Mei!AA91+Juni!AA91+Juli!AA91)</f>
        <v>0</v>
      </c>
      <c r="H91" s="32">
        <f>SUM(Jaarbetalingen!AF91+Augustus!AB91+September!AB91+Oktober!AB90+November!AB90+December!AB91+Januari!AB91+Februari!AB91+Maart!AB91+April!AB91+Mei!AB91+Juni!AB91+Juli!AB91)</f>
        <v>0</v>
      </c>
      <c r="I91" s="32">
        <f t="shared" si="1"/>
        <v>0</v>
      </c>
      <c r="J91" s="404" t="str">
        <f t="shared" si="2"/>
        <v/>
      </c>
      <c r="K91" s="491">
        <f>IFERROR(AVERAGE(Oktober!Z91,November!Z91,December!Z91)-AVERAGE(Augustus!Z91,September!Z91),"")</f>
        <v>0</v>
      </c>
      <c r="L91" s="492" t="str">
        <f>IFERROR(IF(Augustus!Z91=0,"",IF((AVERAGE(Oktober!Z91,November!Z91,December!Z91)/Augustus!Z91)&lt;0.8,"Let op",IF((AVERAGE(Oktober!Z91,November!Z91,December!Z91)/Augustus!Z91)&lt;0.9,"Lichte daling","Stabiel"))),"")</f>
        <v/>
      </c>
    </row>
    <row r="92" ht="22.5" customHeight="1">
      <c r="A92" s="331" t="str">
        <f>Rooster!A93</f>
        <v/>
      </c>
      <c r="B92" s="396" t="str">
        <f>Rooster!B93</f>
        <v/>
      </c>
      <c r="C92" s="11" t="str">
        <f>Rooster!D93</f>
        <v/>
      </c>
      <c r="D92" s="11" t="str">
        <f>Rooster!E93</f>
        <v/>
      </c>
      <c r="E92" s="329">
        <f>SUM(Augustus!E92+September!E92+Oktober!E91+November!E91+December!E92+Januari!E92+Februari!E92+Maart!E92+April!E92+Mei!E92+Juni!E92+Juli!E92)</f>
        <v>0</v>
      </c>
      <c r="F92" s="329">
        <f>AVERAGE(Augustus!Z92+September!Z92+Oktober!Z91+November!Z91+December!Z92+Januari!Z92+Februari!Z92+Maart!Z92+April!Z92+Mei!Z92+Juni!Z92+Juli!Z92)/12</f>
        <v>0</v>
      </c>
      <c r="G92" s="32">
        <f>SUM(Augustus!AA92+September!AA92+Oktober!AA91+November!AA91+December!AA92+Januari!AA92+Februari!AA92+Maart!AA92+April!AA92+Mei!AA92+Juni!AA92+Juli!AA92)</f>
        <v>0</v>
      </c>
      <c r="H92" s="32">
        <f>SUM(Jaarbetalingen!AF92+Augustus!AB92+September!AB92+Oktober!AB91+November!AB91+December!AB92+Januari!AB92+Februari!AB92+Maart!AB92+April!AB92+Mei!AB92+Juni!AB92+Juli!AB92)</f>
        <v>0</v>
      </c>
      <c r="I92" s="32">
        <f t="shared" si="1"/>
        <v>0</v>
      </c>
      <c r="J92" s="404" t="str">
        <f t="shared" si="2"/>
        <v/>
      </c>
      <c r="K92" s="491">
        <f>IFERROR(AVERAGE(Oktober!Z92,November!Z92,December!Z92)-AVERAGE(Augustus!Z92,September!Z92),"")</f>
        <v>0</v>
      </c>
      <c r="L92" s="492" t="str">
        <f>IFERROR(IF(Augustus!Z92=0,"",IF((AVERAGE(Oktober!Z92,November!Z92,December!Z92)/Augustus!Z92)&lt;0.8,"Let op",IF((AVERAGE(Oktober!Z92,November!Z92,December!Z92)/Augustus!Z92)&lt;0.9,"Lichte daling","Stabiel"))),"")</f>
        <v/>
      </c>
    </row>
    <row r="93" ht="22.5" customHeight="1">
      <c r="A93" s="331" t="str">
        <f>Rooster!A94</f>
        <v/>
      </c>
      <c r="B93" s="396" t="str">
        <f>Rooster!B94</f>
        <v/>
      </c>
      <c r="C93" s="11" t="str">
        <f>Rooster!D94</f>
        <v/>
      </c>
      <c r="D93" s="11" t="str">
        <f>Rooster!E94</f>
        <v/>
      </c>
      <c r="E93" s="329">
        <f>SUM(Augustus!E93+September!E93+Oktober!E92+November!E92+December!E93+Januari!E93+Februari!E93+Maart!E93+April!E93+Mei!E93+Juni!E93+Juli!E93)</f>
        <v>0</v>
      </c>
      <c r="F93" s="329">
        <f>AVERAGE(Augustus!Z93+September!Z93+Oktober!Z92+November!Z92+December!Z93+Januari!Z93+Februari!Z93+Maart!Z93+April!Z93+Mei!Z93+Juni!Z93+Juli!Z93)/12</f>
        <v>0</v>
      </c>
      <c r="G93" s="32">
        <f>SUM(Augustus!AA93+September!AA93+Oktober!AA92+November!AA92+December!AA93+Januari!AA93+Februari!AA93+Maart!AA93+April!AA93+Mei!AA93+Juni!AA93+Juli!AA93)</f>
        <v>0</v>
      </c>
      <c r="H93" s="32">
        <f>SUM(Jaarbetalingen!AF93+Augustus!AB93+September!AB93+Oktober!AB92+November!AB92+December!AB93+Januari!AB93+Februari!AB93+Maart!AB93+April!AB93+Mei!AB93+Juni!AB93+Juli!AB93)</f>
        <v>0</v>
      </c>
      <c r="I93" s="32">
        <f t="shared" si="1"/>
        <v>0</v>
      </c>
      <c r="J93" s="404" t="str">
        <f t="shared" si="2"/>
        <v/>
      </c>
      <c r="K93" s="491">
        <f>IFERROR(AVERAGE(Oktober!Z93,November!Z93,December!Z93)-AVERAGE(Augustus!Z93,September!Z93),"")</f>
        <v>0</v>
      </c>
      <c r="L93" s="492" t="str">
        <f>IFERROR(IF(Augustus!Z93=0,"",IF((AVERAGE(Oktober!Z93,November!Z93,December!Z93)/Augustus!Z93)&lt;0.8,"Let op",IF((AVERAGE(Oktober!Z93,November!Z93,December!Z93)/Augustus!Z93)&lt;0.9,"Lichte daling","Stabiel"))),"")</f>
        <v/>
      </c>
    </row>
    <row r="94" ht="22.5" customHeight="1">
      <c r="A94" s="331" t="str">
        <f>Rooster!A95</f>
        <v/>
      </c>
      <c r="B94" s="396" t="str">
        <f>Rooster!B95</f>
        <v/>
      </c>
      <c r="C94" s="11" t="str">
        <f>Rooster!D95</f>
        <v/>
      </c>
      <c r="D94" s="11" t="str">
        <f>Rooster!E95</f>
        <v/>
      </c>
      <c r="E94" s="329">
        <f>SUM(Augustus!E94+September!E94+Oktober!E93+November!E93+December!E94+Januari!E94+Februari!E94+Maart!E94+April!E94+Mei!E94+Juni!E94+Juli!E94)</f>
        <v>0</v>
      </c>
      <c r="F94" s="329">
        <f>AVERAGE(Augustus!Z94+September!Z94+Oktober!Z93+November!Z93+December!Z94+Januari!Z94+Februari!Z94+Maart!Z94+April!Z94+Mei!Z94+Juni!Z94+Juli!Z94)/12</f>
        <v>0</v>
      </c>
      <c r="G94" s="32">
        <f>SUM(Augustus!AA94+September!AA94+Oktober!AA93+November!AA93+December!AA94+Januari!AA94+Februari!AA94+Maart!AA94+April!AA94+Mei!AA94+Juni!AA94+Juli!AA94)</f>
        <v>0</v>
      </c>
      <c r="H94" s="32">
        <f>SUM(Jaarbetalingen!AF94+Augustus!AB94+September!AB94+Oktober!AB93+November!AB93+December!AB94+Januari!AB94+Februari!AB94+Maart!AB94+April!AB94+Mei!AB94+Juni!AB94+Juli!AB94)</f>
        <v>0</v>
      </c>
      <c r="I94" s="32">
        <f t="shared" si="1"/>
        <v>0</v>
      </c>
      <c r="J94" s="404" t="str">
        <f t="shared" si="2"/>
        <v/>
      </c>
      <c r="K94" s="491">
        <f>IFERROR(AVERAGE(Oktober!Z94,November!Z94,December!Z94)-AVERAGE(Augustus!Z94,September!Z94),"")</f>
        <v>0</v>
      </c>
      <c r="L94" s="492" t="str">
        <f>IFERROR(IF(Augustus!Z94=0,"",IF((AVERAGE(Oktober!Z94,November!Z94,December!Z94)/Augustus!Z94)&lt;0.8,"Let op",IF((AVERAGE(Oktober!Z94,November!Z94,December!Z94)/Augustus!Z94)&lt;0.9,"Lichte daling","Stabiel"))),"")</f>
        <v/>
      </c>
    </row>
    <row r="95" ht="22.5" customHeight="1">
      <c r="A95" s="331" t="str">
        <f>Rooster!A96</f>
        <v/>
      </c>
      <c r="B95" s="396" t="str">
        <f>Rooster!B96</f>
        <v/>
      </c>
      <c r="C95" s="11" t="str">
        <f>Rooster!D96</f>
        <v/>
      </c>
      <c r="D95" s="11" t="str">
        <f>Rooster!E96</f>
        <v/>
      </c>
      <c r="E95" s="329">
        <f>SUM(Augustus!E95+September!E95+Oktober!E94+November!E94+December!E95+Januari!E95+Februari!E95+Maart!E95+April!E95+Mei!E95+Juni!E95+Juli!E95)</f>
        <v>0</v>
      </c>
      <c r="F95" s="329">
        <f>AVERAGE(Augustus!Z95+September!Z95+Oktober!Z94+November!Z94+December!Z95+Januari!Z95+Februari!Z95+Maart!Z95+April!Z95+Mei!Z95+Juni!Z95+Juli!Z95)/12</f>
        <v>0</v>
      </c>
      <c r="G95" s="32">
        <f>SUM(Augustus!AA95+September!AA95+Oktober!AA94+November!AA94+December!AA95+Januari!AA95+Februari!AA95+Maart!AA95+April!AA95+Mei!AA95+Juni!AA95+Juli!AA95)</f>
        <v>0</v>
      </c>
      <c r="H95" s="32">
        <f>SUM(Jaarbetalingen!AF95+Augustus!AB95+September!AB95+Oktober!AB94+November!AB94+December!AB95+Januari!AB95+Februari!AB95+Maart!AB95+April!AB95+Mei!AB95+Juni!AB95+Juli!AB95)</f>
        <v>0</v>
      </c>
      <c r="I95" s="32">
        <f t="shared" si="1"/>
        <v>0</v>
      </c>
      <c r="J95" s="404" t="str">
        <f t="shared" si="2"/>
        <v/>
      </c>
      <c r="K95" s="491">
        <f>IFERROR(AVERAGE(Oktober!Z95,November!Z95,December!Z95)-AVERAGE(Augustus!Z95,September!Z95),"")</f>
        <v>0</v>
      </c>
      <c r="L95" s="492" t="str">
        <f>IFERROR(IF(Augustus!Z95=0,"",IF((AVERAGE(Oktober!Z95,November!Z95,December!Z95)/Augustus!Z95)&lt;0.8,"Let op",IF((AVERAGE(Oktober!Z95,November!Z95,December!Z95)/Augustus!Z95)&lt;0.9,"Lichte daling","Stabiel"))),"")</f>
        <v/>
      </c>
    </row>
    <row r="96" ht="22.5" customHeight="1">
      <c r="A96" s="331" t="str">
        <f>Rooster!A97</f>
        <v/>
      </c>
      <c r="B96" s="396" t="str">
        <f>Rooster!B97</f>
        <v/>
      </c>
      <c r="C96" s="11" t="str">
        <f>Rooster!D97</f>
        <v/>
      </c>
      <c r="D96" s="11" t="str">
        <f>Rooster!E97</f>
        <v/>
      </c>
      <c r="E96" s="329">
        <f>SUM(Augustus!E96+September!E96+Oktober!E95+November!E95+December!E96+Januari!E96+Februari!E96+Maart!E96+April!E96+Mei!E96+Juni!E96+Juli!E96)</f>
        <v>0</v>
      </c>
      <c r="F96" s="329">
        <f>AVERAGE(Augustus!Z96+September!Z96+Oktober!Z95+November!Z95+December!Z96+Januari!Z96+Februari!Z96+Maart!Z96+April!Z96+Mei!Z96+Juni!Z96+Juli!Z96)/12</f>
        <v>0</v>
      </c>
      <c r="G96" s="32">
        <f>SUM(Augustus!AA96+September!AA96+Oktober!AA95+November!AA95+December!AA96+Januari!AA96+Februari!AA96+Maart!AA96+April!AA96+Mei!AA96+Juni!AA96+Juli!AA96)</f>
        <v>0</v>
      </c>
      <c r="H96" s="32">
        <f>SUM(Jaarbetalingen!AF96+Augustus!AB96+September!AB96+Oktober!AB95+November!AB95+December!AB96+Januari!AB96+Februari!AB96+Maart!AB96+April!AB96+Mei!AB96+Juni!AB96+Juli!AB96)</f>
        <v>0</v>
      </c>
      <c r="I96" s="32">
        <f t="shared" si="1"/>
        <v>0</v>
      </c>
      <c r="J96" s="404" t="str">
        <f t="shared" si="2"/>
        <v/>
      </c>
      <c r="K96" s="491">
        <f>IFERROR(AVERAGE(Oktober!Z96,November!Z96,December!Z96)-AVERAGE(Augustus!Z96,September!Z96),"")</f>
        <v>0</v>
      </c>
      <c r="L96" s="492" t="str">
        <f>IFERROR(IF(Augustus!Z96=0,"",IF((AVERAGE(Oktober!Z96,November!Z96,December!Z96)/Augustus!Z96)&lt;0.8,"Let op",IF((AVERAGE(Oktober!Z96,November!Z96,December!Z96)/Augustus!Z96)&lt;0.9,"Lichte daling","Stabiel"))),"")</f>
        <v/>
      </c>
    </row>
    <row r="97" ht="22.5" customHeight="1">
      <c r="A97" s="331" t="str">
        <f>Rooster!A98</f>
        <v/>
      </c>
      <c r="B97" s="396" t="str">
        <f>Rooster!B98</f>
        <v/>
      </c>
      <c r="C97" s="11" t="str">
        <f>Rooster!D98</f>
        <v/>
      </c>
      <c r="D97" s="11" t="str">
        <f>Rooster!E98</f>
        <v/>
      </c>
      <c r="E97" s="329">
        <f>SUM(Augustus!E97+September!E97+Oktober!E96+November!E96+December!E97+Januari!E97+Februari!E97+Maart!E97+April!E97+Mei!E97+Juni!E97+Juli!E97)</f>
        <v>0</v>
      </c>
      <c r="F97" s="329">
        <f>AVERAGE(Augustus!Z97+September!Z97+Oktober!Z96+November!Z96+December!Z97+Januari!Z97+Februari!Z97+Maart!Z97+April!Z97+Mei!Z97+Juni!Z97+Juli!Z97)/12</f>
        <v>0</v>
      </c>
      <c r="G97" s="32">
        <f>SUM(Augustus!AA97+September!AA97+Oktober!AA96+November!AA96+December!AA97+Januari!AA97+Februari!AA97+Maart!AA97+April!AA97+Mei!AA97+Juni!AA97+Juli!AA97)</f>
        <v>0</v>
      </c>
      <c r="H97" s="32">
        <f>SUM(Jaarbetalingen!AF97+Augustus!AB97+September!AB97+Oktober!AB96+November!AB96+December!AB97+Januari!AB97+Februari!AB97+Maart!AB97+April!AB97+Mei!AB97+Juni!AB97+Juli!AB97)</f>
        <v>0</v>
      </c>
      <c r="I97" s="32">
        <f t="shared" si="1"/>
        <v>0</v>
      </c>
      <c r="J97" s="404" t="str">
        <f t="shared" si="2"/>
        <v/>
      </c>
      <c r="K97" s="491">
        <f>IFERROR(AVERAGE(Oktober!Z97,November!Z97,December!Z97)-AVERAGE(Augustus!Z97,September!Z97),"")</f>
        <v>0</v>
      </c>
      <c r="L97" s="492" t="str">
        <f>IFERROR(IF(Augustus!Z97=0,"",IF((AVERAGE(Oktober!Z97,November!Z97,December!Z97)/Augustus!Z97)&lt;0.8,"Let op",IF((AVERAGE(Oktober!Z97,November!Z97,December!Z97)/Augustus!Z97)&lt;0.9,"Lichte daling","Stabiel"))),"")</f>
        <v/>
      </c>
    </row>
    <row r="98" ht="22.5" customHeight="1">
      <c r="A98" s="331" t="str">
        <f>Rooster!A99</f>
        <v/>
      </c>
      <c r="B98" s="396" t="str">
        <f>Rooster!B99</f>
        <v/>
      </c>
      <c r="C98" s="11" t="str">
        <f>Rooster!D99</f>
        <v/>
      </c>
      <c r="D98" s="11" t="str">
        <f>Rooster!E99</f>
        <v/>
      </c>
      <c r="E98" s="329">
        <f>SUM(Augustus!E98+September!E98+Oktober!E97+November!E97+December!E98+Januari!E98+Februari!E98+Maart!E98+April!E98+Mei!E98+Juni!E98+Juli!E98)</f>
        <v>0</v>
      </c>
      <c r="F98" s="329">
        <f>AVERAGE(Augustus!Z98+September!Z98+Oktober!Z97+November!Z97+December!Z98+Januari!Z98+Februari!Z98+Maart!Z98+April!Z98+Mei!Z98+Juni!Z98+Juli!Z98)/12</f>
        <v>0</v>
      </c>
      <c r="G98" s="32">
        <f>SUM(Augustus!AA98+September!AA98+Oktober!AA97+November!AA97+December!AA98+Januari!AA98+Februari!AA98+Maart!AA98+April!AA98+Mei!AA98+Juni!AA98+Juli!AA98)</f>
        <v>0</v>
      </c>
      <c r="H98" s="32">
        <f>SUM(Jaarbetalingen!AF98+Augustus!AB98+September!AB98+Oktober!AB97+November!AB97+December!AB98+Januari!AB98+Februari!AB98+Maart!AB98+April!AB98+Mei!AB98+Juni!AB98+Juli!AB98)</f>
        <v>0</v>
      </c>
      <c r="I98" s="32">
        <f t="shared" si="1"/>
        <v>0</v>
      </c>
      <c r="J98" s="404" t="str">
        <f t="shared" si="2"/>
        <v/>
      </c>
      <c r="K98" s="491">
        <f>IFERROR(AVERAGE(Oktober!Z98,November!Z98,December!Z98)-AVERAGE(Augustus!Z98,September!Z98),"")</f>
        <v>0</v>
      </c>
      <c r="L98" s="492" t="str">
        <f>IFERROR(IF(Augustus!Z98=0,"",IF((AVERAGE(Oktober!Z98,November!Z98,December!Z98)/Augustus!Z98)&lt;0.8,"Let op",IF((AVERAGE(Oktober!Z98,November!Z98,December!Z98)/Augustus!Z98)&lt;0.9,"Lichte daling","Stabiel"))),"")</f>
        <v/>
      </c>
    </row>
    <row r="99" ht="22.5" customHeight="1">
      <c r="A99" s="331" t="str">
        <f>Rooster!A100</f>
        <v/>
      </c>
      <c r="B99" s="396" t="str">
        <f>Rooster!B100</f>
        <v/>
      </c>
      <c r="C99" s="11" t="str">
        <f>Rooster!D100</f>
        <v/>
      </c>
      <c r="D99" s="11" t="str">
        <f>Rooster!E100</f>
        <v/>
      </c>
      <c r="E99" s="329">
        <f>SUM(Augustus!E99+September!E99+Oktober!E98+November!E98+December!E99+Januari!E99+Februari!E99+Maart!E99+April!E99+Mei!E99+Juni!E99+Juli!E99)</f>
        <v>0</v>
      </c>
      <c r="F99" s="329">
        <f>AVERAGE(Augustus!Z99+September!Z99+Oktober!Z98+November!Z98+December!Z99+Januari!Z99+Februari!Z99+Maart!Z99+April!Z99+Mei!Z99+Juni!Z99+Juli!Z99)/12</f>
        <v>0</v>
      </c>
      <c r="G99" s="32">
        <f>SUM(Augustus!AA99+September!AA99+Oktober!AA98+November!AA98+December!AA99+Januari!AA99+Februari!AA99+Maart!AA99+April!AA99+Mei!AA99+Juni!AA99+Juli!AA99)</f>
        <v>0</v>
      </c>
      <c r="H99" s="32">
        <f>SUM(Jaarbetalingen!AF99+Augustus!AB99+September!AB99+Oktober!AB98+November!AB98+December!AB99+Januari!AB99+Februari!AB99+Maart!AB99+April!AB99+Mei!AB99+Juni!AB99+Juli!AB99)</f>
        <v>0</v>
      </c>
      <c r="I99" s="32">
        <f t="shared" si="1"/>
        <v>0</v>
      </c>
      <c r="J99" s="404" t="str">
        <f t="shared" si="2"/>
        <v/>
      </c>
      <c r="K99" s="491">
        <f>IFERROR(AVERAGE(Oktober!Z99,November!Z99,December!Z99)-AVERAGE(Augustus!Z99,September!Z99),"")</f>
        <v>0</v>
      </c>
      <c r="L99" s="492" t="str">
        <f>IFERROR(IF(Augustus!Z99=0,"",IF((AVERAGE(Oktober!Z99,November!Z99,December!Z99)/Augustus!Z99)&lt;0.8,"Let op",IF((AVERAGE(Oktober!Z99,November!Z99,December!Z99)/Augustus!Z99)&lt;0.9,"Lichte daling","Stabiel"))),"")</f>
        <v/>
      </c>
    </row>
    <row r="100" ht="22.5" customHeight="1">
      <c r="A100" s="331" t="str">
        <f>Rooster!A101</f>
        <v/>
      </c>
      <c r="B100" s="396" t="str">
        <f>Rooster!B101</f>
        <v/>
      </c>
      <c r="C100" s="11" t="str">
        <f>Rooster!D101</f>
        <v/>
      </c>
      <c r="D100" s="11" t="str">
        <f>Rooster!E101</f>
        <v/>
      </c>
      <c r="E100" s="329">
        <f>SUM(Augustus!E100+September!E100+Oktober!E100+November!E99+December!E100+Januari!E100+Februari!E100+Maart!E100+April!E100+Mei!E100+Juni!E100+Juli!E100)</f>
        <v>0</v>
      </c>
      <c r="F100" s="329">
        <f>AVERAGE(Augustus!Z100+September!Z100+Oktober!Z100+November!Z99+December!Z100+Januari!Z100+Februari!Z100+Maart!Z100+April!Z100+Mei!Z100+Juni!Z100+Juli!Z100)/12</f>
        <v>0</v>
      </c>
      <c r="G100" s="32">
        <f>SUM(Augustus!AA100+September!AA100+Oktober!AA100+November!AA99+December!AA100+Januari!AA100+Februari!AA100+Maart!AA100+April!AA100+Mei!AA100+Juni!AA100+Juli!AA100)</f>
        <v>0</v>
      </c>
      <c r="H100" s="32">
        <f>SUM(Jaarbetalingen!AF100+Augustus!AB100+September!AB100+Oktober!AB100+November!AB99+December!AB100+Januari!AB100+Februari!AB100+Maart!AB100+April!AB100+Mei!AB100+Juni!AB100+Juli!AB100)</f>
        <v>0</v>
      </c>
      <c r="I100" s="32">
        <f t="shared" si="1"/>
        <v>0</v>
      </c>
      <c r="J100" s="404" t="str">
        <f t="shared" si="2"/>
        <v/>
      </c>
      <c r="K100" s="491">
        <f>IFERROR(AVERAGE(Oktober!Z100,November!Z100,December!Z100)-AVERAGE(Augustus!Z100,September!Z100),"")</f>
        <v>141</v>
      </c>
      <c r="L100" s="492" t="str">
        <f>IFERROR(IF(Augustus!Z100=0,"",IF((AVERAGE(Oktober!Z100,November!Z100,December!Z100)/Augustus!Z100)&lt;0.8,"Let op",IF((AVERAGE(Oktober!Z100,November!Z100,December!Z100)/Augustus!Z100)&lt;0.9,"Lichte daling","Stabiel"))),"")</f>
        <v/>
      </c>
    </row>
    <row r="101" ht="22.5" customHeight="1">
      <c r="A101" s="331" t="str">
        <f>Rooster!A102</f>
        <v/>
      </c>
      <c r="B101" s="396" t="str">
        <f>Rooster!B102</f>
        <v/>
      </c>
      <c r="C101" s="11" t="str">
        <f>Rooster!D102</f>
        <v/>
      </c>
      <c r="D101" s="11" t="str">
        <f>Rooster!E102</f>
        <v/>
      </c>
      <c r="E101" s="329">
        <f>SUM(Augustus!E101+September!E101+Oktober!E101+November!E100+December!E101+Januari!E101+Februari!E101+Maart!E101+April!E101+Mei!E101+Juni!E101+Juli!E101)</f>
        <v>0</v>
      </c>
      <c r="F101" s="329">
        <f>AVERAGE(Augustus!Z101+September!Z101+Oktober!Z101+November!Z100+December!Z101+Januari!Z101+Februari!Z101+Maart!Z101+April!Z101+Mei!Z101+Juni!Z101+Juli!Z101)/12</f>
        <v>437.4166667</v>
      </c>
      <c r="G101" s="32">
        <f>SUM(Augustus!AA101+September!AA101+Oktober!AA101+November!AA100+December!AA101+Januari!AA101+Februari!AA101+Maart!AA101+April!AA101+Mei!AA101+Juni!AA101+Juli!AA101)</f>
        <v>0</v>
      </c>
      <c r="H101" s="32">
        <f>SUM(Jaarbetalingen!AF101+Augustus!AB101+September!AB101+Oktober!AB101+November!AB100+December!AB101+Januari!AB101+Februari!AB101+Maart!AB101+April!AB101+Mei!AB101+Juni!AB101+Juli!AB101)</f>
        <v>0</v>
      </c>
      <c r="I101" s="32">
        <f t="shared" si="1"/>
        <v>0</v>
      </c>
      <c r="J101" s="404" t="str">
        <f t="shared" si="2"/>
        <v/>
      </c>
      <c r="K101" s="491">
        <f>IFERROR(AVERAGE(Oktober!Z101,November!Z101,December!Z101)-AVERAGE(Augustus!Z101,September!Z101),"")</f>
        <v>14.5</v>
      </c>
      <c r="L101" s="492" t="str">
        <f>IFERROR(IF(Augustus!Z101=0,"",IF((AVERAGE(Oktober!Z101,November!Z101,December!Z101)/Augustus!Z101)&lt;0.8,"Let op",IF((AVERAGE(Oktober!Z101,November!Z101,December!Z101)/Augustus!Z101)&lt;0.9,"Lichte daling","Stabiel"))),"")</f>
        <v>Stabiel</v>
      </c>
    </row>
  </sheetData>
  <conditionalFormatting sqref="I2:J101">
    <cfRule type="cellIs" dxfId="7" priority="1" operator="lessThan">
      <formula>0</formula>
    </cfRule>
  </conditionalFormatting>
  <conditionalFormatting sqref="L1:L101">
    <cfRule type="containsText" dxfId="9" priority="2" operator="containsText" text="let op">
      <formula>NOT(ISERROR(SEARCH(("let op"),(L1))))</formula>
    </cfRule>
  </conditionalFormatting>
  <conditionalFormatting sqref="L1:L101">
    <cfRule type="containsText" dxfId="10" priority="3" operator="containsText" text="stabiel">
      <formula>NOT(ISERROR(SEARCH(("stabiel"),(L1))))</formula>
    </cfRule>
  </conditionalFormatting>
  <conditionalFormatting sqref="L1:L101">
    <cfRule type="containsText" dxfId="11" priority="4" operator="containsText" text="lichte daling">
      <formula>NOT(ISERROR(SEARCH(("lichte daling"),(L1))))</formula>
    </cfRule>
  </conditionalFormatting>
  <dataValidations>
    <dataValidation type="list" allowBlank="1" sqref="A2:A101">
      <formula1>"Maandag,Dinsdag,Woensdag,Donderdag,Vrijdag,Zaterdag,Zondag"</formula1>
    </dataValidation>
    <dataValidation type="custom" allowBlank="1" showDropDown="1" sqref="B2:B101">
      <formula1>OR(TIMEVALUE(TEXT(B2, "hh:mm:ss"))=B2, AND(ISNUMBER(B2), LEFT(CELL("format", B2))="D"))</formula1>
    </dataValidation>
    <dataValidation type="custom" allowBlank="1" showDropDown="1" sqref="G2:H101">
      <formula1>AND(ISNUMBER(G2),(NOT(OR(NOT(ISERROR(DATEVALUE(G2))), AND(ISNUMBER(G2), LEFT(CELL("format", G2))="D")))))</formula1>
    </dataValidation>
    <dataValidation type="list" allowBlank="1" sqref="A2">
      <formula1>"Maandag,Dinsdag,Woensdag,Donderdag,Vrijdag,Zaterdag,Zondag"</formula1>
    </dataValidation>
    <dataValidation allowBlank="1" showDropDown="1" sqref="C2:C101"/>
    <dataValidation type="custom" allowBlank="1" showDropDown="1" sqref="F2:F101 K2:K101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